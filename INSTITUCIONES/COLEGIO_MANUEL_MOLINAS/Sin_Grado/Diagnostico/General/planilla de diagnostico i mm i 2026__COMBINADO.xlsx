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Hoja7" sheetId="1" state="visible" r:id="rId1"/>
    <sheet xmlns:r="http://schemas.openxmlformats.org/officeDocument/2006/relationships" name="V1_Hoja9" sheetId="2" state="visible" r:id="rId2"/>
    <sheet xmlns:r="http://schemas.openxmlformats.org/officeDocument/2006/relationships" name="V1_RESULTADO" sheetId="3" state="visible" r:id="rId3"/>
    <sheet xmlns:r="http://schemas.openxmlformats.org/officeDocument/2006/relationships" name="V1_7mo._TM" sheetId="4" state="visible" r:id="rId4"/>
    <sheet xmlns:r="http://schemas.openxmlformats.org/officeDocument/2006/relationships" name="V1_7mo._TT" sheetId="5" state="visible" r:id="rId5"/>
    <sheet xmlns:r="http://schemas.openxmlformats.org/officeDocument/2006/relationships" name="V1_8vo._TM" sheetId="6" state="visible" r:id="rId6"/>
    <sheet xmlns:r="http://schemas.openxmlformats.org/officeDocument/2006/relationships" name="V1_9no._TM" sheetId="7" state="visible" r:id="rId7"/>
    <sheet xmlns:r="http://schemas.openxmlformats.org/officeDocument/2006/relationships" name="V1_Hoja10" sheetId="8" state="visible" r:id="rId8"/>
    <sheet xmlns:r="http://schemas.openxmlformats.org/officeDocument/2006/relationships" name="V1_REGLAS" sheetId="9" state="visible" r:id="rId9"/>
    <sheet xmlns:r="http://schemas.openxmlformats.org/officeDocument/2006/relationships" name="V2_Hoja7" sheetId="10" state="visible" r:id="rId10"/>
    <sheet xmlns:r="http://schemas.openxmlformats.org/officeDocument/2006/relationships" name="V2_Hoja9" sheetId="11" state="visible" r:id="rId11"/>
    <sheet xmlns:r="http://schemas.openxmlformats.org/officeDocument/2006/relationships" name="V2_RESULTADO" sheetId="12" state="visible" r:id="rId12"/>
    <sheet xmlns:r="http://schemas.openxmlformats.org/officeDocument/2006/relationships" name="V2_7mo._TM" sheetId="13" state="visible" r:id="rId13"/>
    <sheet xmlns:r="http://schemas.openxmlformats.org/officeDocument/2006/relationships" name="V2_7mo._TT" sheetId="14" state="visible" r:id="rId14"/>
    <sheet xmlns:r="http://schemas.openxmlformats.org/officeDocument/2006/relationships" name="V2_8vo._TM" sheetId="15" state="visible" r:id="rId15"/>
    <sheet xmlns:r="http://schemas.openxmlformats.org/officeDocument/2006/relationships" name="V2_9no._TM" sheetId="16" state="visible" r:id="rId16"/>
    <sheet xmlns:r="http://schemas.openxmlformats.org/officeDocument/2006/relationships" name="V2_Hoja10" sheetId="17" state="visible" r:id="rId17"/>
    <sheet xmlns:r="http://schemas.openxmlformats.org/officeDocument/2006/relationships" name="V2_REGLA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"/>
  </numFmts>
  <fonts count="7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color rgb="FF1F1F1F"/>
      <sz val="11"/>
    </font>
    <font>
      <name val="Aptos Narrow"/>
      <family val="2"/>
      <b val="1"/>
      <color theme="1"/>
      <sz val="11"/>
      <scheme val="minor"/>
    </font>
    <font>
      <name val="Arial"/>
      <family val="2"/>
      <color rgb="FF1F1F1F"/>
      <sz val="11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right" vertical="center" wrapText="1" indent="1" readingOrder="1"/>
    </xf>
    <xf numFmtId="0" fontId="2" fillId="0" borderId="1" applyAlignment="1" pivotButton="0" quotePrefix="0" xfId="0">
      <alignment vertical="center" wrapText="1" readingOrder="1"/>
    </xf>
    <xf numFmtId="0" fontId="2" fillId="0" borderId="1" applyAlignment="1" pivotButton="0" quotePrefix="0" xfId="0">
      <alignment horizontal="left" vertical="center" wrapText="1" indent="1" readingOrder="1"/>
    </xf>
    <xf numFmtId="0" fontId="3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right" vertical="center" wrapText="1" indent="1" readingOrder="1"/>
    </xf>
    <xf numFmtId="0" fontId="4" fillId="2" borderId="1" applyAlignment="1" pivotButton="0" quotePrefix="0" xfId="0">
      <alignment vertical="center" wrapText="1" readingOrder="1"/>
    </xf>
    <xf numFmtId="0" fontId="4" fillId="2" borderId="1" applyAlignment="1" pivotButton="0" quotePrefix="0" xfId="0">
      <alignment horizontal="left" vertical="center" wrapText="1" readingOrder="1"/>
    </xf>
    <xf numFmtId="0" fontId="1" fillId="0" borderId="1" applyAlignment="1" pivotButton="0" quotePrefix="0" xfId="0">
      <alignment horizontal="center"/>
    </xf>
    <xf numFmtId="0" fontId="1" fillId="3" borderId="0" pivotButton="0" quotePrefix="0" xfId="0"/>
    <xf numFmtId="0" fontId="5" fillId="3" borderId="0" applyAlignment="1" pivotButton="0" quotePrefix="0" xfId="0">
      <alignment horizontal="center"/>
    </xf>
    <xf numFmtId="0" fontId="6" fillId="3" borderId="0" pivotButton="0" quotePrefix="0" xfId="0"/>
    <xf numFmtId="0" fontId="4" fillId="0" borderId="1" applyAlignment="1" pivotButton="0" quotePrefix="0" xfId="0">
      <alignment horizontal="right" vertical="center" wrapText="1" indent="1" readingOrder="1"/>
    </xf>
    <xf numFmtId="0" fontId="4" fillId="0" borderId="1" applyAlignment="1" pivotButton="0" quotePrefix="0" xfId="0">
      <alignment vertical="center" wrapText="1" readingOrder="1"/>
    </xf>
    <xf numFmtId="0" fontId="4" fillId="0" borderId="1" applyAlignment="1" pivotButton="0" quotePrefix="0" xfId="0">
      <alignment horizontal="left" vertical="center" wrapText="1" indent="1" readingOrder="1"/>
    </xf>
    <xf numFmtId="9" fontId="1" fillId="0" borderId="0" pivotButton="0" quotePrefix="0" xfId="0"/>
    <xf numFmtId="1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cols>
    <col width="16.140625" customWidth="1" min="1" max="1"/>
    <col width="49" customWidth="1" min="2" max="2"/>
    <col width="45.42578125" customWidth="1" min="3" max="3"/>
    <col width="18.85546875" customWidth="1" min="4" max="4"/>
    <col width="14.7109375" customWidth="1" min="5" max="5"/>
    <col width="8.28515625" customWidth="1" min="6" max="6"/>
    <col width="6.7109375" customWidth="1" min="7" max="7"/>
    <col width="14.7109375" customWidth="1" min="8" max="8"/>
    <col width="9.5703125" customWidth="1" min="9" max="9"/>
  </cols>
  <sheetData>
    <row r="1">
      <c r="A1">
        <f t="array" ref="A1:K51">+septimo_TM_tabla</f>
        <v/>
      </c>
      <c r="B1" t="inlineStr">
        <is>
          <t xml:space="preserve">Indicador </t>
        </is>
      </c>
      <c r="C1" t="inlineStr">
        <is>
          <t xml:space="preserve">Indicador </t>
        </is>
      </c>
      <c r="D1" t="inlineStr">
        <is>
          <t>Tipo de Indicador</t>
        </is>
      </c>
      <c r="E1" t="inlineStr">
        <is>
          <t>Cantidad de veces</t>
        </is>
      </c>
      <c r="F1" t="inlineStr">
        <is>
          <t>NOTA</t>
        </is>
      </c>
      <c r="G1" t="inlineStr">
        <is>
          <t>PR</t>
        </is>
      </c>
      <c r="H1" t="inlineStr">
        <is>
          <t>VALORACION</t>
        </is>
      </c>
      <c r="I1" t="inlineStr">
        <is>
          <t>GRADO</t>
        </is>
      </c>
      <c r="J1" t="inlineStr">
        <is>
          <t>TURNO</t>
        </is>
      </c>
      <c r="K1" t="inlineStr">
        <is>
          <t>NF</t>
        </is>
      </c>
    </row>
    <row r="2">
      <c r="A2" t="inlineStr">
        <is>
          <t>Académica</t>
        </is>
      </c>
      <c r="B2" t="inlineStr">
        <is>
          <t>Ale-02. Presenta lagunas en conocimientos previos.</t>
        </is>
      </c>
      <c r="C2" t="inlineStr">
        <is>
          <t>02. Presenta lagunas en conocimientos previos.</t>
        </is>
      </c>
      <c r="D2" t="inlineStr">
        <is>
          <t>Alerta/Mejora</t>
        </is>
      </c>
      <c r="E2" t="n">
        <v>37</v>
      </c>
      <c r="F2" t="n">
        <v>1</v>
      </c>
      <c r="G2" t="n">
        <v>0</v>
      </c>
      <c r="H2" t="inlineStr">
        <is>
          <t>A mejorar</t>
        </is>
      </c>
      <c r="I2" t="inlineStr">
        <is>
          <t>SEPTIMO</t>
        </is>
      </c>
      <c r="J2" t="inlineStr">
        <is>
          <t>TM</t>
        </is>
      </c>
      <c r="K2" t="n">
        <v>0</v>
      </c>
    </row>
    <row r="3">
      <c r="A3" t="inlineStr">
        <is>
          <t>Académica</t>
        </is>
      </c>
      <c r="B3" t="inlineStr">
        <is>
          <t>Ale-04. Se limita a memorizar sin comprender.</t>
        </is>
      </c>
      <c r="C3" t="inlineStr">
        <is>
          <t>04. Se limita a memorizar sin comprender.</t>
        </is>
      </c>
      <c r="D3" t="inlineStr">
        <is>
          <t>Alerta/Mejora</t>
        </is>
      </c>
      <c r="E3" t="n">
        <v>18</v>
      </c>
      <c r="F3" t="n">
        <v>1</v>
      </c>
      <c r="G3" t="n">
        <v>19</v>
      </c>
      <c r="H3" t="inlineStr">
        <is>
          <t>A mejorar</t>
        </is>
      </c>
      <c r="I3" t="inlineStr">
        <is>
          <t>SEPTIMO</t>
        </is>
      </c>
      <c r="J3" t="inlineStr">
        <is>
          <t>TM</t>
        </is>
      </c>
      <c r="K3" t="n">
        <v>0</v>
      </c>
    </row>
    <row r="4">
      <c r="A4" t="inlineStr">
        <is>
          <t>Académica</t>
        </is>
      </c>
      <c r="B4" t="inlineStr">
        <is>
          <t>Ale-06. Entrega tareas incompletas o descuidadas.</t>
        </is>
      </c>
      <c r="C4" t="inlineStr">
        <is>
          <t>06. Entrega tareas incompletas o descuidadas.</t>
        </is>
      </c>
      <c r="D4" t="inlineStr">
        <is>
          <t>Alerta/Mejora</t>
        </is>
      </c>
      <c r="E4" t="n">
        <v>4</v>
      </c>
      <c r="F4" t="n">
        <v>4</v>
      </c>
      <c r="G4" t="n">
        <v>33</v>
      </c>
      <c r="H4" t="inlineStr">
        <is>
          <t xml:space="preserve">Muy bueno </t>
        </is>
      </c>
      <c r="I4" t="inlineStr">
        <is>
          <t>SEPTIMO</t>
        </is>
      </c>
      <c r="J4" t="inlineStr">
        <is>
          <t>TM</t>
        </is>
      </c>
      <c r="K4" t="n">
        <v>0</v>
      </c>
    </row>
    <row r="5">
      <c r="A5" t="inlineStr">
        <is>
          <t>Académica</t>
        </is>
      </c>
      <c r="B5" t="inlineStr">
        <is>
          <t>Ale-08. Se bloquea ante desafíos matemáticos.</t>
        </is>
      </c>
      <c r="C5" t="inlineStr">
        <is>
          <t>08. Se bloquea ante desafíos matemáticos.</t>
        </is>
      </c>
      <c r="D5" t="inlineStr">
        <is>
          <t>Alerta/Mejora</t>
        </is>
      </c>
      <c r="E5" t="n">
        <v>18</v>
      </c>
      <c r="F5" t="n">
        <v>1</v>
      </c>
      <c r="G5" t="n">
        <v>19</v>
      </c>
      <c r="H5" t="inlineStr">
        <is>
          <t>A mejorar</t>
        </is>
      </c>
      <c r="I5" t="inlineStr">
        <is>
          <t>SEPTIMO</t>
        </is>
      </c>
      <c r="J5" t="inlineStr">
        <is>
          <t>TM</t>
        </is>
      </c>
      <c r="K5" t="n">
        <v>0</v>
      </c>
    </row>
    <row r="6">
      <c r="A6" t="inlineStr">
        <is>
          <t>Académica</t>
        </is>
      </c>
      <c r="B6" t="inlineStr">
        <is>
          <t>Ale-10. Tiene dificultades de expresión oral/escrita.</t>
        </is>
      </c>
      <c r="C6" t="inlineStr">
        <is>
          <t>10. Tiene dificultades de expresión oral/escrita.</t>
        </is>
      </c>
      <c r="D6" t="inlineStr">
        <is>
          <t>Alerta/Mejora</t>
        </is>
      </c>
      <c r="E6" t="n">
        <v>14</v>
      </c>
      <c r="F6" t="n">
        <v>2</v>
      </c>
      <c r="G6" t="n">
        <v>23</v>
      </c>
      <c r="H6" t="inlineStr">
        <is>
          <t>A mejorar</t>
        </is>
      </c>
      <c r="I6" t="inlineStr">
        <is>
          <t>SEPTIMO</t>
        </is>
      </c>
      <c r="J6" t="inlineStr">
        <is>
          <t>TM</t>
        </is>
      </c>
      <c r="K6" t="n">
        <v>0</v>
      </c>
    </row>
    <row r="7">
      <c r="A7" t="inlineStr">
        <is>
          <t>Académica</t>
        </is>
      </c>
      <c r="B7" t="inlineStr">
        <is>
          <t>Ale-12. Muestra rechazo o desinterés por la lectura.</t>
        </is>
      </c>
      <c r="C7" t="inlineStr">
        <is>
          <t>12. Muestra rechazo o desinterés por la lectura.</t>
        </is>
      </c>
      <c r="D7" t="inlineStr">
        <is>
          <t>Alerta/Mejora</t>
        </is>
      </c>
      <c r="E7" t="n">
        <v>11</v>
      </c>
      <c r="F7" t="n">
        <v>3</v>
      </c>
      <c r="G7" t="n">
        <v>26</v>
      </c>
      <c r="H7" t="inlineStr">
        <is>
          <t>Bueno</t>
        </is>
      </c>
      <c r="I7" t="inlineStr">
        <is>
          <t>SEPTIMO</t>
        </is>
      </c>
      <c r="J7" t="inlineStr">
        <is>
          <t>TM</t>
        </is>
      </c>
      <c r="K7" t="n">
        <v>0</v>
      </c>
    </row>
    <row r="8">
      <c r="A8" t="inlineStr">
        <is>
          <t>Académica</t>
        </is>
      </c>
      <c r="B8" t="inlineStr">
        <is>
          <t>Ale-14. Requiere supervisión constante para avanzar.</t>
        </is>
      </c>
      <c r="C8" t="inlineStr">
        <is>
          <t>14. Requiere supervisión constante para avanzar.</t>
        </is>
      </c>
      <c r="D8" t="inlineStr">
        <is>
          <t>Alerta/Mejora</t>
        </is>
      </c>
      <c r="E8" t="n">
        <v>19</v>
      </c>
      <c r="F8" t="n">
        <v>1</v>
      </c>
      <c r="G8" t="n">
        <v>18</v>
      </c>
      <c r="H8" t="inlineStr">
        <is>
          <t>A mejorar</t>
        </is>
      </c>
      <c r="I8" t="inlineStr">
        <is>
          <t>SEPTIMO</t>
        </is>
      </c>
      <c r="J8" t="inlineStr">
        <is>
          <t>TM</t>
        </is>
      </c>
      <c r="K8" t="n">
        <v>0</v>
      </c>
    </row>
    <row r="9">
      <c r="A9" t="inlineStr">
        <is>
          <t>Académica</t>
        </is>
      </c>
      <c r="B9" t="inlineStr">
        <is>
          <t>Ale-16. Muestra apatía por temas nuevos.</t>
        </is>
      </c>
      <c r="C9" t="inlineStr">
        <is>
          <t>16. Muestra apatía por temas nuevos.</t>
        </is>
      </c>
      <c r="D9" t="inlineStr">
        <is>
          <t>Alerta/Mejora</t>
        </is>
      </c>
      <c r="E9" t="n">
        <v>7</v>
      </c>
      <c r="F9" t="n">
        <v>4</v>
      </c>
      <c r="G9" t="n">
        <v>30</v>
      </c>
      <c r="H9" t="inlineStr">
        <is>
          <t xml:space="preserve">Muy bueno </t>
        </is>
      </c>
      <c r="I9" t="inlineStr">
        <is>
          <t>SEPTIMO</t>
        </is>
      </c>
      <c r="J9" t="inlineStr">
        <is>
          <t>TM</t>
        </is>
      </c>
      <c r="K9" t="n">
        <v>0</v>
      </c>
    </row>
    <row r="10">
      <c r="A10" t="inlineStr">
        <is>
          <t>Conductual</t>
        </is>
      </c>
      <c r="B10" t="inlineStr">
        <is>
          <t>Ale-18. Desafía activamente la autoridad.</t>
        </is>
      </c>
      <c r="C10" t="inlineStr">
        <is>
          <t>18. Desafía activamente la autoridad.</t>
        </is>
      </c>
      <c r="D10" t="inlineStr">
        <is>
          <t>Alerta/Mejora</t>
        </is>
      </c>
      <c r="E10" t="n">
        <v>16</v>
      </c>
      <c r="F10" t="n">
        <v>1</v>
      </c>
      <c r="G10" t="n">
        <v>21</v>
      </c>
      <c r="H10" t="inlineStr">
        <is>
          <t>A mejorar</t>
        </is>
      </c>
      <c r="I10" t="inlineStr">
        <is>
          <t>SEPTIMO</t>
        </is>
      </c>
      <c r="J10" t="inlineStr">
        <is>
          <t>TM</t>
        </is>
      </c>
      <c r="K10" t="n">
        <v>0</v>
      </c>
    </row>
    <row r="11">
      <c r="A11" t="inlineStr">
        <is>
          <t>Conductual</t>
        </is>
      </c>
      <c r="B11" t="inlineStr">
        <is>
          <t>Ale-20. Presenta retardos o inasistencias frecuentes.</t>
        </is>
      </c>
      <c r="C11" t="inlineStr">
        <is>
          <t>20. Presenta retardos o inasistencias frecuentes.</t>
        </is>
      </c>
      <c r="D11" t="inlineStr">
        <is>
          <t>Alerta/Mejora</t>
        </is>
      </c>
      <c r="E11" t="n">
        <v>2</v>
      </c>
      <c r="F11" t="n">
        <v>5</v>
      </c>
      <c r="G11" t="n">
        <v>35</v>
      </c>
      <c r="H11" t="inlineStr">
        <is>
          <t xml:space="preserve">Muy bueno </t>
        </is>
      </c>
      <c r="I11" t="inlineStr">
        <is>
          <t>SEPTIMO</t>
        </is>
      </c>
      <c r="J11" t="inlineStr">
        <is>
          <t>TM</t>
        </is>
      </c>
      <c r="K11" t="n">
        <v>0</v>
      </c>
    </row>
    <row r="12">
      <c r="A12" t="inlineStr">
        <is>
          <t>Conductual</t>
        </is>
      </c>
      <c r="B12" t="inlineStr">
        <is>
          <t>Ale-22. Daña el mobiliario o materiales escolares.</t>
        </is>
      </c>
      <c r="C12" t="inlineStr">
        <is>
          <t>22. Daña el mobiliario o materiales escolares.</t>
        </is>
      </c>
      <c r="D12" t="inlineStr">
        <is>
          <t>Alerta/Mejora</t>
        </is>
      </c>
      <c r="E12" t="n">
        <v>1</v>
      </c>
      <c r="F12" t="n">
        <v>5</v>
      </c>
      <c r="G12" t="n">
        <v>36</v>
      </c>
      <c r="H12" t="inlineStr">
        <is>
          <t xml:space="preserve">Muy bueno </t>
        </is>
      </c>
      <c r="I12" t="inlineStr">
        <is>
          <t>SEPTIMO</t>
        </is>
      </c>
      <c r="J12" t="inlineStr">
        <is>
          <t>TM</t>
        </is>
      </c>
      <c r="K12" t="n">
        <v>0</v>
      </c>
    </row>
    <row r="13">
      <c r="A13" t="inlineStr">
        <is>
          <t>Conductual</t>
        </is>
      </c>
      <c r="B13" t="inlineStr">
        <is>
          <t>Ale-24. Interrumpe constantemente el flujo de clase.</t>
        </is>
      </c>
      <c r="C13" t="inlineStr">
        <is>
          <t>24. Interrumpe constantemente el flujo de clase.</t>
        </is>
      </c>
      <c r="D13" t="inlineStr">
        <is>
          <t>Alerta/Mejora</t>
        </is>
      </c>
      <c r="E13" t="n">
        <v>2</v>
      </c>
      <c r="F13" t="n">
        <v>5</v>
      </c>
      <c r="G13" t="n">
        <v>35</v>
      </c>
      <c r="H13" t="inlineStr">
        <is>
          <t xml:space="preserve">Muy bueno </t>
        </is>
      </c>
      <c r="I13" t="inlineStr">
        <is>
          <t>SEPTIMO</t>
        </is>
      </c>
      <c r="J13" t="inlineStr">
        <is>
          <t>TM</t>
        </is>
      </c>
      <c r="K13" t="n">
        <v>0</v>
      </c>
    </row>
    <row r="14">
      <c r="A14" t="inlineStr">
        <is>
          <t>Conductual</t>
        </is>
      </c>
      <c r="B14" t="inlineStr">
        <is>
          <t>Ale-26. Emplea lenguaje soez o despectivo.</t>
        </is>
      </c>
      <c r="C14" t="inlineStr">
        <is>
          <t>26. Emplea lenguaje soez o despectivo.</t>
        </is>
      </c>
      <c r="D14" t="inlineStr">
        <is>
          <t>Alerta/Mejora</t>
        </is>
      </c>
      <c r="E14" t="n">
        <v>11</v>
      </c>
      <c r="F14" t="n">
        <v>3</v>
      </c>
      <c r="G14" t="n">
        <v>26</v>
      </c>
      <c r="H14" t="inlineStr">
        <is>
          <t>Bueno</t>
        </is>
      </c>
      <c r="I14" t="inlineStr">
        <is>
          <t>SEPTIMO</t>
        </is>
      </c>
      <c r="J14" t="inlineStr">
        <is>
          <t>TM</t>
        </is>
      </c>
      <c r="K14" t="n">
        <v>0</v>
      </c>
    </row>
    <row r="15">
      <c r="A15" t="inlineStr">
        <is>
          <t>Conductual</t>
        </is>
      </c>
      <c r="B15" t="inlineStr">
        <is>
          <t>Ale-28. Miente o culpa a otros por sus actos.</t>
        </is>
      </c>
      <c r="C15" t="inlineStr">
        <is>
          <t>28. Miente o culpa a otros por sus actos.</t>
        </is>
      </c>
      <c r="D15" t="inlineStr">
        <is>
          <t>Alerta/Mejora</t>
        </is>
      </c>
      <c r="E15" t="n">
        <v>19</v>
      </c>
      <c r="F15" t="n">
        <v>1</v>
      </c>
      <c r="G15" t="n">
        <v>18</v>
      </c>
      <c r="H15" t="inlineStr">
        <is>
          <t>A mejorar</t>
        </is>
      </c>
      <c r="I15" t="inlineStr">
        <is>
          <t>SEPTIMO</t>
        </is>
      </c>
      <c r="J15" t="inlineStr">
        <is>
          <t>TM</t>
        </is>
      </c>
      <c r="K15" t="n">
        <v>0</v>
      </c>
    </row>
    <row r="16">
      <c r="A16" t="inlineStr">
        <is>
          <t>Conductual</t>
        </is>
      </c>
      <c r="B16" t="inlineStr">
        <is>
          <t>Ale-30. Se distrae con dispositivos electrónicos.</t>
        </is>
      </c>
      <c r="C16" t="inlineStr">
        <is>
          <t>30. Se distrae con dispositivos electrónicos.</t>
        </is>
      </c>
      <c r="D16" t="inlineStr">
        <is>
          <t>Alerta/Mejora</t>
        </is>
      </c>
      <c r="E16" t="n">
        <v>16</v>
      </c>
      <c r="F16" t="n">
        <v>1</v>
      </c>
      <c r="G16" t="n">
        <v>21</v>
      </c>
      <c r="H16" t="inlineStr">
        <is>
          <t>A mejorar</t>
        </is>
      </c>
      <c r="I16" t="inlineStr">
        <is>
          <t>SEPTIMO</t>
        </is>
      </c>
      <c r="J16" t="inlineStr">
        <is>
          <t>TM</t>
        </is>
      </c>
      <c r="K16" t="n">
        <v>0</v>
      </c>
    </row>
    <row r="17">
      <c r="A17" t="inlineStr">
        <is>
          <t>Conductual</t>
        </is>
      </c>
      <c r="B17" t="inlineStr">
        <is>
          <t>Ale-32. Fomenta el desorden o el caos en el grupo.</t>
        </is>
      </c>
      <c r="C17" t="inlineStr">
        <is>
          <t>32. Fomenta el desorden o el caos en el grupo.</t>
        </is>
      </c>
      <c r="D17" t="inlineStr">
        <is>
          <t>Alerta/Mejora</t>
        </is>
      </c>
      <c r="E17" t="n">
        <v>6</v>
      </c>
      <c r="F17" t="n">
        <v>4</v>
      </c>
      <c r="G17" t="n">
        <v>31</v>
      </c>
      <c r="H17" t="inlineStr">
        <is>
          <t xml:space="preserve">Muy bueno </t>
        </is>
      </c>
      <c r="I17" t="inlineStr">
        <is>
          <t>SEPTIMO</t>
        </is>
      </c>
      <c r="J17" t="inlineStr">
        <is>
          <t>TM</t>
        </is>
      </c>
      <c r="K17" t="n">
        <v>0</v>
      </c>
    </row>
    <row r="18">
      <c r="A18" t="inlineStr">
        <is>
          <t>Socio-Emocional</t>
        </is>
      </c>
      <c r="B18" t="inlineStr">
        <is>
          <t>Ale-34. Se rinde fácilmente ante la frustración.</t>
        </is>
      </c>
      <c r="C18" t="inlineStr">
        <is>
          <t>34. Se rinde fácilmente ante la frustración.</t>
        </is>
      </c>
      <c r="D18" t="inlineStr">
        <is>
          <t>Alerta/Mejora</t>
        </is>
      </c>
      <c r="E18" t="n">
        <v>19</v>
      </c>
      <c r="F18" t="n">
        <v>1</v>
      </c>
      <c r="G18" t="n">
        <v>18</v>
      </c>
      <c r="H18" t="inlineStr">
        <is>
          <t>A mejorar</t>
        </is>
      </c>
      <c r="I18" t="inlineStr">
        <is>
          <t>SEPTIMO</t>
        </is>
      </c>
      <c r="J18" t="inlineStr">
        <is>
          <t>TM</t>
        </is>
      </c>
      <c r="K18" t="n">
        <v>0</v>
      </c>
    </row>
    <row r="19">
      <c r="A19" t="inlineStr">
        <is>
          <t>Socio-Emocional</t>
        </is>
      </c>
      <c r="B19" t="inlineStr">
        <is>
          <t>Ale-36. Trabaja de forma aislada o es individualista.</t>
        </is>
      </c>
      <c r="C19" t="inlineStr">
        <is>
          <t>36. Trabaja de forma aislada o es individualista.</t>
        </is>
      </c>
      <c r="D19" t="inlineStr">
        <is>
          <t>Alerta/Mejora</t>
        </is>
      </c>
      <c r="E19" t="n">
        <v>14</v>
      </c>
      <c r="F19" t="n">
        <v>2</v>
      </c>
      <c r="G19" t="n">
        <v>23</v>
      </c>
      <c r="H19" t="inlineStr">
        <is>
          <t>A mejorar</t>
        </is>
      </c>
      <c r="I19" t="inlineStr">
        <is>
          <t>SEPTIMO</t>
        </is>
      </c>
      <c r="J19" t="inlineStr">
        <is>
          <t>TM</t>
        </is>
      </c>
      <c r="K19" t="n">
        <v>0</v>
      </c>
    </row>
    <row r="20">
      <c r="A20" t="inlineStr">
        <is>
          <t>Socio-Emocional</t>
        </is>
      </c>
      <c r="B20" t="inlineStr">
        <is>
          <t>Ale-38. Ignora o se burla de los sentimientos de otros.</t>
        </is>
      </c>
      <c r="C20" t="inlineStr">
        <is>
          <t>38. Ignora o se burla de los sentimientos de otros.</t>
        </is>
      </c>
      <c r="D20" t="inlineStr">
        <is>
          <t>Alerta/Mejora</t>
        </is>
      </c>
      <c r="E20" t="n">
        <v>15</v>
      </c>
      <c r="F20" t="n">
        <v>2</v>
      </c>
      <c r="G20" t="n">
        <v>22</v>
      </c>
      <c r="H20" t="inlineStr">
        <is>
          <t>A mejorar</t>
        </is>
      </c>
      <c r="I20" t="inlineStr">
        <is>
          <t>SEPTIMO</t>
        </is>
      </c>
      <c r="J20" t="inlineStr">
        <is>
          <t>TM</t>
        </is>
      </c>
      <c r="K20" t="n">
        <v>0</v>
      </c>
    </row>
    <row r="21">
      <c r="A21" t="inlineStr">
        <is>
          <t>Socio-Emocional</t>
        </is>
      </c>
      <c r="B21" t="inlineStr">
        <is>
          <t>Ale-40. Ejerce presión negativa o bullying.</t>
        </is>
      </c>
      <c r="C21" t="inlineStr">
        <is>
          <t>40. Ejerce presión negativa o bullying.</t>
        </is>
      </c>
      <c r="D21" t="inlineStr">
        <is>
          <t>Alerta/Mejora</t>
        </is>
      </c>
      <c r="E21" t="n">
        <v>4</v>
      </c>
      <c r="F21" t="n">
        <v>4</v>
      </c>
      <c r="G21" t="n">
        <v>33</v>
      </c>
      <c r="H21" t="inlineStr">
        <is>
          <t xml:space="preserve">Muy bueno </t>
        </is>
      </c>
      <c r="I21" t="inlineStr">
        <is>
          <t>SEPTIMO</t>
        </is>
      </c>
      <c r="J21" t="inlineStr">
        <is>
          <t>TM</t>
        </is>
      </c>
      <c r="K21" t="n">
        <v>0</v>
      </c>
    </row>
    <row r="22">
      <c r="A22" t="inlineStr">
        <is>
          <t>Socio-Emocional</t>
        </is>
      </c>
      <c r="B22" t="inlineStr">
        <is>
          <t>Ale-42. Reacciona de forma agresiva o impulsiva.</t>
        </is>
      </c>
      <c r="C22" t="inlineStr">
        <is>
          <t>42. Reacciona de forma agresiva o impulsiva.</t>
        </is>
      </c>
      <c r="D22" t="inlineStr">
        <is>
          <t>Alerta/Mejora</t>
        </is>
      </c>
      <c r="E22" t="n">
        <v>11</v>
      </c>
      <c r="F22" t="n">
        <v>3</v>
      </c>
      <c r="G22" t="n">
        <v>26</v>
      </c>
      <c r="H22" t="inlineStr">
        <is>
          <t>Bueno</t>
        </is>
      </c>
      <c r="I22" t="inlineStr">
        <is>
          <t>SEPTIMO</t>
        </is>
      </c>
      <c r="J22" t="inlineStr">
        <is>
          <t>TM</t>
        </is>
      </c>
      <c r="K22" t="n">
        <v>0</v>
      </c>
    </row>
    <row r="23">
      <c r="A23" t="inlineStr">
        <is>
          <t>Socio-Emocional</t>
        </is>
      </c>
      <c r="B23" t="inlineStr">
        <is>
          <t>Ale-44. Expresa inseguridad constante ("no puedo").</t>
        </is>
      </c>
      <c r="C23" t="inlineStr">
        <is>
          <t>44. Expresa inseguridad constante ("no puedo").</t>
        </is>
      </c>
      <c r="D23" t="inlineStr">
        <is>
          <t>Alerta/Mejora</t>
        </is>
      </c>
      <c r="E23" t="n">
        <v>19</v>
      </c>
      <c r="F23" t="n">
        <v>1</v>
      </c>
      <c r="G23" t="n">
        <v>18</v>
      </c>
      <c r="H23" t="inlineStr">
        <is>
          <t>A mejorar</t>
        </is>
      </c>
      <c r="I23" t="inlineStr">
        <is>
          <t>SEPTIMO</t>
        </is>
      </c>
      <c r="J23" t="inlineStr">
        <is>
          <t>TM</t>
        </is>
      </c>
      <c r="K23" t="n">
        <v>0</v>
      </c>
    </row>
    <row r="24">
      <c r="A24" t="inlineStr">
        <is>
          <t>Actitudinal</t>
        </is>
      </c>
      <c r="B24" t="inlineStr">
        <is>
          <t>Ale-46. Requiere estímulos externos para trabajar.</t>
        </is>
      </c>
      <c r="C24" t="inlineStr">
        <is>
          <t>46. Requiere estímulos externos para trabajar.</t>
        </is>
      </c>
      <c r="D24" t="inlineStr">
        <is>
          <t>Alerta/Mejora</t>
        </is>
      </c>
      <c r="E24" t="n">
        <v>16</v>
      </c>
      <c r="F24" t="n">
        <v>1</v>
      </c>
      <c r="G24" t="n">
        <v>21</v>
      </c>
      <c r="H24" t="inlineStr">
        <is>
          <t>A mejorar</t>
        </is>
      </c>
      <c r="I24" t="inlineStr">
        <is>
          <t>SEPTIMO</t>
        </is>
      </c>
      <c r="J24" t="inlineStr">
        <is>
          <t>TM</t>
        </is>
      </c>
      <c r="K24" t="n">
        <v>0</v>
      </c>
    </row>
    <row r="25">
      <c r="A25" t="inlineStr">
        <is>
          <t>Actitudinal</t>
        </is>
      </c>
      <c r="B25" t="inlineStr">
        <is>
          <t>Ale-48. Abandona proyectos a mitad de camino.</t>
        </is>
      </c>
      <c r="C25" t="inlineStr">
        <is>
          <t>48. Abandona proyectos a mitad de camino.</t>
        </is>
      </c>
      <c r="D25" t="inlineStr">
        <is>
          <t>Alerta/Mejora</t>
        </is>
      </c>
      <c r="E25" t="n">
        <v>19</v>
      </c>
      <c r="F25" t="n">
        <v>1</v>
      </c>
      <c r="G25" t="n">
        <v>18</v>
      </c>
      <c r="H25" t="inlineStr">
        <is>
          <t>A mejorar</t>
        </is>
      </c>
      <c r="I25" t="inlineStr">
        <is>
          <t>SEPTIMO</t>
        </is>
      </c>
      <c r="J25" t="inlineStr">
        <is>
          <t>TM</t>
        </is>
      </c>
      <c r="K25" t="n">
        <v>0</v>
      </c>
    </row>
    <row r="26">
      <c r="A26" t="inlineStr">
        <is>
          <t>Actitudinal</t>
        </is>
      </c>
      <c r="B26" t="inlineStr">
        <is>
          <t>Ale-50. Se muestra a la defensiva ante críticas.</t>
        </is>
      </c>
      <c r="C26" t="inlineStr">
        <is>
          <t>50. Se muestra a la defensiva ante críticas.</t>
        </is>
      </c>
      <c r="D26" t="inlineStr">
        <is>
          <t>Alerta/Mejora</t>
        </is>
      </c>
      <c r="E26" t="n">
        <v>11</v>
      </c>
      <c r="F26" t="n">
        <v>3</v>
      </c>
      <c r="G26" t="n">
        <v>26</v>
      </c>
      <c r="H26" t="inlineStr">
        <is>
          <t>Bueno</t>
        </is>
      </c>
      <c r="I26" t="inlineStr">
        <is>
          <t>SEPTIMO</t>
        </is>
      </c>
      <c r="J26" t="inlineStr">
        <is>
          <t>TM</t>
        </is>
      </c>
      <c r="K26" t="n">
        <v>0</v>
      </c>
    </row>
    <row r="27">
      <c r="A27" t="inlineStr">
        <is>
          <t>Académica</t>
        </is>
      </c>
      <c r="B27" t="inlineStr">
        <is>
          <t>For-01. Domina los conceptos clave del grado.</t>
        </is>
      </c>
      <c r="C27" t="inlineStr">
        <is>
          <t>01. Domina los conceptos clave del grado.</t>
        </is>
      </c>
      <c r="D27" t="inlineStr">
        <is>
          <t>Fortaleza/Logro</t>
        </is>
      </c>
      <c r="E27" t="n">
        <v>6</v>
      </c>
      <c r="F27" t="n">
        <v>1</v>
      </c>
      <c r="G27" t="n">
        <v>6</v>
      </c>
      <c r="H27" t="inlineStr">
        <is>
          <t>A mejorar</t>
        </is>
      </c>
      <c r="I27" t="inlineStr">
        <is>
          <t>SEPTIMO</t>
        </is>
      </c>
      <c r="J27" t="inlineStr">
        <is>
          <t>TM</t>
        </is>
      </c>
      <c r="K27" t="n">
        <v>0</v>
      </c>
    </row>
    <row r="28">
      <c r="A28" t="inlineStr">
        <is>
          <t>Académica</t>
        </is>
      </c>
      <c r="B28" t="inlineStr">
        <is>
          <t>For-03. Posee un pensamiento crítico y analítico.</t>
        </is>
      </c>
      <c r="C28" t="inlineStr">
        <is>
          <t>03. Posee un pensamiento crítico y analítico.</t>
        </is>
      </c>
      <c r="D28" t="inlineStr">
        <is>
          <t>Fortaleza/Logro</t>
        </is>
      </c>
      <c r="E28" t="n">
        <v>11</v>
      </c>
      <c r="F28" t="n">
        <v>1</v>
      </c>
      <c r="G28" t="n">
        <v>11</v>
      </c>
      <c r="H28" t="inlineStr">
        <is>
          <t>A mejorar</t>
        </is>
      </c>
      <c r="I28" t="inlineStr">
        <is>
          <t>SEPTIMO</t>
        </is>
      </c>
      <c r="J28" t="inlineStr">
        <is>
          <t>TM</t>
        </is>
      </c>
      <c r="K28" t="n">
        <v>0</v>
      </c>
    </row>
    <row r="29">
      <c r="A29" t="inlineStr">
        <is>
          <t>Académica</t>
        </is>
      </c>
      <c r="B29" t="inlineStr">
        <is>
          <t>For-05. Entrega trabajos con alta calidad y orden.</t>
        </is>
      </c>
      <c r="C29" t="inlineStr">
        <is>
          <t>05. Entrega trabajos con alta calidad y orden.</t>
        </is>
      </c>
      <c r="D29" t="inlineStr">
        <is>
          <t>Fortaleza/Logro</t>
        </is>
      </c>
      <c r="E29" t="n">
        <v>12</v>
      </c>
      <c r="F29" t="n">
        <v>1</v>
      </c>
      <c r="G29" t="n">
        <v>12</v>
      </c>
      <c r="H29" t="inlineStr">
        <is>
          <t>A mejorar</t>
        </is>
      </c>
      <c r="I29" t="inlineStr">
        <is>
          <t>SEPTIMO</t>
        </is>
      </c>
      <c r="J29" t="inlineStr">
        <is>
          <t>TM</t>
        </is>
      </c>
      <c r="K29" t="n">
        <v>0</v>
      </c>
    </row>
    <row r="30">
      <c r="A30" t="inlineStr">
        <is>
          <t>Académica</t>
        </is>
      </c>
      <c r="B30" t="inlineStr">
        <is>
          <t>For-07. Resuelve problemas lógicos con fluidez.</t>
        </is>
      </c>
      <c r="C30" t="inlineStr">
        <is>
          <t>07. Resuelve problemas lógicos con fluidez.</t>
        </is>
      </c>
      <c r="D30" t="inlineStr">
        <is>
          <t>Fortaleza/Logro</t>
        </is>
      </c>
      <c r="E30" t="n">
        <v>11</v>
      </c>
      <c r="F30" t="n">
        <v>1</v>
      </c>
      <c r="G30" t="n">
        <v>11</v>
      </c>
      <c r="H30" t="inlineStr">
        <is>
          <t>A mejorar</t>
        </is>
      </c>
      <c r="I30" t="inlineStr">
        <is>
          <t>SEPTIMO</t>
        </is>
      </c>
      <c r="J30" t="inlineStr">
        <is>
          <t>TM</t>
        </is>
      </c>
      <c r="K30" t="n">
        <v>0</v>
      </c>
    </row>
    <row r="31">
      <c r="A31" t="inlineStr">
        <is>
          <t>Académica</t>
        </is>
      </c>
      <c r="B31" t="inlineStr">
        <is>
          <t>For-09. Utiliza vocabulario técnico preciso.</t>
        </is>
      </c>
      <c r="C31" t="inlineStr">
        <is>
          <t>09. Utiliza vocabulario técnico preciso.</t>
        </is>
      </c>
      <c r="D31" t="inlineStr">
        <is>
          <t>Fortaleza/Logro</t>
        </is>
      </c>
      <c r="E31" t="n">
        <v>10</v>
      </c>
      <c r="F31" t="n">
        <v>1</v>
      </c>
      <c r="G31" t="n">
        <v>10</v>
      </c>
      <c r="H31" t="inlineStr">
        <is>
          <t>A mejorar</t>
        </is>
      </c>
      <c r="I31" t="inlineStr">
        <is>
          <t>SEPTIMO</t>
        </is>
      </c>
      <c r="J31" t="inlineStr">
        <is>
          <t>TM</t>
        </is>
      </c>
      <c r="K31" t="n">
        <v>0</v>
      </c>
    </row>
    <row r="32">
      <c r="A32" t="inlineStr">
        <is>
          <t>Académica</t>
        </is>
      </c>
      <c r="B32" t="inlineStr">
        <is>
          <t>For-11. Posee excelentes hábitos de lectura.</t>
        </is>
      </c>
      <c r="C32" t="inlineStr">
        <is>
          <t>11. Posee excelentes hábitos de lectura.</t>
        </is>
      </c>
      <c r="D32" t="inlineStr">
        <is>
          <t>Fortaleza/Logro</t>
        </is>
      </c>
      <c r="E32" t="n">
        <v>10</v>
      </c>
      <c r="F32" t="n">
        <v>1</v>
      </c>
      <c r="G32" t="n">
        <v>10</v>
      </c>
      <c r="H32" t="inlineStr">
        <is>
          <t>A mejorar</t>
        </is>
      </c>
      <c r="I32" t="inlineStr">
        <is>
          <t>SEPTIMO</t>
        </is>
      </c>
      <c r="J32" t="inlineStr">
        <is>
          <t>TM</t>
        </is>
      </c>
      <c r="K32" t="n">
        <v>0</v>
      </c>
    </row>
    <row r="33">
      <c r="A33" t="inlineStr">
        <is>
          <t>Académica</t>
        </is>
      </c>
      <c r="B33" t="inlineStr">
        <is>
          <t>For-13. Es autónomo en la realización de tareas.</t>
        </is>
      </c>
      <c r="C33" t="inlineStr">
        <is>
          <t>13. Es autónomo en la realización de tareas.</t>
        </is>
      </c>
      <c r="D33" t="inlineStr">
        <is>
          <t>Fortaleza/Logro</t>
        </is>
      </c>
      <c r="E33" t="n">
        <v>12</v>
      </c>
      <c r="F33" t="n">
        <v>1</v>
      </c>
      <c r="G33" t="n">
        <v>12</v>
      </c>
      <c r="H33" t="inlineStr">
        <is>
          <t>A mejorar</t>
        </is>
      </c>
      <c r="I33" t="inlineStr">
        <is>
          <t>SEPTIMO</t>
        </is>
      </c>
      <c r="J33" t="inlineStr">
        <is>
          <t>TM</t>
        </is>
      </c>
      <c r="K33" t="n">
        <v>0</v>
      </c>
    </row>
    <row r="34">
      <c r="A34" t="inlineStr">
        <is>
          <t>Académica</t>
        </is>
      </c>
      <c r="B34" t="inlineStr">
        <is>
          <t>For-15. Investiga más allá de lo solicitado.</t>
        </is>
      </c>
      <c r="C34" t="inlineStr">
        <is>
          <t>15. Investiga más allá de lo solicitado.</t>
        </is>
      </c>
      <c r="D34" t="inlineStr">
        <is>
          <t>Fortaleza/Logro</t>
        </is>
      </c>
      <c r="E34" t="n">
        <v>13</v>
      </c>
      <c r="F34" t="n">
        <v>1</v>
      </c>
      <c r="G34" t="n">
        <v>13</v>
      </c>
      <c r="H34" t="inlineStr">
        <is>
          <t>A mejorar</t>
        </is>
      </c>
      <c r="I34" t="inlineStr">
        <is>
          <t>SEPTIMO</t>
        </is>
      </c>
      <c r="J34" t="inlineStr">
        <is>
          <t>TM</t>
        </is>
      </c>
      <c r="K34" t="n">
        <v>0</v>
      </c>
    </row>
    <row r="35">
      <c r="A35" t="inlineStr">
        <is>
          <t>Conductual</t>
        </is>
      </c>
      <c r="B35" t="inlineStr">
        <is>
          <t>For-17. Respeta las normas de convivencia.</t>
        </is>
      </c>
      <c r="C35" t="inlineStr">
        <is>
          <t>17. Respeta las normas de convivencia.</t>
        </is>
      </c>
      <c r="D35" t="inlineStr">
        <is>
          <t>Fortaleza/Logro</t>
        </is>
      </c>
      <c r="E35" t="n">
        <v>22</v>
      </c>
      <c r="F35" t="n">
        <v>2</v>
      </c>
      <c r="G35" t="n">
        <v>22</v>
      </c>
      <c r="H35" t="inlineStr">
        <is>
          <t>A mejorar</t>
        </is>
      </c>
      <c r="I35" t="inlineStr">
        <is>
          <t>SEPTIMO</t>
        </is>
      </c>
      <c r="J35" t="inlineStr">
        <is>
          <t>TM</t>
        </is>
      </c>
      <c r="K35" t="n">
        <v>0</v>
      </c>
    </row>
    <row r="36">
      <c r="A36" t="inlineStr">
        <is>
          <t>Conductual</t>
        </is>
      </c>
      <c r="B36" t="inlineStr">
        <is>
          <t>For-19. Es puntual en todas sus obligaciones.</t>
        </is>
      </c>
      <c r="C36" t="inlineStr">
        <is>
          <t>19. Es puntual en todas sus obligaciones.</t>
        </is>
      </c>
      <c r="D36" t="inlineStr">
        <is>
          <t>Fortaleza/Logro</t>
        </is>
      </c>
      <c r="E36" t="n">
        <v>10</v>
      </c>
      <c r="F36" t="n">
        <v>1</v>
      </c>
      <c r="G36" t="n">
        <v>10</v>
      </c>
      <c r="H36" t="inlineStr">
        <is>
          <t>A mejorar</t>
        </is>
      </c>
      <c r="I36" t="inlineStr">
        <is>
          <t>SEPTIMO</t>
        </is>
      </c>
      <c r="J36" t="inlineStr">
        <is>
          <t>TM</t>
        </is>
      </c>
      <c r="K36" t="n">
        <v>0</v>
      </c>
    </row>
    <row r="37">
      <c r="A37" t="inlineStr">
        <is>
          <t>Conductual</t>
        </is>
      </c>
      <c r="B37" t="inlineStr">
        <is>
          <t>For-21. Cuida el material propio y ajeno.</t>
        </is>
      </c>
      <c r="C37" t="inlineStr">
        <is>
          <t>21. Cuida el material propio y ajeno.</t>
        </is>
      </c>
      <c r="D37" t="inlineStr">
        <is>
          <t>Fortaleza/Logro</t>
        </is>
      </c>
      <c r="E37" t="n">
        <v>23</v>
      </c>
      <c r="F37" t="n">
        <v>2</v>
      </c>
      <c r="G37" t="n">
        <v>23</v>
      </c>
      <c r="H37" t="inlineStr">
        <is>
          <t>A mejorar</t>
        </is>
      </c>
      <c r="I37" t="inlineStr">
        <is>
          <t>SEPTIMO</t>
        </is>
      </c>
      <c r="J37" t="inlineStr">
        <is>
          <t>TM</t>
        </is>
      </c>
      <c r="K37" t="n">
        <v>0</v>
      </c>
    </row>
    <row r="38">
      <c r="A38" t="inlineStr">
        <is>
          <t>Conductual</t>
        </is>
      </c>
      <c r="B38" t="inlineStr">
        <is>
          <t>For-23. Escucha con atención y no interrumpe.</t>
        </is>
      </c>
      <c r="C38" t="inlineStr">
        <is>
          <t>23. Escucha con atención y no interrumpe.</t>
        </is>
      </c>
      <c r="D38" t="inlineStr">
        <is>
          <t>Fortaleza/Logro</t>
        </is>
      </c>
      <c r="E38" t="n">
        <v>20</v>
      </c>
      <c r="F38" t="n">
        <v>1</v>
      </c>
      <c r="G38" t="n">
        <v>20</v>
      </c>
      <c r="H38" t="inlineStr">
        <is>
          <t>A mejorar</t>
        </is>
      </c>
      <c r="I38" t="inlineStr">
        <is>
          <t>SEPTIMO</t>
        </is>
      </c>
      <c r="J38" t="inlineStr">
        <is>
          <t>TM</t>
        </is>
      </c>
      <c r="K38" t="n">
        <v>0</v>
      </c>
    </row>
    <row r="39">
      <c r="A39" t="inlineStr">
        <is>
          <t>Conductual</t>
        </is>
      </c>
      <c r="B39" t="inlineStr">
        <is>
          <t>For-25. Utiliza el lenguaje de forma respetuosa.</t>
        </is>
      </c>
      <c r="C39" t="inlineStr">
        <is>
          <t>25. Utiliza el lenguaje de forma respetuosa.</t>
        </is>
      </c>
      <c r="D39" t="inlineStr">
        <is>
          <t>Fortaleza/Logro</t>
        </is>
      </c>
      <c r="E39" t="n">
        <v>13</v>
      </c>
      <c r="F39" t="n">
        <v>1</v>
      </c>
      <c r="G39" t="n">
        <v>13</v>
      </c>
      <c r="H39" t="inlineStr">
        <is>
          <t>A mejorar</t>
        </is>
      </c>
      <c r="I39" t="inlineStr">
        <is>
          <t>SEPTIMO</t>
        </is>
      </c>
      <c r="J39" t="inlineStr">
        <is>
          <t>TM</t>
        </is>
      </c>
      <c r="K39" t="n">
        <v>0</v>
      </c>
    </row>
    <row r="40">
      <c r="A40" t="inlineStr">
        <is>
          <t>Conductual</t>
        </is>
      </c>
      <c r="B40" t="inlineStr">
        <is>
          <t>For-27. Reconoce sus errores honestamente.</t>
        </is>
      </c>
      <c r="C40" t="inlineStr">
        <is>
          <t>27. Reconoce sus errores honestamente.</t>
        </is>
      </c>
      <c r="D40" t="inlineStr">
        <is>
          <t>Fortaleza/Logro</t>
        </is>
      </c>
      <c r="E40" t="n">
        <v>15</v>
      </c>
      <c r="F40" t="n">
        <v>1</v>
      </c>
      <c r="G40" t="n">
        <v>15</v>
      </c>
      <c r="H40" t="inlineStr">
        <is>
          <t>A mejorar</t>
        </is>
      </c>
      <c r="I40" t="inlineStr">
        <is>
          <t>SEPTIMO</t>
        </is>
      </c>
      <c r="J40" t="inlineStr">
        <is>
          <t>TM</t>
        </is>
      </c>
      <c r="K40" t="n">
        <v>0</v>
      </c>
    </row>
    <row r="41">
      <c r="A41" t="inlineStr">
        <is>
          <t>Conductual</t>
        </is>
      </c>
      <c r="B41" t="inlineStr">
        <is>
          <t>For-29. Usa la tecnología con fines educativos.</t>
        </is>
      </c>
      <c r="C41" t="inlineStr">
        <is>
          <t>29. Usa la tecnología con fines educativos.</t>
        </is>
      </c>
      <c r="D41" t="inlineStr">
        <is>
          <t>Fortaleza/Logro</t>
        </is>
      </c>
      <c r="E41" t="n">
        <v>3</v>
      </c>
      <c r="F41" t="n">
        <v>1</v>
      </c>
      <c r="G41" t="n">
        <v>3</v>
      </c>
      <c r="H41" t="inlineStr">
        <is>
          <t>A mejorar</t>
        </is>
      </c>
      <c r="I41" t="inlineStr">
        <is>
          <t>SEPTIMO</t>
        </is>
      </c>
      <c r="J41" t="inlineStr">
        <is>
          <t>TM</t>
        </is>
      </c>
      <c r="K41" t="n">
        <v>0</v>
      </c>
    </row>
    <row r="42">
      <c r="A42" t="inlineStr">
        <is>
          <t>Conductual</t>
        </is>
      </c>
      <c r="B42" t="inlineStr">
        <is>
          <t>For-31. Mantiene el orden en espacios comunes.</t>
        </is>
      </c>
      <c r="C42" t="inlineStr">
        <is>
          <t>31. Mantiene el orden en espacios comunes.</t>
        </is>
      </c>
      <c r="D42" t="inlineStr">
        <is>
          <t>Fortaleza/Logro</t>
        </is>
      </c>
      <c r="E42" t="n">
        <v>11</v>
      </c>
      <c r="F42" t="n">
        <v>1</v>
      </c>
      <c r="G42" t="n">
        <v>11</v>
      </c>
      <c r="H42" t="inlineStr">
        <is>
          <t>A mejorar</t>
        </is>
      </c>
      <c r="I42" t="inlineStr">
        <is>
          <t>SEPTIMO</t>
        </is>
      </c>
      <c r="J42" t="inlineStr">
        <is>
          <t>TM</t>
        </is>
      </c>
      <c r="K42" t="n">
        <v>0</v>
      </c>
    </row>
    <row r="43">
      <c r="A43" t="inlineStr">
        <is>
          <t>Socio-Emocional</t>
        </is>
      </c>
      <c r="B43" t="inlineStr">
        <is>
          <t>For-33. Muestra resiliencia ante el fracaso.</t>
        </is>
      </c>
      <c r="C43" t="inlineStr">
        <is>
          <t>33. Muestra resiliencia ante el fracaso.</t>
        </is>
      </c>
      <c r="D43" t="inlineStr">
        <is>
          <t>Fortaleza/Logro</t>
        </is>
      </c>
      <c r="E43" t="n">
        <v>18</v>
      </c>
      <c r="F43" t="n">
        <v>1</v>
      </c>
      <c r="G43" t="n">
        <v>18</v>
      </c>
      <c r="H43" t="inlineStr">
        <is>
          <t>A mejorar</t>
        </is>
      </c>
      <c r="I43" t="inlineStr">
        <is>
          <t>SEPTIMO</t>
        </is>
      </c>
      <c r="J43" t="inlineStr">
        <is>
          <t>TM</t>
        </is>
      </c>
      <c r="K43" t="n">
        <v>0</v>
      </c>
    </row>
    <row r="44">
      <c r="A44" t="inlineStr">
        <is>
          <t>Socio-Emocional</t>
        </is>
      </c>
      <c r="B44" t="inlineStr">
        <is>
          <t>For-35. Trabaja de forma colaborativa y equitativa.</t>
        </is>
      </c>
      <c r="C44" t="inlineStr">
        <is>
          <t>35. Trabaja de forma colaborativa y equitativa.</t>
        </is>
      </c>
      <c r="D44" t="inlineStr">
        <is>
          <t>Fortaleza/Logro</t>
        </is>
      </c>
      <c r="E44" t="n">
        <v>16</v>
      </c>
      <c r="F44" t="n">
        <v>1</v>
      </c>
      <c r="G44" t="n">
        <v>16</v>
      </c>
      <c r="H44" t="inlineStr">
        <is>
          <t>A mejorar</t>
        </is>
      </c>
      <c r="I44" t="inlineStr">
        <is>
          <t>SEPTIMO</t>
        </is>
      </c>
      <c r="J44" t="inlineStr">
        <is>
          <t>TM</t>
        </is>
      </c>
      <c r="K44" t="n">
        <v>0</v>
      </c>
    </row>
    <row r="45">
      <c r="A45" t="inlineStr">
        <is>
          <t>Socio-Emocional</t>
        </is>
      </c>
      <c r="B45" t="inlineStr">
        <is>
          <t>For-37. Es empático con las necesidades ajenas.</t>
        </is>
      </c>
      <c r="C45" t="inlineStr">
        <is>
          <t>37. Es empático con las necesidades ajenas.</t>
        </is>
      </c>
      <c r="D45" t="inlineStr">
        <is>
          <t>Fortaleza/Logro</t>
        </is>
      </c>
      <c r="E45" t="n">
        <v>18</v>
      </c>
      <c r="F45" t="n">
        <v>1</v>
      </c>
      <c r="G45" t="n">
        <v>18</v>
      </c>
      <c r="H45" t="inlineStr">
        <is>
          <t>A mejorar</t>
        </is>
      </c>
      <c r="I45" t="inlineStr">
        <is>
          <t>SEPTIMO</t>
        </is>
      </c>
      <c r="J45" t="inlineStr">
        <is>
          <t>TM</t>
        </is>
      </c>
      <c r="K45" t="n">
        <v>0</v>
      </c>
    </row>
    <row r="46">
      <c r="A46" t="inlineStr">
        <is>
          <t>Socio-Emocional</t>
        </is>
      </c>
      <c r="B46" t="inlineStr">
        <is>
          <t>For-39. Posee un liderazgo positivo y ético.</t>
        </is>
      </c>
      <c r="C46" t="inlineStr">
        <is>
          <t>39. Posee un liderazgo positivo y ético.</t>
        </is>
      </c>
      <c r="D46" t="inlineStr">
        <is>
          <t>Fortaleza/Logro</t>
        </is>
      </c>
      <c r="E46" t="n">
        <v>4</v>
      </c>
      <c r="F46" t="n">
        <v>1</v>
      </c>
      <c r="G46" t="n">
        <v>4</v>
      </c>
      <c r="H46" t="inlineStr">
        <is>
          <t>A mejorar</t>
        </is>
      </c>
      <c r="I46" t="inlineStr">
        <is>
          <t>SEPTIMO</t>
        </is>
      </c>
      <c r="J46" t="inlineStr">
        <is>
          <t>TM</t>
        </is>
      </c>
      <c r="K46" t="n">
        <v>0</v>
      </c>
    </row>
    <row r="47">
      <c r="A47" t="inlineStr">
        <is>
          <t>Socio-Emocional</t>
        </is>
      </c>
      <c r="B47" t="inlineStr">
        <is>
          <t>For-41. Se comunica de manera asertiva.</t>
        </is>
      </c>
      <c r="C47" t="inlineStr">
        <is>
          <t>41. Se comunica de manera asertiva.</t>
        </is>
      </c>
      <c r="D47" t="inlineStr">
        <is>
          <t>Fortaleza/Logro</t>
        </is>
      </c>
      <c r="E47" t="n">
        <v>6</v>
      </c>
      <c r="F47" t="n">
        <v>1</v>
      </c>
      <c r="G47" t="n">
        <v>6</v>
      </c>
      <c r="H47" t="inlineStr">
        <is>
          <t>A mejorar</t>
        </is>
      </c>
      <c r="I47" t="inlineStr">
        <is>
          <t>SEPTIMO</t>
        </is>
      </c>
      <c r="J47" t="inlineStr">
        <is>
          <t>TM</t>
        </is>
      </c>
      <c r="K47" t="n">
        <v>0</v>
      </c>
    </row>
    <row r="48">
      <c r="A48" t="inlineStr">
        <is>
          <t>Socio-Emocional</t>
        </is>
      </c>
      <c r="B48" t="inlineStr">
        <is>
          <t>For-43. Tiene una autoestima académica sólida.</t>
        </is>
      </c>
      <c r="C48" t="inlineStr">
        <is>
          <t>43. Tiene una autoestima académica sólida.</t>
        </is>
      </c>
      <c r="D48" t="inlineStr">
        <is>
          <t>Fortaleza/Logro</t>
        </is>
      </c>
      <c r="E48" t="n">
        <v>6</v>
      </c>
      <c r="F48" t="n">
        <v>1</v>
      </c>
      <c r="G48" t="n">
        <v>6</v>
      </c>
      <c r="H48" t="inlineStr">
        <is>
          <t>A mejorar</t>
        </is>
      </c>
      <c r="I48" t="inlineStr">
        <is>
          <t>SEPTIMO</t>
        </is>
      </c>
      <c r="J48" t="inlineStr">
        <is>
          <t>TM</t>
        </is>
      </c>
      <c r="K48" t="n">
        <v>0</v>
      </c>
    </row>
    <row r="49">
      <c r="A49" t="inlineStr">
        <is>
          <t>Actitudinal</t>
        </is>
      </c>
      <c r="B49" t="inlineStr">
        <is>
          <t>For-45. Muestra curiosidad e iniciativa propia.</t>
        </is>
      </c>
      <c r="C49" t="inlineStr">
        <is>
          <t>45. Muestra curiosidad e iniciativa propia.</t>
        </is>
      </c>
      <c r="D49" t="inlineStr">
        <is>
          <t>Fortaleza/Logro</t>
        </is>
      </c>
      <c r="E49" t="n">
        <v>16</v>
      </c>
      <c r="F49" t="n">
        <v>1</v>
      </c>
      <c r="G49" t="n">
        <v>16</v>
      </c>
      <c r="H49" t="inlineStr">
        <is>
          <t>A mejorar</t>
        </is>
      </c>
      <c r="I49" t="inlineStr">
        <is>
          <t>SEPTIMO</t>
        </is>
      </c>
      <c r="J49" t="inlineStr">
        <is>
          <t>TM</t>
        </is>
      </c>
      <c r="K49" t="n">
        <v>0</v>
      </c>
    </row>
    <row r="50">
      <c r="A50" t="inlineStr">
        <is>
          <t>Actitudinal</t>
        </is>
      </c>
      <c r="B50" t="inlineStr">
        <is>
          <t>For-47. Es persistente en tareas complejas.</t>
        </is>
      </c>
      <c r="C50" t="inlineStr">
        <is>
          <t>47. Es persistente en tareas complejas.</t>
        </is>
      </c>
      <c r="D50" t="inlineStr">
        <is>
          <t>Fortaleza/Logro</t>
        </is>
      </c>
      <c r="E50" t="n">
        <v>5</v>
      </c>
      <c r="F50" t="n">
        <v>1</v>
      </c>
      <c r="G50" t="n">
        <v>5</v>
      </c>
      <c r="H50" t="inlineStr">
        <is>
          <t>A mejorar</t>
        </is>
      </c>
      <c r="I50" t="inlineStr">
        <is>
          <t>SEPTIMO</t>
        </is>
      </c>
      <c r="J50" t="inlineStr">
        <is>
          <t>TM</t>
        </is>
      </c>
      <c r="K50" t="n">
        <v>0</v>
      </c>
    </row>
    <row r="51">
      <c r="A51" t="inlineStr">
        <is>
          <t>Actitudinal</t>
        </is>
      </c>
      <c r="B51" t="inlineStr">
        <is>
          <t>For-49. Acepta retroalimentación constructiva.</t>
        </is>
      </c>
      <c r="C51" t="inlineStr">
        <is>
          <t>49. Acepta retroalimentación constructiva.</t>
        </is>
      </c>
      <c r="D51" t="inlineStr">
        <is>
          <t>Fortaleza/Logro</t>
        </is>
      </c>
      <c r="E51" t="n">
        <v>12</v>
      </c>
      <c r="F51" t="n">
        <v>1</v>
      </c>
      <c r="G51" t="n">
        <v>12</v>
      </c>
      <c r="H51" t="inlineStr">
        <is>
          <t>A mejorar</t>
        </is>
      </c>
      <c r="I51" t="inlineStr">
        <is>
          <t>SEPTIMO</t>
        </is>
      </c>
      <c r="J51" t="inlineStr">
        <is>
          <t>TM</t>
        </is>
      </c>
      <c r="K51" t="n">
        <v>0</v>
      </c>
    </row>
    <row r="52">
      <c r="A52">
        <f t="array" ref="A52:K102">+septimo_TT_tabla</f>
        <v/>
      </c>
      <c r="B52" t="inlineStr">
        <is>
          <t xml:space="preserve">Indicador </t>
        </is>
      </c>
      <c r="C52" t="inlineStr">
        <is>
          <t xml:space="preserve">Indicador </t>
        </is>
      </c>
      <c r="D52" t="inlineStr">
        <is>
          <t>Tipo de Indicador</t>
        </is>
      </c>
      <c r="E52" t="inlineStr">
        <is>
          <t>Cantidad de veces</t>
        </is>
      </c>
      <c r="F52" t="inlineStr">
        <is>
          <t>NOTA</t>
        </is>
      </c>
      <c r="G52" t="inlineStr">
        <is>
          <t>PR</t>
        </is>
      </c>
      <c r="H52" t="inlineStr">
        <is>
          <t>VALORACION</t>
        </is>
      </c>
      <c r="I52" t="inlineStr">
        <is>
          <t>GRADO</t>
        </is>
      </c>
      <c r="J52" t="inlineStr">
        <is>
          <t>TURNO</t>
        </is>
      </c>
      <c r="K52" t="inlineStr">
        <is>
          <t>NF</t>
        </is>
      </c>
    </row>
    <row r="53">
      <c r="A53" t="inlineStr">
        <is>
          <t>Académica</t>
        </is>
      </c>
      <c r="B53" t="inlineStr">
        <is>
          <t>Ale-02. Presenta lagunas en conocimientos previos.</t>
        </is>
      </c>
      <c r="C53" t="inlineStr">
        <is>
          <t>02. Presenta lagunas en conocimientos previos.</t>
        </is>
      </c>
      <c r="D53" t="inlineStr">
        <is>
          <t>Alerta/Mejora</t>
        </is>
      </c>
      <c r="E53" t="n">
        <v>12</v>
      </c>
      <c r="F53" t="n">
        <v>1</v>
      </c>
      <c r="G53" t="n">
        <v>2</v>
      </c>
      <c r="H53" t="inlineStr">
        <is>
          <t>A mejorar</t>
        </is>
      </c>
      <c r="I53" t="inlineStr">
        <is>
          <t>SEPTIMO</t>
        </is>
      </c>
      <c r="J53" t="inlineStr">
        <is>
          <t>TT</t>
        </is>
      </c>
      <c r="K53" t="n">
        <v>0</v>
      </c>
    </row>
    <row r="54">
      <c r="A54" t="inlineStr">
        <is>
          <t>Académica</t>
        </is>
      </c>
      <c r="B54" t="inlineStr">
        <is>
          <t>Ale-04. Se limita a memorizar sin comprender.</t>
        </is>
      </c>
      <c r="C54" t="inlineStr">
        <is>
          <t>04. Se limita a memorizar sin comprender.</t>
        </is>
      </c>
      <c r="D54" t="inlineStr">
        <is>
          <t>Alerta/Mejora</t>
        </is>
      </c>
      <c r="E54" t="n">
        <v>8</v>
      </c>
      <c r="F54" t="n">
        <v>1</v>
      </c>
      <c r="G54" t="n">
        <v>6</v>
      </c>
      <c r="H54" t="inlineStr">
        <is>
          <t>A mejorar</t>
        </is>
      </c>
      <c r="I54" t="inlineStr">
        <is>
          <t>SEPTIMO</t>
        </is>
      </c>
      <c r="J54" t="inlineStr">
        <is>
          <t>TT</t>
        </is>
      </c>
      <c r="K54" t="n">
        <v>0</v>
      </c>
    </row>
    <row r="55">
      <c r="A55" t="inlineStr">
        <is>
          <t>Académica</t>
        </is>
      </c>
      <c r="B55" t="inlineStr">
        <is>
          <t>Ale-06. Entrega tareas incompletas o descuidadas.</t>
        </is>
      </c>
      <c r="C55" t="inlineStr">
        <is>
          <t>06. Entrega tareas incompletas o descuidadas.</t>
        </is>
      </c>
      <c r="D55" t="inlineStr">
        <is>
          <t>Alerta/Mejora</t>
        </is>
      </c>
      <c r="E55" t="n">
        <v>3</v>
      </c>
      <c r="F55" t="n">
        <v>3</v>
      </c>
      <c r="G55" t="n">
        <v>11</v>
      </c>
      <c r="H55" t="inlineStr">
        <is>
          <t>Bueno</t>
        </is>
      </c>
      <c r="I55" t="inlineStr">
        <is>
          <t>SEPTIMO</t>
        </is>
      </c>
      <c r="J55" t="inlineStr">
        <is>
          <t>TT</t>
        </is>
      </c>
      <c r="K55" t="n">
        <v>0</v>
      </c>
    </row>
    <row r="56">
      <c r="A56" t="inlineStr">
        <is>
          <t>Académica</t>
        </is>
      </c>
      <c r="B56" t="inlineStr">
        <is>
          <t>Ale-08. Se bloquea ante desafíos matemáticos.</t>
        </is>
      </c>
      <c r="C56" t="inlineStr">
        <is>
          <t>08. Se bloquea ante desafíos matemáticos.</t>
        </is>
      </c>
      <c r="D56" t="inlineStr">
        <is>
          <t>Alerta/Mejora</t>
        </is>
      </c>
      <c r="E56" t="n">
        <v>7</v>
      </c>
      <c r="F56" t="n">
        <v>1</v>
      </c>
      <c r="G56" t="n">
        <v>7</v>
      </c>
      <c r="H56" t="inlineStr">
        <is>
          <t>A mejorar</t>
        </is>
      </c>
      <c r="I56" t="inlineStr">
        <is>
          <t>SEPTIMO</t>
        </is>
      </c>
      <c r="J56" t="inlineStr">
        <is>
          <t>TT</t>
        </is>
      </c>
      <c r="K56" t="n">
        <v>0</v>
      </c>
    </row>
    <row r="57">
      <c r="A57" t="inlineStr">
        <is>
          <t>Académica</t>
        </is>
      </c>
      <c r="B57" t="inlineStr">
        <is>
          <t>Ale-10. Tiene dificultades de expresión oral/escrita.</t>
        </is>
      </c>
      <c r="C57" t="inlineStr">
        <is>
          <t>10. Tiene dificultades de expresión oral/escrita.</t>
        </is>
      </c>
      <c r="D57" t="inlineStr">
        <is>
          <t>Alerta/Mejora</t>
        </is>
      </c>
      <c r="E57" t="n">
        <v>2</v>
      </c>
      <c r="F57" t="n">
        <v>4</v>
      </c>
      <c r="G57" t="n">
        <v>12</v>
      </c>
      <c r="H57" t="inlineStr">
        <is>
          <t xml:space="preserve">Muy bueno </t>
        </is>
      </c>
      <c r="I57" t="inlineStr">
        <is>
          <t>SEPTIMO</t>
        </is>
      </c>
      <c r="J57" t="inlineStr">
        <is>
          <t>TT</t>
        </is>
      </c>
      <c r="K57" t="n">
        <v>0</v>
      </c>
    </row>
    <row r="58">
      <c r="A58" t="inlineStr">
        <is>
          <t>Académica</t>
        </is>
      </c>
      <c r="B58" t="inlineStr">
        <is>
          <t>Ale-12. Muestra rechazo o desinterés por la lectura.</t>
        </is>
      </c>
      <c r="C58" t="inlineStr">
        <is>
          <t>12. Muestra rechazo o desinterés por la lectura.</t>
        </is>
      </c>
      <c r="D58" t="inlineStr">
        <is>
          <t>Alerta/Mejora</t>
        </is>
      </c>
      <c r="E58" t="n">
        <v>3</v>
      </c>
      <c r="F58" t="n">
        <v>3</v>
      </c>
      <c r="G58" t="n">
        <v>11</v>
      </c>
      <c r="H58" t="inlineStr">
        <is>
          <t>Bueno</t>
        </is>
      </c>
      <c r="I58" t="inlineStr">
        <is>
          <t>SEPTIMO</t>
        </is>
      </c>
      <c r="J58" t="inlineStr">
        <is>
          <t>TT</t>
        </is>
      </c>
      <c r="K58" t="n">
        <v>0</v>
      </c>
    </row>
    <row r="59">
      <c r="A59" t="inlineStr">
        <is>
          <t>Académica</t>
        </is>
      </c>
      <c r="B59" t="inlineStr">
        <is>
          <t>Ale-14. Requiere supervisión constante para avanzar.</t>
        </is>
      </c>
      <c r="C59" t="inlineStr">
        <is>
          <t>14. Requiere supervisión constante para avanzar.</t>
        </is>
      </c>
      <c r="D59" t="inlineStr">
        <is>
          <t>Alerta/Mejora</t>
        </is>
      </c>
      <c r="E59" t="n">
        <v>3</v>
      </c>
      <c r="F59" t="n">
        <v>3</v>
      </c>
      <c r="G59" t="n">
        <v>11</v>
      </c>
      <c r="H59" t="inlineStr">
        <is>
          <t>Bueno</t>
        </is>
      </c>
      <c r="I59" t="inlineStr">
        <is>
          <t>SEPTIMO</t>
        </is>
      </c>
      <c r="J59" t="inlineStr">
        <is>
          <t>TT</t>
        </is>
      </c>
      <c r="K59" t="n">
        <v>0</v>
      </c>
    </row>
    <row r="60">
      <c r="A60" t="inlineStr">
        <is>
          <t>Académica</t>
        </is>
      </c>
      <c r="B60" t="inlineStr">
        <is>
          <t>Ale-16. Muestra apatía por temas nuevos.</t>
        </is>
      </c>
      <c r="C60" t="inlineStr">
        <is>
          <t>16. Muestra apatía por temas nuevos.</t>
        </is>
      </c>
      <c r="D60" t="inlineStr">
        <is>
          <t>Alerta/Mejora</t>
        </is>
      </c>
      <c r="E60" t="n">
        <v>0</v>
      </c>
      <c r="F60" t="n">
        <v>4</v>
      </c>
      <c r="G60" t="n">
        <v>14</v>
      </c>
      <c r="H60" t="inlineStr">
        <is>
          <t xml:space="preserve">Muy bueno </t>
        </is>
      </c>
      <c r="I60" t="inlineStr">
        <is>
          <t>SEPTIMO</t>
        </is>
      </c>
      <c r="J60" t="inlineStr">
        <is>
          <t>TT</t>
        </is>
      </c>
      <c r="K60" t="n">
        <v>0</v>
      </c>
    </row>
    <row r="61">
      <c r="A61" t="inlineStr">
        <is>
          <t>Conductual</t>
        </is>
      </c>
      <c r="B61" t="inlineStr">
        <is>
          <t>Ale-18. Desafía activamente la autoridad.</t>
        </is>
      </c>
      <c r="C61" t="inlineStr">
        <is>
          <t>18. Desafía activamente la autoridad.</t>
        </is>
      </c>
      <c r="D61" t="inlineStr">
        <is>
          <t>Alerta/Mejora</t>
        </is>
      </c>
      <c r="E61" t="n">
        <v>0</v>
      </c>
      <c r="F61" t="n">
        <v>4</v>
      </c>
      <c r="G61" t="n">
        <v>14</v>
      </c>
      <c r="H61" t="inlineStr">
        <is>
          <t xml:space="preserve">Muy bueno </t>
        </is>
      </c>
      <c r="I61" t="inlineStr">
        <is>
          <t>SEPTIMO</t>
        </is>
      </c>
      <c r="J61" t="inlineStr">
        <is>
          <t>TT</t>
        </is>
      </c>
      <c r="K61" t="n">
        <v>0</v>
      </c>
    </row>
    <row r="62">
      <c r="A62" t="inlineStr">
        <is>
          <t>Conductual</t>
        </is>
      </c>
      <c r="B62" t="inlineStr">
        <is>
          <t>Ale-20. Presenta retardos o inasistencias frecuentes.</t>
        </is>
      </c>
      <c r="C62" t="inlineStr">
        <is>
          <t>20. Presenta retardos o inasistencias frecuentes.</t>
        </is>
      </c>
      <c r="D62" t="inlineStr">
        <is>
          <t>Alerta/Mejora</t>
        </is>
      </c>
      <c r="E62" t="n">
        <v>2</v>
      </c>
      <c r="F62" t="n">
        <v>4</v>
      </c>
      <c r="G62" t="n">
        <v>12</v>
      </c>
      <c r="H62" t="inlineStr">
        <is>
          <t xml:space="preserve">Muy bueno </t>
        </is>
      </c>
      <c r="I62" t="inlineStr">
        <is>
          <t>SEPTIMO</t>
        </is>
      </c>
      <c r="J62" t="inlineStr">
        <is>
          <t>TT</t>
        </is>
      </c>
      <c r="K62" t="n">
        <v>0</v>
      </c>
    </row>
    <row r="63">
      <c r="A63" t="inlineStr">
        <is>
          <t>Conductual</t>
        </is>
      </c>
      <c r="B63" t="inlineStr">
        <is>
          <t>Ale-22. Daña el mobiliario o materiales escolares.</t>
        </is>
      </c>
      <c r="C63" t="inlineStr">
        <is>
          <t>22. Daña el mobiliario o materiales escolares.</t>
        </is>
      </c>
      <c r="D63" t="inlineStr">
        <is>
          <t>Alerta/Mejora</t>
        </is>
      </c>
      <c r="E63" t="n">
        <v>0</v>
      </c>
      <c r="F63" t="n">
        <v>4</v>
      </c>
      <c r="G63" t="n">
        <v>14</v>
      </c>
      <c r="H63" t="inlineStr">
        <is>
          <t xml:space="preserve">Muy bueno </t>
        </is>
      </c>
      <c r="I63" t="inlineStr">
        <is>
          <t>SEPTIMO</t>
        </is>
      </c>
      <c r="J63" t="inlineStr">
        <is>
          <t>TT</t>
        </is>
      </c>
      <c r="K63" t="n">
        <v>0</v>
      </c>
    </row>
    <row r="64">
      <c r="A64" t="inlineStr">
        <is>
          <t>Conductual</t>
        </is>
      </c>
      <c r="B64" t="inlineStr">
        <is>
          <t>Ale-24. Interrumpe constantemente el flujo de clase.</t>
        </is>
      </c>
      <c r="C64" t="inlineStr">
        <is>
          <t>24. Interrumpe constantemente el flujo de clase.</t>
        </is>
      </c>
      <c r="D64" t="inlineStr">
        <is>
          <t>Alerta/Mejora</t>
        </is>
      </c>
      <c r="E64" t="n">
        <v>2</v>
      </c>
      <c r="F64" t="n">
        <v>4</v>
      </c>
      <c r="G64" t="n">
        <v>12</v>
      </c>
      <c r="H64" t="inlineStr">
        <is>
          <t xml:space="preserve">Muy bueno </t>
        </is>
      </c>
      <c r="I64" t="inlineStr">
        <is>
          <t>SEPTIMO</t>
        </is>
      </c>
      <c r="J64" t="inlineStr">
        <is>
          <t>TT</t>
        </is>
      </c>
      <c r="K64" t="n">
        <v>0</v>
      </c>
    </row>
    <row r="65">
      <c r="A65" t="inlineStr">
        <is>
          <t>Conductual</t>
        </is>
      </c>
      <c r="B65" t="inlineStr">
        <is>
          <t>Ale-26. Emplea lenguaje soez o despectivo.</t>
        </is>
      </c>
      <c r="C65" t="inlineStr">
        <is>
          <t>26. Emplea lenguaje soez o despectivo.</t>
        </is>
      </c>
      <c r="D65" t="inlineStr">
        <is>
          <t>Alerta/Mejora</t>
        </is>
      </c>
      <c r="E65" t="n">
        <v>0</v>
      </c>
      <c r="F65" t="n">
        <v>4</v>
      </c>
      <c r="G65" t="n">
        <v>14</v>
      </c>
      <c r="H65" t="inlineStr">
        <is>
          <t xml:space="preserve">Muy bueno </t>
        </is>
      </c>
      <c r="I65" t="inlineStr">
        <is>
          <t>SEPTIMO</t>
        </is>
      </c>
      <c r="J65" t="inlineStr">
        <is>
          <t>TT</t>
        </is>
      </c>
      <c r="K65" t="n">
        <v>0</v>
      </c>
    </row>
    <row r="66">
      <c r="A66" t="inlineStr">
        <is>
          <t>Conductual</t>
        </is>
      </c>
      <c r="B66" t="inlineStr">
        <is>
          <t>Ale-28. Miente o culpa a otros por sus actos.</t>
        </is>
      </c>
      <c r="C66" t="inlineStr">
        <is>
          <t>28. Miente o culpa a otros por sus actos.</t>
        </is>
      </c>
      <c r="D66" t="inlineStr">
        <is>
          <t>Alerta/Mejora</t>
        </is>
      </c>
      <c r="E66" t="n">
        <v>0</v>
      </c>
      <c r="F66" t="n">
        <v>4</v>
      </c>
      <c r="G66" t="n">
        <v>14</v>
      </c>
      <c r="H66" t="inlineStr">
        <is>
          <t xml:space="preserve">Muy bueno </t>
        </is>
      </c>
      <c r="I66" t="inlineStr">
        <is>
          <t>SEPTIMO</t>
        </is>
      </c>
      <c r="J66" t="inlineStr">
        <is>
          <t>TT</t>
        </is>
      </c>
      <c r="K66" t="n">
        <v>0</v>
      </c>
    </row>
    <row r="67">
      <c r="A67" t="inlineStr">
        <is>
          <t>Conductual</t>
        </is>
      </c>
      <c r="B67" t="inlineStr">
        <is>
          <t>Ale-30. Se distrae con dispositivos electrónicos.</t>
        </is>
      </c>
      <c r="C67" t="inlineStr">
        <is>
          <t>30. Se distrae con dispositivos electrónicos.</t>
        </is>
      </c>
      <c r="D67" t="inlineStr">
        <is>
          <t>Alerta/Mejora</t>
        </is>
      </c>
      <c r="E67" t="n">
        <v>0</v>
      </c>
      <c r="F67" t="n">
        <v>4</v>
      </c>
      <c r="G67" t="n">
        <v>14</v>
      </c>
      <c r="H67" t="inlineStr">
        <is>
          <t xml:space="preserve">Muy bueno </t>
        </is>
      </c>
      <c r="I67" t="inlineStr">
        <is>
          <t>SEPTIMO</t>
        </is>
      </c>
      <c r="J67" t="inlineStr">
        <is>
          <t>TT</t>
        </is>
      </c>
      <c r="K67" t="n">
        <v>0</v>
      </c>
    </row>
    <row r="68">
      <c r="A68" t="inlineStr">
        <is>
          <t>Conductual</t>
        </is>
      </c>
      <c r="B68" t="inlineStr">
        <is>
          <t>Ale-32. Fomenta el desorden o el caos en el grupo.</t>
        </is>
      </c>
      <c r="C68" t="inlineStr">
        <is>
          <t>32. Fomenta el desorden o el caos en el grupo.</t>
        </is>
      </c>
      <c r="D68" t="inlineStr">
        <is>
          <t>Alerta/Mejora</t>
        </is>
      </c>
      <c r="E68" t="n">
        <v>0</v>
      </c>
      <c r="F68" t="n">
        <v>4</v>
      </c>
      <c r="G68" t="n">
        <v>14</v>
      </c>
      <c r="H68" t="inlineStr">
        <is>
          <t xml:space="preserve">Muy bueno </t>
        </is>
      </c>
      <c r="I68" t="inlineStr">
        <is>
          <t>SEPTIMO</t>
        </is>
      </c>
      <c r="J68" t="inlineStr">
        <is>
          <t>TT</t>
        </is>
      </c>
      <c r="K68" t="n">
        <v>0</v>
      </c>
    </row>
    <row r="69">
      <c r="A69" t="inlineStr">
        <is>
          <t>Socio-Emocional</t>
        </is>
      </c>
      <c r="B69" t="inlineStr">
        <is>
          <t>Ale-34. Se rinde fácilmente ante la frustración.</t>
        </is>
      </c>
      <c r="C69" t="inlineStr">
        <is>
          <t>34. Se rinde fácilmente ante la frustración.</t>
        </is>
      </c>
      <c r="D69" t="inlineStr">
        <is>
          <t>Alerta/Mejora</t>
        </is>
      </c>
      <c r="E69" t="n">
        <v>2</v>
      </c>
      <c r="F69" t="n">
        <v>4</v>
      </c>
      <c r="G69" t="n">
        <v>12</v>
      </c>
      <c r="H69" t="inlineStr">
        <is>
          <t xml:space="preserve">Muy bueno </t>
        </is>
      </c>
      <c r="I69" t="inlineStr">
        <is>
          <t>SEPTIMO</t>
        </is>
      </c>
      <c r="J69" t="inlineStr">
        <is>
          <t>TT</t>
        </is>
      </c>
      <c r="K69" t="n">
        <v>0</v>
      </c>
    </row>
    <row r="70">
      <c r="A70" t="inlineStr">
        <is>
          <t>Socio-Emocional</t>
        </is>
      </c>
      <c r="B70" t="inlineStr">
        <is>
          <t>Ale-36. Trabaja de forma aislada o es individualista.</t>
        </is>
      </c>
      <c r="C70" t="inlineStr">
        <is>
          <t>36. Trabaja de forma aislada o es individualista.</t>
        </is>
      </c>
      <c r="D70" t="inlineStr">
        <is>
          <t>Alerta/Mejora</t>
        </is>
      </c>
      <c r="E70" t="n">
        <v>1</v>
      </c>
      <c r="F70" t="n">
        <v>4</v>
      </c>
      <c r="G70" t="n">
        <v>13</v>
      </c>
      <c r="H70" t="inlineStr">
        <is>
          <t xml:space="preserve">Muy bueno </t>
        </is>
      </c>
      <c r="I70" t="inlineStr">
        <is>
          <t>SEPTIMO</t>
        </is>
      </c>
      <c r="J70" t="inlineStr">
        <is>
          <t>TT</t>
        </is>
      </c>
      <c r="K70" t="n">
        <v>0</v>
      </c>
    </row>
    <row r="71">
      <c r="A71" t="inlineStr">
        <is>
          <t>Socio-Emocional</t>
        </is>
      </c>
      <c r="B71" t="inlineStr">
        <is>
          <t>Ale-38. Ignora o se burla de los sentimientos de otros.</t>
        </is>
      </c>
      <c r="C71" t="inlineStr">
        <is>
          <t>38. Ignora o se burla de los sentimientos de otros.</t>
        </is>
      </c>
      <c r="D71" t="inlineStr">
        <is>
          <t>Alerta/Mejora</t>
        </is>
      </c>
      <c r="E71" t="n">
        <v>3</v>
      </c>
      <c r="F71" t="n">
        <v>3</v>
      </c>
      <c r="G71" t="n">
        <v>11</v>
      </c>
      <c r="H71" t="inlineStr">
        <is>
          <t>Bueno</t>
        </is>
      </c>
      <c r="I71" t="inlineStr">
        <is>
          <t>SEPTIMO</t>
        </is>
      </c>
      <c r="J71" t="inlineStr">
        <is>
          <t>TT</t>
        </is>
      </c>
      <c r="K71" t="n">
        <v>0</v>
      </c>
    </row>
    <row r="72">
      <c r="A72" t="inlineStr">
        <is>
          <t>Socio-Emocional</t>
        </is>
      </c>
      <c r="B72" t="inlineStr">
        <is>
          <t>Ale-40. Ejerce presión negativa o bullying.</t>
        </is>
      </c>
      <c r="C72" t="inlineStr">
        <is>
          <t>40. Ejerce presión negativa o bullying.</t>
        </is>
      </c>
      <c r="D72" t="inlineStr">
        <is>
          <t>Alerta/Mejora</t>
        </is>
      </c>
      <c r="E72" t="n">
        <v>1</v>
      </c>
      <c r="F72" t="n">
        <v>4</v>
      </c>
      <c r="G72" t="n">
        <v>13</v>
      </c>
      <c r="H72" t="inlineStr">
        <is>
          <t xml:space="preserve">Muy bueno </t>
        </is>
      </c>
      <c r="I72" t="inlineStr">
        <is>
          <t>SEPTIMO</t>
        </is>
      </c>
      <c r="J72" t="inlineStr">
        <is>
          <t>TT</t>
        </is>
      </c>
      <c r="K72" t="n">
        <v>0</v>
      </c>
    </row>
    <row r="73">
      <c r="A73" t="inlineStr">
        <is>
          <t>Socio-Emocional</t>
        </is>
      </c>
      <c r="B73" t="inlineStr">
        <is>
          <t>Ale-42. Reacciona de forma agresiva o impulsiva.</t>
        </is>
      </c>
      <c r="C73" t="inlineStr">
        <is>
          <t>42. Reacciona de forma agresiva o impulsiva.</t>
        </is>
      </c>
      <c r="D73" t="inlineStr">
        <is>
          <t>Alerta/Mejora</t>
        </is>
      </c>
      <c r="E73" t="n">
        <v>1</v>
      </c>
      <c r="F73" t="n">
        <v>4</v>
      </c>
      <c r="G73" t="n">
        <v>13</v>
      </c>
      <c r="H73" t="inlineStr">
        <is>
          <t xml:space="preserve">Muy bueno </t>
        </is>
      </c>
      <c r="I73" t="inlineStr">
        <is>
          <t>SEPTIMO</t>
        </is>
      </c>
      <c r="J73" t="inlineStr">
        <is>
          <t>TT</t>
        </is>
      </c>
      <c r="K73" t="n">
        <v>0</v>
      </c>
    </row>
    <row r="74">
      <c r="A74" t="inlineStr">
        <is>
          <t>Socio-Emocional</t>
        </is>
      </c>
      <c r="B74" t="inlineStr">
        <is>
          <t>Ale-44. Expresa inseguridad constante ("no puedo").</t>
        </is>
      </c>
      <c r="C74" t="inlineStr">
        <is>
          <t>44. Expresa inseguridad constante ("no puedo").</t>
        </is>
      </c>
      <c r="D74" t="inlineStr">
        <is>
          <t>Alerta/Mejora</t>
        </is>
      </c>
      <c r="E74" t="n">
        <v>1</v>
      </c>
      <c r="F74" t="n">
        <v>4</v>
      </c>
      <c r="G74" t="n">
        <v>13</v>
      </c>
      <c r="H74" t="inlineStr">
        <is>
          <t xml:space="preserve">Muy bueno </t>
        </is>
      </c>
      <c r="I74" t="inlineStr">
        <is>
          <t>SEPTIMO</t>
        </is>
      </c>
      <c r="J74" t="inlineStr">
        <is>
          <t>TT</t>
        </is>
      </c>
      <c r="K74" t="n">
        <v>0</v>
      </c>
    </row>
    <row r="75">
      <c r="A75" t="inlineStr">
        <is>
          <t>Actitudinal</t>
        </is>
      </c>
      <c r="B75" t="inlineStr">
        <is>
          <t>Ale-46. Requiere estímulos externos para trabajar.</t>
        </is>
      </c>
      <c r="C75" t="inlineStr">
        <is>
          <t>46. Requiere estímulos externos para trabajar.</t>
        </is>
      </c>
      <c r="D75" t="inlineStr">
        <is>
          <t>Alerta/Mejora</t>
        </is>
      </c>
      <c r="E75" t="n">
        <v>2</v>
      </c>
      <c r="F75" t="n">
        <v>4</v>
      </c>
      <c r="G75" t="n">
        <v>12</v>
      </c>
      <c r="H75" t="inlineStr">
        <is>
          <t xml:space="preserve">Muy bueno </t>
        </is>
      </c>
      <c r="I75" t="inlineStr">
        <is>
          <t>SEPTIMO</t>
        </is>
      </c>
      <c r="J75" t="inlineStr">
        <is>
          <t>TT</t>
        </is>
      </c>
      <c r="K75" t="n">
        <v>0</v>
      </c>
    </row>
    <row r="76">
      <c r="A76" t="inlineStr">
        <is>
          <t>Actitudinal</t>
        </is>
      </c>
      <c r="B76" t="inlineStr">
        <is>
          <t>Ale-48. Abandona proyectos a mitad de camino.</t>
        </is>
      </c>
      <c r="C76" t="inlineStr">
        <is>
          <t>48. Abandona proyectos a mitad de camino.</t>
        </is>
      </c>
      <c r="D76" t="inlineStr">
        <is>
          <t>Alerta/Mejora</t>
        </is>
      </c>
      <c r="E76" t="n">
        <v>0</v>
      </c>
      <c r="F76" t="n">
        <v>4</v>
      </c>
      <c r="G76" t="n">
        <v>14</v>
      </c>
      <c r="H76" t="inlineStr">
        <is>
          <t xml:space="preserve">Muy bueno </t>
        </is>
      </c>
      <c r="I76" t="inlineStr">
        <is>
          <t>SEPTIMO</t>
        </is>
      </c>
      <c r="J76" t="inlineStr">
        <is>
          <t>TT</t>
        </is>
      </c>
      <c r="K76" t="n">
        <v>0</v>
      </c>
    </row>
    <row r="77">
      <c r="A77" t="inlineStr">
        <is>
          <t>Actitudinal</t>
        </is>
      </c>
      <c r="B77" t="inlineStr">
        <is>
          <t>Ale-50. Se muestra a la defensiva ante críticas.</t>
        </is>
      </c>
      <c r="C77" t="inlineStr">
        <is>
          <t>50. Se muestra a la defensiva ante críticas.</t>
        </is>
      </c>
      <c r="D77" t="inlineStr">
        <is>
          <t>Alerta/Mejora</t>
        </is>
      </c>
      <c r="E77" t="n">
        <v>0</v>
      </c>
      <c r="F77" t="n">
        <v>4</v>
      </c>
      <c r="G77" t="n">
        <v>14</v>
      </c>
      <c r="H77" t="inlineStr">
        <is>
          <t xml:space="preserve">Muy bueno </t>
        </is>
      </c>
      <c r="I77" t="inlineStr">
        <is>
          <t>SEPTIMO</t>
        </is>
      </c>
      <c r="J77" t="inlineStr">
        <is>
          <t>TT</t>
        </is>
      </c>
      <c r="K77" t="n">
        <v>0</v>
      </c>
    </row>
    <row r="78">
      <c r="A78" t="inlineStr">
        <is>
          <t>Académica</t>
        </is>
      </c>
      <c r="B78" t="inlineStr">
        <is>
          <t>For-01. Domina los conceptos clave del grado.</t>
        </is>
      </c>
      <c r="C78" t="inlineStr">
        <is>
          <t>01. Domina los conceptos clave del grado.</t>
        </is>
      </c>
      <c r="D78" t="inlineStr">
        <is>
          <t>Fortaleza/Logro</t>
        </is>
      </c>
      <c r="E78" t="n">
        <v>12</v>
      </c>
      <c r="F78" t="n">
        <v>4</v>
      </c>
      <c r="G78" t="n">
        <v>12</v>
      </c>
      <c r="H78" t="inlineStr">
        <is>
          <t xml:space="preserve">Muy bueno </t>
        </is>
      </c>
      <c r="I78" t="inlineStr">
        <is>
          <t>SEPTIMO</t>
        </is>
      </c>
      <c r="J78" t="inlineStr">
        <is>
          <t>TT</t>
        </is>
      </c>
      <c r="K78" t="n">
        <v>0</v>
      </c>
    </row>
    <row r="79">
      <c r="A79" t="inlineStr">
        <is>
          <t>Académica</t>
        </is>
      </c>
      <c r="B79" t="inlineStr">
        <is>
          <t>For-03. Posee un pensamiento crítico y analítico.</t>
        </is>
      </c>
      <c r="C79" t="inlineStr">
        <is>
          <t>03. Posee un pensamiento crítico y analítico.</t>
        </is>
      </c>
      <c r="D79" t="inlineStr">
        <is>
          <t>Fortaleza/Logro</t>
        </is>
      </c>
      <c r="E79" t="n">
        <v>14</v>
      </c>
      <c r="F79" t="n">
        <v>4</v>
      </c>
      <c r="G79" t="n">
        <v>14</v>
      </c>
      <c r="H79" t="inlineStr">
        <is>
          <t xml:space="preserve">Muy bueno </t>
        </is>
      </c>
      <c r="I79" t="inlineStr">
        <is>
          <t>SEPTIMO</t>
        </is>
      </c>
      <c r="J79" t="inlineStr">
        <is>
          <t>TT</t>
        </is>
      </c>
      <c r="K79" t="n">
        <v>0</v>
      </c>
    </row>
    <row r="80">
      <c r="A80" t="inlineStr">
        <is>
          <t>Académica</t>
        </is>
      </c>
      <c r="B80" t="inlineStr">
        <is>
          <t>For-05. Entrega trabajos con alta calidad y orden.</t>
        </is>
      </c>
      <c r="C80" t="inlineStr">
        <is>
          <t>05. Entrega trabajos con alta calidad y orden.</t>
        </is>
      </c>
      <c r="D80" t="inlineStr">
        <is>
          <t>Fortaleza/Logro</t>
        </is>
      </c>
      <c r="E80" t="n">
        <v>12</v>
      </c>
      <c r="F80" t="n">
        <v>4</v>
      </c>
      <c r="G80" t="n">
        <v>12</v>
      </c>
      <c r="H80" t="inlineStr">
        <is>
          <t xml:space="preserve">Muy bueno </t>
        </is>
      </c>
      <c r="I80" t="inlineStr">
        <is>
          <t>SEPTIMO</t>
        </is>
      </c>
      <c r="J80" t="inlineStr">
        <is>
          <t>TT</t>
        </is>
      </c>
      <c r="K80" t="n">
        <v>0</v>
      </c>
    </row>
    <row r="81">
      <c r="A81" t="inlineStr">
        <is>
          <t>Académica</t>
        </is>
      </c>
      <c r="B81" t="inlineStr">
        <is>
          <t>For-07. Resuelve problemas lógicos con fluidez.</t>
        </is>
      </c>
      <c r="C81" t="inlineStr">
        <is>
          <t>07. Resuelve problemas lógicos con fluidez.</t>
        </is>
      </c>
      <c r="D81" t="inlineStr">
        <is>
          <t>Fortaleza/Logro</t>
        </is>
      </c>
      <c r="E81" t="n">
        <v>12</v>
      </c>
      <c r="F81" t="n">
        <v>4</v>
      </c>
      <c r="G81" t="n">
        <v>12</v>
      </c>
      <c r="H81" t="inlineStr">
        <is>
          <t xml:space="preserve">Muy bueno </t>
        </is>
      </c>
      <c r="I81" t="inlineStr">
        <is>
          <t>SEPTIMO</t>
        </is>
      </c>
      <c r="J81" t="inlineStr">
        <is>
          <t>TT</t>
        </is>
      </c>
      <c r="K81" t="n">
        <v>0</v>
      </c>
    </row>
    <row r="82">
      <c r="A82" t="inlineStr">
        <is>
          <t>Académica</t>
        </is>
      </c>
      <c r="B82" t="inlineStr">
        <is>
          <t>For-09. Utiliza vocabulario técnico preciso.</t>
        </is>
      </c>
      <c r="C82" t="inlineStr">
        <is>
          <t>09. Utiliza vocabulario técnico preciso.</t>
        </is>
      </c>
      <c r="D82" t="inlineStr">
        <is>
          <t>Fortaleza/Logro</t>
        </is>
      </c>
      <c r="E82" t="n">
        <v>12</v>
      </c>
      <c r="F82" t="n">
        <v>4</v>
      </c>
      <c r="G82" t="n">
        <v>12</v>
      </c>
      <c r="H82" t="inlineStr">
        <is>
          <t xml:space="preserve">Muy bueno </t>
        </is>
      </c>
      <c r="I82" t="inlineStr">
        <is>
          <t>SEPTIMO</t>
        </is>
      </c>
      <c r="J82" t="inlineStr">
        <is>
          <t>TT</t>
        </is>
      </c>
      <c r="K82" t="n">
        <v>0</v>
      </c>
    </row>
    <row r="83">
      <c r="A83" t="inlineStr">
        <is>
          <t>Académica</t>
        </is>
      </c>
      <c r="B83" t="inlineStr">
        <is>
          <t>For-11. Posee excelentes hábitos de lectura.</t>
        </is>
      </c>
      <c r="C83" t="inlineStr">
        <is>
          <t>11. Posee excelentes hábitos de lectura.</t>
        </is>
      </c>
      <c r="D83" t="inlineStr">
        <is>
          <t>Fortaleza/Logro</t>
        </is>
      </c>
      <c r="E83" t="n">
        <v>11</v>
      </c>
      <c r="F83" t="n">
        <v>3</v>
      </c>
      <c r="G83" t="n">
        <v>11</v>
      </c>
      <c r="H83" t="inlineStr">
        <is>
          <t>Bueno</t>
        </is>
      </c>
      <c r="I83" t="inlineStr">
        <is>
          <t>SEPTIMO</t>
        </is>
      </c>
      <c r="J83" t="inlineStr">
        <is>
          <t>TT</t>
        </is>
      </c>
      <c r="K83" t="n">
        <v>0</v>
      </c>
    </row>
    <row r="84">
      <c r="A84" t="inlineStr">
        <is>
          <t>Académica</t>
        </is>
      </c>
      <c r="B84" t="inlineStr">
        <is>
          <t>For-13. Es autónomo en la realización de tareas.</t>
        </is>
      </c>
      <c r="C84" t="inlineStr">
        <is>
          <t>13. Es autónomo en la realización de tareas.</t>
        </is>
      </c>
      <c r="D84" t="inlineStr">
        <is>
          <t>Fortaleza/Logro</t>
        </is>
      </c>
      <c r="E84" t="n">
        <v>14</v>
      </c>
      <c r="F84" t="n">
        <v>4</v>
      </c>
      <c r="G84" t="n">
        <v>14</v>
      </c>
      <c r="H84" t="inlineStr">
        <is>
          <t xml:space="preserve">Muy bueno </t>
        </is>
      </c>
      <c r="I84" t="inlineStr">
        <is>
          <t>SEPTIMO</t>
        </is>
      </c>
      <c r="J84" t="inlineStr">
        <is>
          <t>TT</t>
        </is>
      </c>
      <c r="K84" t="n">
        <v>0</v>
      </c>
    </row>
    <row r="85">
      <c r="A85" t="inlineStr">
        <is>
          <t>Académica</t>
        </is>
      </c>
      <c r="B85" t="inlineStr">
        <is>
          <t>For-15. Investiga más allá de lo solicitado.</t>
        </is>
      </c>
      <c r="C85" t="inlineStr">
        <is>
          <t>15. Investiga más allá de lo solicitado.</t>
        </is>
      </c>
      <c r="D85" t="inlineStr">
        <is>
          <t>Fortaleza/Logro</t>
        </is>
      </c>
      <c r="E85" t="n">
        <v>12</v>
      </c>
      <c r="F85" t="n">
        <v>4</v>
      </c>
      <c r="G85" t="n">
        <v>12</v>
      </c>
      <c r="H85" t="inlineStr">
        <is>
          <t xml:space="preserve">Muy bueno </t>
        </is>
      </c>
      <c r="I85" t="inlineStr">
        <is>
          <t>SEPTIMO</t>
        </is>
      </c>
      <c r="J85" t="inlineStr">
        <is>
          <t>TT</t>
        </is>
      </c>
      <c r="K85" t="n">
        <v>0</v>
      </c>
    </row>
    <row r="86">
      <c r="A86" t="inlineStr">
        <is>
          <t>Conductual</t>
        </is>
      </c>
      <c r="B86" t="inlineStr">
        <is>
          <t>For-17. Respeta las normas de convivencia.</t>
        </is>
      </c>
      <c r="C86" t="inlineStr">
        <is>
          <t>17. Respeta las normas de convivencia.</t>
        </is>
      </c>
      <c r="D86" t="inlineStr">
        <is>
          <t>Fortaleza/Logro</t>
        </is>
      </c>
      <c r="E86" t="n">
        <v>14</v>
      </c>
      <c r="F86" t="n">
        <v>4</v>
      </c>
      <c r="G86" t="n">
        <v>14</v>
      </c>
      <c r="H86" t="inlineStr">
        <is>
          <t xml:space="preserve">Muy bueno </t>
        </is>
      </c>
      <c r="I86" t="inlineStr">
        <is>
          <t>SEPTIMO</t>
        </is>
      </c>
      <c r="J86" t="inlineStr">
        <is>
          <t>TT</t>
        </is>
      </c>
      <c r="K86" t="n">
        <v>0</v>
      </c>
    </row>
    <row r="87">
      <c r="A87" t="inlineStr">
        <is>
          <t>Conductual</t>
        </is>
      </c>
      <c r="B87" t="inlineStr">
        <is>
          <t>For-19. Es puntual en todas sus obligaciones.</t>
        </is>
      </c>
      <c r="C87" t="inlineStr">
        <is>
          <t>19. Es puntual en todas sus obligaciones.</t>
        </is>
      </c>
      <c r="D87" t="inlineStr">
        <is>
          <t>Fortaleza/Logro</t>
        </is>
      </c>
      <c r="E87" t="n">
        <v>12</v>
      </c>
      <c r="F87" t="n">
        <v>4</v>
      </c>
      <c r="G87" t="n">
        <v>12</v>
      </c>
      <c r="H87" t="inlineStr">
        <is>
          <t xml:space="preserve">Muy bueno </t>
        </is>
      </c>
      <c r="I87" t="inlineStr">
        <is>
          <t>SEPTIMO</t>
        </is>
      </c>
      <c r="J87" t="inlineStr">
        <is>
          <t>TT</t>
        </is>
      </c>
      <c r="K87" t="n">
        <v>0</v>
      </c>
    </row>
    <row r="88">
      <c r="A88" t="inlineStr">
        <is>
          <t>Conductual</t>
        </is>
      </c>
      <c r="B88" t="inlineStr">
        <is>
          <t>For-21. Cuida el material propio y ajeno.</t>
        </is>
      </c>
      <c r="C88" t="inlineStr">
        <is>
          <t>21. Cuida el material propio y ajeno.</t>
        </is>
      </c>
      <c r="D88" t="inlineStr">
        <is>
          <t>Fortaleza/Logro</t>
        </is>
      </c>
      <c r="E88" t="n">
        <v>14</v>
      </c>
      <c r="F88" t="n">
        <v>4</v>
      </c>
      <c r="G88" t="n">
        <v>14</v>
      </c>
      <c r="H88" t="inlineStr">
        <is>
          <t xml:space="preserve">Muy bueno </t>
        </is>
      </c>
      <c r="I88" t="inlineStr">
        <is>
          <t>SEPTIMO</t>
        </is>
      </c>
      <c r="J88" t="inlineStr">
        <is>
          <t>TT</t>
        </is>
      </c>
      <c r="K88" t="n">
        <v>0</v>
      </c>
    </row>
    <row r="89">
      <c r="A89" t="inlineStr">
        <is>
          <t>Conductual</t>
        </is>
      </c>
      <c r="B89" t="inlineStr">
        <is>
          <t>For-23. Escucha con atención y no interrumpe.</t>
        </is>
      </c>
      <c r="C89" t="inlineStr">
        <is>
          <t>23. Escucha con atención y no interrumpe.</t>
        </is>
      </c>
      <c r="D89" t="inlineStr">
        <is>
          <t>Fortaleza/Logro</t>
        </is>
      </c>
      <c r="E89" t="n">
        <v>14</v>
      </c>
      <c r="F89" t="n">
        <v>4</v>
      </c>
      <c r="G89" t="n">
        <v>14</v>
      </c>
      <c r="H89" t="inlineStr">
        <is>
          <t xml:space="preserve">Muy bueno </t>
        </is>
      </c>
      <c r="I89" t="inlineStr">
        <is>
          <t>SEPTIMO</t>
        </is>
      </c>
      <c r="J89" t="inlineStr">
        <is>
          <t>TT</t>
        </is>
      </c>
      <c r="K89" t="n">
        <v>0</v>
      </c>
    </row>
    <row r="90">
      <c r="A90" t="inlineStr">
        <is>
          <t>Conductual</t>
        </is>
      </c>
      <c r="B90" t="inlineStr">
        <is>
          <t>For-25. Utiliza el lenguaje de forma respetuosa.</t>
        </is>
      </c>
      <c r="C90" t="inlineStr">
        <is>
          <t>25. Utiliza el lenguaje de forma respetuosa.</t>
        </is>
      </c>
      <c r="D90" t="inlineStr">
        <is>
          <t>Fortaleza/Logro</t>
        </is>
      </c>
      <c r="E90" t="n">
        <v>14</v>
      </c>
      <c r="F90" t="n">
        <v>4</v>
      </c>
      <c r="G90" t="n">
        <v>14</v>
      </c>
      <c r="H90" t="inlineStr">
        <is>
          <t xml:space="preserve">Muy bueno </t>
        </is>
      </c>
      <c r="I90" t="inlineStr">
        <is>
          <t>SEPTIMO</t>
        </is>
      </c>
      <c r="J90" t="inlineStr">
        <is>
          <t>TT</t>
        </is>
      </c>
      <c r="K90" t="n">
        <v>0</v>
      </c>
    </row>
    <row r="91">
      <c r="A91" t="inlineStr">
        <is>
          <t>Conductual</t>
        </is>
      </c>
      <c r="B91" t="inlineStr">
        <is>
          <t>For-27. Reconoce sus errores honestamente.</t>
        </is>
      </c>
      <c r="C91" t="inlineStr">
        <is>
          <t>27. Reconoce sus errores honestamente.</t>
        </is>
      </c>
      <c r="D91" t="inlineStr">
        <is>
          <t>Fortaleza/Logro</t>
        </is>
      </c>
      <c r="E91" t="n">
        <v>14</v>
      </c>
      <c r="F91" t="n">
        <v>4</v>
      </c>
      <c r="G91" t="n">
        <v>14</v>
      </c>
      <c r="H91" t="inlineStr">
        <is>
          <t xml:space="preserve">Muy bueno </t>
        </is>
      </c>
      <c r="I91" t="inlineStr">
        <is>
          <t>SEPTIMO</t>
        </is>
      </c>
      <c r="J91" t="inlineStr">
        <is>
          <t>TT</t>
        </is>
      </c>
      <c r="K91" t="n">
        <v>0</v>
      </c>
    </row>
    <row r="92">
      <c r="A92" t="inlineStr">
        <is>
          <t>Conductual</t>
        </is>
      </c>
      <c r="B92" t="inlineStr">
        <is>
          <t>For-29. Usa la tecnología con fines educativos.</t>
        </is>
      </c>
      <c r="C92" t="inlineStr">
        <is>
          <t>29. Usa la tecnología con fines educativos.</t>
        </is>
      </c>
      <c r="D92" t="inlineStr">
        <is>
          <t>Fortaleza/Logro</t>
        </is>
      </c>
      <c r="E92" t="n">
        <v>12</v>
      </c>
      <c r="F92" t="n">
        <v>4</v>
      </c>
      <c r="G92" t="n">
        <v>12</v>
      </c>
      <c r="H92" t="inlineStr">
        <is>
          <t xml:space="preserve">Muy bueno </t>
        </is>
      </c>
      <c r="I92" t="inlineStr">
        <is>
          <t>SEPTIMO</t>
        </is>
      </c>
      <c r="J92" t="inlineStr">
        <is>
          <t>TT</t>
        </is>
      </c>
      <c r="K92" t="n">
        <v>0</v>
      </c>
    </row>
    <row r="93">
      <c r="A93" t="inlineStr">
        <is>
          <t>Conductual</t>
        </is>
      </c>
      <c r="B93" t="inlineStr">
        <is>
          <t>For-31. Mantiene el orden en espacios comunes.</t>
        </is>
      </c>
      <c r="C93" t="inlineStr">
        <is>
          <t>31. Mantiene el orden en espacios comunes.</t>
        </is>
      </c>
      <c r="D93" t="inlineStr">
        <is>
          <t>Fortaleza/Logro</t>
        </is>
      </c>
      <c r="E93" t="n">
        <v>11</v>
      </c>
      <c r="F93" t="n">
        <v>3</v>
      </c>
      <c r="G93" t="n">
        <v>11</v>
      </c>
      <c r="H93" t="inlineStr">
        <is>
          <t>Bueno</t>
        </is>
      </c>
      <c r="I93" t="inlineStr">
        <is>
          <t>SEPTIMO</t>
        </is>
      </c>
      <c r="J93" t="inlineStr">
        <is>
          <t>TT</t>
        </is>
      </c>
      <c r="K93" t="n">
        <v>0</v>
      </c>
    </row>
    <row r="94">
      <c r="A94" t="inlineStr">
        <is>
          <t>Socio-Emocional</t>
        </is>
      </c>
      <c r="B94" t="inlineStr">
        <is>
          <t>For-33. Muestra resiliencia ante el fracaso.</t>
        </is>
      </c>
      <c r="C94" t="inlineStr">
        <is>
          <t>33. Muestra resiliencia ante el fracaso.</t>
        </is>
      </c>
      <c r="D94" t="inlineStr">
        <is>
          <t>Fortaleza/Logro</t>
        </is>
      </c>
      <c r="E94" t="n">
        <v>12</v>
      </c>
      <c r="F94" t="n">
        <v>4</v>
      </c>
      <c r="G94" t="n">
        <v>12</v>
      </c>
      <c r="H94" t="inlineStr">
        <is>
          <t xml:space="preserve">Muy bueno </t>
        </is>
      </c>
      <c r="I94" t="inlineStr">
        <is>
          <t>SEPTIMO</t>
        </is>
      </c>
      <c r="J94" t="inlineStr">
        <is>
          <t>TT</t>
        </is>
      </c>
      <c r="K94" t="n">
        <v>0</v>
      </c>
    </row>
    <row r="95">
      <c r="A95" t="inlineStr">
        <is>
          <t>Socio-Emocional</t>
        </is>
      </c>
      <c r="B95" t="inlineStr">
        <is>
          <t>For-35. Trabaja de forma colaborativa y equitativa.</t>
        </is>
      </c>
      <c r="C95" t="inlineStr">
        <is>
          <t>35. Trabaja de forma colaborativa y equitativa.</t>
        </is>
      </c>
      <c r="D95" t="inlineStr">
        <is>
          <t>Fortaleza/Logro</t>
        </is>
      </c>
      <c r="E95" t="n">
        <v>12</v>
      </c>
      <c r="F95" t="n">
        <v>4</v>
      </c>
      <c r="G95" t="n">
        <v>12</v>
      </c>
      <c r="H95" t="inlineStr">
        <is>
          <t xml:space="preserve">Muy bueno </t>
        </is>
      </c>
      <c r="I95" t="inlineStr">
        <is>
          <t>SEPTIMO</t>
        </is>
      </c>
      <c r="J95" t="inlineStr">
        <is>
          <t>TT</t>
        </is>
      </c>
      <c r="K95" t="n">
        <v>0</v>
      </c>
    </row>
    <row r="96">
      <c r="A96" t="inlineStr">
        <is>
          <t>Socio-Emocional</t>
        </is>
      </c>
      <c r="B96" t="inlineStr">
        <is>
          <t>For-37. Es empático con las necesidades ajenas.</t>
        </is>
      </c>
      <c r="C96" t="inlineStr">
        <is>
          <t>37. Es empático con las necesidades ajenas.</t>
        </is>
      </c>
      <c r="D96" t="inlineStr">
        <is>
          <t>Fortaleza/Logro</t>
        </is>
      </c>
      <c r="E96" t="n">
        <v>12</v>
      </c>
      <c r="F96" t="n">
        <v>4</v>
      </c>
      <c r="G96" t="n">
        <v>12</v>
      </c>
      <c r="H96" t="inlineStr">
        <is>
          <t xml:space="preserve">Muy bueno </t>
        </is>
      </c>
      <c r="I96" t="inlineStr">
        <is>
          <t>SEPTIMO</t>
        </is>
      </c>
      <c r="J96" t="inlineStr">
        <is>
          <t>TT</t>
        </is>
      </c>
      <c r="K96" t="n">
        <v>0</v>
      </c>
    </row>
    <row r="97">
      <c r="A97" t="inlineStr">
        <is>
          <t>Socio-Emocional</t>
        </is>
      </c>
      <c r="B97" t="inlineStr">
        <is>
          <t>For-39. Posee un liderazgo positivo y ético.</t>
        </is>
      </c>
      <c r="C97" t="inlineStr">
        <is>
          <t>39. Posee un liderazgo positivo y ético.</t>
        </is>
      </c>
      <c r="D97" t="inlineStr">
        <is>
          <t>Fortaleza/Logro</t>
        </is>
      </c>
      <c r="E97" t="n">
        <v>12</v>
      </c>
      <c r="F97" t="n">
        <v>4</v>
      </c>
      <c r="G97" t="n">
        <v>12</v>
      </c>
      <c r="H97" t="inlineStr">
        <is>
          <t xml:space="preserve">Muy bueno </t>
        </is>
      </c>
      <c r="I97" t="inlineStr">
        <is>
          <t>SEPTIMO</t>
        </is>
      </c>
      <c r="J97" t="inlineStr">
        <is>
          <t>TT</t>
        </is>
      </c>
      <c r="K97" t="n">
        <v>0</v>
      </c>
    </row>
    <row r="98">
      <c r="A98" t="inlineStr">
        <is>
          <t>Socio-Emocional</t>
        </is>
      </c>
      <c r="B98" t="inlineStr">
        <is>
          <t>For-41. Se comunica de manera asertiva.</t>
        </is>
      </c>
      <c r="C98" t="inlineStr">
        <is>
          <t>41. Se comunica de manera asertiva.</t>
        </is>
      </c>
      <c r="D98" t="inlineStr">
        <is>
          <t>Fortaleza/Logro</t>
        </is>
      </c>
      <c r="E98" t="n">
        <v>12</v>
      </c>
      <c r="F98" t="n">
        <v>4</v>
      </c>
      <c r="G98" t="n">
        <v>12</v>
      </c>
      <c r="H98" t="inlineStr">
        <is>
          <t xml:space="preserve">Muy bueno </t>
        </is>
      </c>
      <c r="I98" t="inlineStr">
        <is>
          <t>SEPTIMO</t>
        </is>
      </c>
      <c r="J98" t="inlineStr">
        <is>
          <t>TT</t>
        </is>
      </c>
      <c r="K98" t="n">
        <v>0</v>
      </c>
    </row>
    <row r="99">
      <c r="A99" t="inlineStr">
        <is>
          <t>Socio-Emocional</t>
        </is>
      </c>
      <c r="B99" t="inlineStr">
        <is>
          <t>For-43. Tiene una autoestima académica sólida.</t>
        </is>
      </c>
      <c r="C99" t="inlineStr">
        <is>
          <t>43. Tiene una autoestima académica sólida.</t>
        </is>
      </c>
      <c r="D99" t="inlineStr">
        <is>
          <t>Fortaleza/Logro</t>
        </is>
      </c>
      <c r="E99" t="n">
        <v>12</v>
      </c>
      <c r="F99" t="n">
        <v>4</v>
      </c>
      <c r="G99" t="n">
        <v>12</v>
      </c>
      <c r="H99" t="inlineStr">
        <is>
          <t xml:space="preserve">Muy bueno </t>
        </is>
      </c>
      <c r="I99" t="inlineStr">
        <is>
          <t>SEPTIMO</t>
        </is>
      </c>
      <c r="J99" t="inlineStr">
        <is>
          <t>TT</t>
        </is>
      </c>
      <c r="K99" t="n">
        <v>0</v>
      </c>
    </row>
    <row r="100">
      <c r="A100" t="inlineStr">
        <is>
          <t>Actitudinal</t>
        </is>
      </c>
      <c r="B100" t="inlineStr">
        <is>
          <t>For-45. Muestra curiosidad e iniciativa propia.</t>
        </is>
      </c>
      <c r="C100" t="inlineStr">
        <is>
          <t>45. Muestra curiosidad e iniciativa propia.</t>
        </is>
      </c>
      <c r="D100" t="inlineStr">
        <is>
          <t>Fortaleza/Logro</t>
        </is>
      </c>
      <c r="E100" t="n">
        <v>12</v>
      </c>
      <c r="F100" t="n">
        <v>4</v>
      </c>
      <c r="G100" t="n">
        <v>12</v>
      </c>
      <c r="H100" t="inlineStr">
        <is>
          <t xml:space="preserve">Muy bueno </t>
        </is>
      </c>
      <c r="I100" t="inlineStr">
        <is>
          <t>SEPTIMO</t>
        </is>
      </c>
      <c r="J100" t="inlineStr">
        <is>
          <t>TT</t>
        </is>
      </c>
      <c r="K100" t="n">
        <v>0</v>
      </c>
    </row>
    <row r="101">
      <c r="A101" t="inlineStr">
        <is>
          <t>Actitudinal</t>
        </is>
      </c>
      <c r="B101" t="inlineStr">
        <is>
          <t>For-47. Es persistente en tareas complejas.</t>
        </is>
      </c>
      <c r="C101" t="inlineStr">
        <is>
          <t>47. Es persistente en tareas complejas.</t>
        </is>
      </c>
      <c r="D101" t="inlineStr">
        <is>
          <t>Fortaleza/Logro</t>
        </is>
      </c>
      <c r="E101" t="n">
        <v>10</v>
      </c>
      <c r="F101" t="n">
        <v>3</v>
      </c>
      <c r="G101" t="n">
        <v>10</v>
      </c>
      <c r="H101" t="inlineStr">
        <is>
          <t>Bueno</t>
        </is>
      </c>
      <c r="I101" t="inlineStr">
        <is>
          <t>SEPTIMO</t>
        </is>
      </c>
      <c r="J101" t="inlineStr">
        <is>
          <t>TT</t>
        </is>
      </c>
      <c r="K101" t="n">
        <v>0</v>
      </c>
    </row>
    <row r="102">
      <c r="A102" t="inlineStr">
        <is>
          <t>Actitudinal</t>
        </is>
      </c>
      <c r="B102" t="inlineStr">
        <is>
          <t>For-49. Acepta retroalimentación constructiva.</t>
        </is>
      </c>
      <c r="C102" t="inlineStr">
        <is>
          <t>49. Acepta retroalimentación constructiva.</t>
        </is>
      </c>
      <c r="D102" t="inlineStr">
        <is>
          <t>Fortaleza/Logro</t>
        </is>
      </c>
      <c r="E102" t="n">
        <v>12</v>
      </c>
      <c r="F102" t="n">
        <v>4</v>
      </c>
      <c r="G102" t="n">
        <v>12</v>
      </c>
      <c r="H102" t="inlineStr">
        <is>
          <t xml:space="preserve">Muy bueno </t>
        </is>
      </c>
      <c r="I102" t="inlineStr">
        <is>
          <t>SEPTIMO</t>
        </is>
      </c>
      <c r="J102" t="inlineStr">
        <is>
          <t>TT</t>
        </is>
      </c>
      <c r="K102" t="n">
        <v>0</v>
      </c>
    </row>
    <row r="103">
      <c r="A103">
        <f t="array" ref="A103:K153">+octablo_tabla</f>
        <v/>
      </c>
      <c r="B103" t="inlineStr">
        <is>
          <t xml:space="preserve">Indicador </t>
        </is>
      </c>
      <c r="C103" t="inlineStr">
        <is>
          <t xml:space="preserve">Indicador </t>
        </is>
      </c>
      <c r="D103" t="inlineStr">
        <is>
          <t>Tipo de Indicador</t>
        </is>
      </c>
      <c r="E103" t="inlineStr">
        <is>
          <t>Cantidad de veces</t>
        </is>
      </c>
      <c r="F103" t="inlineStr">
        <is>
          <t>NOTA</t>
        </is>
      </c>
      <c r="G103" t="inlineStr">
        <is>
          <t>PR</t>
        </is>
      </c>
      <c r="H103" t="inlineStr">
        <is>
          <t>VALORACION</t>
        </is>
      </c>
      <c r="I103" t="inlineStr">
        <is>
          <t>GRADO</t>
        </is>
      </c>
      <c r="J103" t="inlineStr">
        <is>
          <t>TURNO</t>
        </is>
      </c>
      <c r="K103" t="inlineStr">
        <is>
          <t>NF</t>
        </is>
      </c>
    </row>
    <row r="104">
      <c r="A104" t="inlineStr">
        <is>
          <t>Académica</t>
        </is>
      </c>
      <c r="B104" t="inlineStr">
        <is>
          <t>Ale-02. Presenta lagunas en conocimientos previos.</t>
        </is>
      </c>
      <c r="C104" t="inlineStr">
        <is>
          <t>02. Presenta lagunas en conocimientos previos.</t>
        </is>
      </c>
      <c r="D104" t="inlineStr">
        <is>
          <t>Alerta/Mejora</t>
        </is>
      </c>
      <c r="E104" t="n">
        <v>8</v>
      </c>
      <c r="F104" t="n">
        <v>4</v>
      </c>
      <c r="G104" t="n">
        <v>34</v>
      </c>
      <c r="H104" t="inlineStr">
        <is>
          <t xml:space="preserve">Muy bueno </t>
        </is>
      </c>
      <c r="I104" t="inlineStr">
        <is>
          <t>OCTAVO</t>
        </is>
      </c>
      <c r="J104" t="inlineStr">
        <is>
          <t>TM</t>
        </is>
      </c>
      <c r="K104" t="n">
        <v>0.1904761904761905</v>
      </c>
    </row>
    <row r="105">
      <c r="A105" t="inlineStr">
        <is>
          <t>Académica</t>
        </is>
      </c>
      <c r="B105" t="inlineStr">
        <is>
          <t>Ale-04. Se limita a memorizar sin comprender.</t>
        </is>
      </c>
      <c r="C105" t="inlineStr">
        <is>
          <t>04. Se limita a memorizar sin comprender.</t>
        </is>
      </c>
      <c r="D105" t="inlineStr">
        <is>
          <t>Alerta/Mejora</t>
        </is>
      </c>
      <c r="E105" t="n">
        <v>6</v>
      </c>
      <c r="F105" t="n">
        <v>4</v>
      </c>
      <c r="G105" t="n">
        <v>36</v>
      </c>
      <c r="H105" t="inlineStr">
        <is>
          <t xml:space="preserve">Muy bueno </t>
        </is>
      </c>
      <c r="I105" t="inlineStr">
        <is>
          <t>OCTAVO</t>
        </is>
      </c>
      <c r="J105" t="inlineStr">
        <is>
          <t>TM</t>
        </is>
      </c>
      <c r="K105" t="n">
        <v>0.1428571428571428</v>
      </c>
    </row>
    <row r="106">
      <c r="A106" t="inlineStr">
        <is>
          <t>Académica</t>
        </is>
      </c>
      <c r="B106" t="inlineStr">
        <is>
          <t>Ale-06. Entrega tareas incompletas o descuidadas.</t>
        </is>
      </c>
      <c r="C106" t="inlineStr">
        <is>
          <t>06. Entrega tareas incompletas o descuidadas.</t>
        </is>
      </c>
      <c r="D106" t="inlineStr">
        <is>
          <t>Alerta/Mejora</t>
        </is>
      </c>
      <c r="E106" t="n">
        <v>4</v>
      </c>
      <c r="F106" t="n">
        <v>4</v>
      </c>
      <c r="G106" t="n">
        <v>38</v>
      </c>
      <c r="H106" t="inlineStr">
        <is>
          <t xml:space="preserve">Muy bueno </t>
        </is>
      </c>
      <c r="I106" t="inlineStr">
        <is>
          <t>OCTAVO</t>
        </is>
      </c>
      <c r="J106" t="inlineStr">
        <is>
          <t>TM</t>
        </is>
      </c>
      <c r="K106" t="n">
        <v>0.09523809523809523</v>
      </c>
    </row>
    <row r="107">
      <c r="A107" t="inlineStr">
        <is>
          <t>Académica</t>
        </is>
      </c>
      <c r="B107" t="inlineStr">
        <is>
          <t>Ale-08. Se bloquea ante desafíos matemáticos.</t>
        </is>
      </c>
      <c r="C107" t="inlineStr">
        <is>
          <t>08. Se bloquea ante desafíos matemáticos.</t>
        </is>
      </c>
      <c r="D107" t="inlineStr">
        <is>
          <t>Alerta/Mejora</t>
        </is>
      </c>
      <c r="E107" t="n">
        <v>7</v>
      </c>
      <c r="F107" t="n">
        <v>4</v>
      </c>
      <c r="G107" t="n">
        <v>35</v>
      </c>
      <c r="H107" t="inlineStr">
        <is>
          <t xml:space="preserve">Muy bueno </t>
        </is>
      </c>
      <c r="I107" t="inlineStr">
        <is>
          <t>OCTAVO</t>
        </is>
      </c>
      <c r="J107" t="inlineStr">
        <is>
          <t>TM</t>
        </is>
      </c>
      <c r="K107" t="n">
        <v>0.1666666666666667</v>
      </c>
    </row>
    <row r="108">
      <c r="A108" t="inlineStr">
        <is>
          <t>Académica</t>
        </is>
      </c>
      <c r="B108" t="inlineStr">
        <is>
          <t>Ale-10. Tiene dificultades de expresión oral/escrita.</t>
        </is>
      </c>
      <c r="C108" t="inlineStr">
        <is>
          <t>10. Tiene dificultades de expresión oral/escrita.</t>
        </is>
      </c>
      <c r="D108" t="inlineStr">
        <is>
          <t>Alerta/Mejora</t>
        </is>
      </c>
      <c r="E108" t="n">
        <v>5</v>
      </c>
      <c r="F108" t="n">
        <v>4</v>
      </c>
      <c r="G108" t="n">
        <v>37</v>
      </c>
      <c r="H108" t="inlineStr">
        <is>
          <t xml:space="preserve">Muy bueno </t>
        </is>
      </c>
      <c r="I108" t="inlineStr">
        <is>
          <t>OCTAVO</t>
        </is>
      </c>
      <c r="J108" t="inlineStr">
        <is>
          <t>TM</t>
        </is>
      </c>
      <c r="K108" t="n">
        <v>0.119047619047619</v>
      </c>
    </row>
    <row r="109">
      <c r="A109" t="inlineStr">
        <is>
          <t>Académica</t>
        </is>
      </c>
      <c r="B109" t="inlineStr">
        <is>
          <t>Ale-12. Muestra rechazo o desinterés por la lectura.</t>
        </is>
      </c>
      <c r="C109" t="inlineStr">
        <is>
          <t>12. Muestra rechazo o desinterés por la lectura.</t>
        </is>
      </c>
      <c r="D109" t="inlineStr">
        <is>
          <t>Alerta/Mejora</t>
        </is>
      </c>
      <c r="E109" t="n">
        <v>6</v>
      </c>
      <c r="F109" t="n">
        <v>4</v>
      </c>
      <c r="G109" t="n">
        <v>36</v>
      </c>
      <c r="H109" t="inlineStr">
        <is>
          <t xml:space="preserve">Muy bueno </t>
        </is>
      </c>
      <c r="I109" t="inlineStr">
        <is>
          <t>OCTAVO</t>
        </is>
      </c>
      <c r="J109" t="inlineStr">
        <is>
          <t>TM</t>
        </is>
      </c>
      <c r="K109" t="n">
        <v>0.1428571428571428</v>
      </c>
    </row>
    <row r="110">
      <c r="A110" t="inlineStr">
        <is>
          <t>Académica</t>
        </is>
      </c>
      <c r="B110" t="inlineStr">
        <is>
          <t>Ale-14. Requiere supervisión constante para avanzar.</t>
        </is>
      </c>
      <c r="C110" t="inlineStr">
        <is>
          <t>14. Requiere supervisión constante para avanzar.</t>
        </is>
      </c>
      <c r="D110" t="inlineStr">
        <is>
          <t>Alerta/Mejora</t>
        </is>
      </c>
      <c r="E110" t="n">
        <v>7</v>
      </c>
      <c r="F110" t="n">
        <v>4</v>
      </c>
      <c r="G110" t="n">
        <v>35</v>
      </c>
      <c r="H110" t="inlineStr">
        <is>
          <t xml:space="preserve">Muy bueno </t>
        </is>
      </c>
      <c r="I110" t="inlineStr">
        <is>
          <t>OCTAVO</t>
        </is>
      </c>
      <c r="J110" t="inlineStr">
        <is>
          <t>TM</t>
        </is>
      </c>
      <c r="K110" t="n">
        <v>0.1666666666666667</v>
      </c>
    </row>
    <row r="111">
      <c r="A111" t="inlineStr">
        <is>
          <t>Académica</t>
        </is>
      </c>
      <c r="B111" t="inlineStr">
        <is>
          <t>Ale-16. Muestra apatía por temas nuevos.</t>
        </is>
      </c>
      <c r="C111" t="inlineStr">
        <is>
          <t>16. Muestra apatía por temas nuevos.</t>
        </is>
      </c>
      <c r="D111" t="inlineStr">
        <is>
          <t>Alerta/Mejora</t>
        </is>
      </c>
      <c r="E111" t="n">
        <v>2</v>
      </c>
      <c r="F111" t="n">
        <v>5</v>
      </c>
      <c r="G111" t="n">
        <v>40</v>
      </c>
      <c r="H111" t="inlineStr">
        <is>
          <t xml:space="preserve">Muy bueno </t>
        </is>
      </c>
      <c r="I111" t="inlineStr">
        <is>
          <t>OCTAVO</t>
        </is>
      </c>
      <c r="J111" t="inlineStr">
        <is>
          <t>TM</t>
        </is>
      </c>
      <c r="K111" t="n">
        <v>0.04761904761904762</v>
      </c>
    </row>
    <row r="112">
      <c r="A112" t="inlineStr">
        <is>
          <t>Conductual</t>
        </is>
      </c>
      <c r="B112" t="inlineStr">
        <is>
          <t>Ale-18. Desafía activamente la autoridad.</t>
        </is>
      </c>
      <c r="C112" t="inlineStr">
        <is>
          <t>18. Desafía activamente la autoridad.</t>
        </is>
      </c>
      <c r="D112" t="inlineStr">
        <is>
          <t>Alerta/Mejora</t>
        </is>
      </c>
      <c r="E112" t="n">
        <v>1</v>
      </c>
      <c r="F112" t="n">
        <v>5</v>
      </c>
      <c r="G112" t="n">
        <v>41</v>
      </c>
      <c r="H112" t="inlineStr">
        <is>
          <t xml:space="preserve">Muy bueno </t>
        </is>
      </c>
      <c r="I112" t="inlineStr">
        <is>
          <t>OCTAVO</t>
        </is>
      </c>
      <c r="J112" t="inlineStr">
        <is>
          <t>TM</t>
        </is>
      </c>
      <c r="K112" t="n">
        <v>0.02380952380952381</v>
      </c>
    </row>
    <row r="113">
      <c r="A113" t="inlineStr">
        <is>
          <t>Conductual</t>
        </is>
      </c>
      <c r="B113" t="inlineStr">
        <is>
          <t>Ale-20. Presenta retardos o inasistencias frecuentes.</t>
        </is>
      </c>
      <c r="C113" t="inlineStr">
        <is>
          <t>20. Presenta retardos o inasistencias frecuentes.</t>
        </is>
      </c>
      <c r="D113" t="inlineStr">
        <is>
          <t>Alerta/Mejora</t>
        </is>
      </c>
      <c r="E113" t="n">
        <v>4</v>
      </c>
      <c r="F113" t="n">
        <v>4</v>
      </c>
      <c r="G113" t="n">
        <v>38</v>
      </c>
      <c r="H113" t="inlineStr">
        <is>
          <t xml:space="preserve">Muy bueno </t>
        </is>
      </c>
      <c r="I113" t="inlineStr">
        <is>
          <t>OCTAVO</t>
        </is>
      </c>
      <c r="J113" t="inlineStr">
        <is>
          <t>TM</t>
        </is>
      </c>
      <c r="K113" t="n">
        <v>0.09523809523809523</v>
      </c>
    </row>
    <row r="114">
      <c r="A114" t="inlineStr">
        <is>
          <t>Conductual</t>
        </is>
      </c>
      <c r="B114" t="inlineStr">
        <is>
          <t>Ale-22. Daña el mobiliario o materiales escolares.</t>
        </is>
      </c>
      <c r="C114" t="inlineStr">
        <is>
          <t>22. Daña el mobiliario o materiales escolares.</t>
        </is>
      </c>
      <c r="D114" t="inlineStr">
        <is>
          <t>Alerta/Mejora</t>
        </is>
      </c>
      <c r="E114" t="n">
        <v>1</v>
      </c>
      <c r="F114" t="n">
        <v>5</v>
      </c>
      <c r="G114" t="n">
        <v>41</v>
      </c>
      <c r="H114" t="inlineStr">
        <is>
          <t xml:space="preserve">Muy bueno </t>
        </is>
      </c>
      <c r="I114" t="inlineStr">
        <is>
          <t>OCTAVO</t>
        </is>
      </c>
      <c r="J114" t="inlineStr">
        <is>
          <t>TM</t>
        </is>
      </c>
      <c r="K114" t="n">
        <v>0.02380952380952381</v>
      </c>
    </row>
    <row r="115">
      <c r="A115" t="inlineStr">
        <is>
          <t>Conductual</t>
        </is>
      </c>
      <c r="B115" t="inlineStr">
        <is>
          <t>Ale-24. Interrumpe constantemente el flujo de clase.</t>
        </is>
      </c>
      <c r="C115" t="inlineStr">
        <is>
          <t>24. Interrumpe constantemente el flujo de clase.</t>
        </is>
      </c>
      <c r="D115" t="inlineStr">
        <is>
          <t>Alerta/Mejora</t>
        </is>
      </c>
      <c r="E115" t="n">
        <v>9</v>
      </c>
      <c r="F115" t="n">
        <v>3</v>
      </c>
      <c r="G115" t="n">
        <v>33</v>
      </c>
      <c r="H115" t="inlineStr">
        <is>
          <t>Bueno</t>
        </is>
      </c>
      <c r="I115" t="inlineStr">
        <is>
          <t>OCTAVO</t>
        </is>
      </c>
      <c r="J115" t="inlineStr">
        <is>
          <t>TM</t>
        </is>
      </c>
      <c r="K115" t="n">
        <v>0.2142857142857143</v>
      </c>
    </row>
    <row r="116">
      <c r="A116" t="inlineStr">
        <is>
          <t>Conductual</t>
        </is>
      </c>
      <c r="B116" t="inlineStr">
        <is>
          <t>Ale-26. Emplea lenguaje soez o despectivo.</t>
        </is>
      </c>
      <c r="C116" t="inlineStr">
        <is>
          <t>26. Emplea lenguaje soez o despectivo.</t>
        </is>
      </c>
      <c r="D116" t="inlineStr">
        <is>
          <t>Alerta/Mejora</t>
        </is>
      </c>
      <c r="E116" t="n">
        <v>2</v>
      </c>
      <c r="F116" t="n">
        <v>5</v>
      </c>
      <c r="G116" t="n">
        <v>40</v>
      </c>
      <c r="H116" t="inlineStr">
        <is>
          <t xml:space="preserve">Muy bueno </t>
        </is>
      </c>
      <c r="I116" t="inlineStr">
        <is>
          <t>OCTAVO</t>
        </is>
      </c>
      <c r="J116" t="inlineStr">
        <is>
          <t>TM</t>
        </is>
      </c>
      <c r="K116" t="n">
        <v>0.04761904761904762</v>
      </c>
    </row>
    <row r="117">
      <c r="A117" t="inlineStr">
        <is>
          <t>Conductual</t>
        </is>
      </c>
      <c r="B117" t="inlineStr">
        <is>
          <t>Ale-28. Miente o culpa a otros por sus actos.</t>
        </is>
      </c>
      <c r="C117" t="inlineStr">
        <is>
          <t>28. Miente o culpa a otros por sus actos.</t>
        </is>
      </c>
      <c r="D117" t="inlineStr">
        <is>
          <t>Alerta/Mejora</t>
        </is>
      </c>
      <c r="E117" t="n">
        <v>2</v>
      </c>
      <c r="F117" t="n">
        <v>5</v>
      </c>
      <c r="G117" t="n">
        <v>40</v>
      </c>
      <c r="H117" t="inlineStr">
        <is>
          <t xml:space="preserve">Muy bueno </t>
        </is>
      </c>
      <c r="I117" t="inlineStr">
        <is>
          <t>OCTAVO</t>
        </is>
      </c>
      <c r="J117" t="inlineStr">
        <is>
          <t>TM</t>
        </is>
      </c>
      <c r="K117" t="n">
        <v>0.04761904761904762</v>
      </c>
    </row>
    <row r="118">
      <c r="A118" t="inlineStr">
        <is>
          <t>Conductual</t>
        </is>
      </c>
      <c r="B118" t="inlineStr">
        <is>
          <t>Ale-30. Se distrae con dispositivos electrónicos.</t>
        </is>
      </c>
      <c r="C118" t="inlineStr">
        <is>
          <t>30. Se distrae con dispositivos electrónicos.</t>
        </is>
      </c>
      <c r="D118" t="inlineStr">
        <is>
          <t>Alerta/Mejora</t>
        </is>
      </c>
      <c r="E118" t="n">
        <v>8</v>
      </c>
      <c r="F118" t="n">
        <v>4</v>
      </c>
      <c r="G118" t="n">
        <v>34</v>
      </c>
      <c r="H118" t="inlineStr">
        <is>
          <t xml:space="preserve">Muy bueno </t>
        </is>
      </c>
      <c r="I118" t="inlineStr">
        <is>
          <t>OCTAVO</t>
        </is>
      </c>
      <c r="J118" t="inlineStr">
        <is>
          <t>TM</t>
        </is>
      </c>
      <c r="K118" t="n">
        <v>0.1904761904761905</v>
      </c>
    </row>
    <row r="119">
      <c r="A119" t="inlineStr">
        <is>
          <t>Conductual</t>
        </is>
      </c>
      <c r="B119" t="inlineStr">
        <is>
          <t>Ale-32. Fomenta el desorden o el caos en el grupo.</t>
        </is>
      </c>
      <c r="C119" t="inlineStr">
        <is>
          <t>32. Fomenta el desorden o el caos en el grupo.</t>
        </is>
      </c>
      <c r="D119" t="inlineStr">
        <is>
          <t>Alerta/Mejora</t>
        </is>
      </c>
      <c r="E119" t="n">
        <v>5</v>
      </c>
      <c r="F119" t="n">
        <v>4</v>
      </c>
      <c r="G119" t="n">
        <v>37</v>
      </c>
      <c r="H119" t="inlineStr">
        <is>
          <t xml:space="preserve">Muy bueno </t>
        </is>
      </c>
      <c r="I119" t="inlineStr">
        <is>
          <t>OCTAVO</t>
        </is>
      </c>
      <c r="J119" t="inlineStr">
        <is>
          <t>TM</t>
        </is>
      </c>
      <c r="K119" t="n">
        <v>0.119047619047619</v>
      </c>
    </row>
    <row r="120">
      <c r="A120" t="inlineStr">
        <is>
          <t>Socio-Emocional</t>
        </is>
      </c>
      <c r="B120" t="inlineStr">
        <is>
          <t>Ale-34. Se rinde fácilmente ante la frustración.</t>
        </is>
      </c>
      <c r="C120" t="inlineStr">
        <is>
          <t>34. Se rinde fácilmente ante la frustración.</t>
        </is>
      </c>
      <c r="D120" t="inlineStr">
        <is>
          <t>Alerta/Mejora</t>
        </is>
      </c>
      <c r="E120" t="n">
        <v>6</v>
      </c>
      <c r="F120" t="n">
        <v>4</v>
      </c>
      <c r="G120" t="n">
        <v>36</v>
      </c>
      <c r="H120" t="inlineStr">
        <is>
          <t xml:space="preserve">Muy bueno </t>
        </is>
      </c>
      <c r="I120" t="inlineStr">
        <is>
          <t>OCTAVO</t>
        </is>
      </c>
      <c r="J120" t="inlineStr">
        <is>
          <t>TM</t>
        </is>
      </c>
      <c r="K120" t="n">
        <v>0.1428571428571428</v>
      </c>
    </row>
    <row r="121">
      <c r="A121" t="inlineStr">
        <is>
          <t>Socio-Emocional</t>
        </is>
      </c>
      <c r="B121" t="inlineStr">
        <is>
          <t>Ale-36. Trabaja de forma aislada o es individualista.</t>
        </is>
      </c>
      <c r="C121" t="inlineStr">
        <is>
          <t>36. Trabaja de forma aislada o es individualista.</t>
        </is>
      </c>
      <c r="D121" t="inlineStr">
        <is>
          <t>Alerta/Mejora</t>
        </is>
      </c>
      <c r="E121" t="n">
        <v>3</v>
      </c>
      <c r="F121" t="n">
        <v>5</v>
      </c>
      <c r="G121" t="n">
        <v>39</v>
      </c>
      <c r="H121" t="inlineStr">
        <is>
          <t xml:space="preserve">Muy bueno </t>
        </is>
      </c>
      <c r="I121" t="inlineStr">
        <is>
          <t>OCTAVO</t>
        </is>
      </c>
      <c r="J121" t="inlineStr">
        <is>
          <t>TM</t>
        </is>
      </c>
      <c r="K121" t="n">
        <v>0.07142857142857142</v>
      </c>
    </row>
    <row r="122">
      <c r="A122" t="inlineStr">
        <is>
          <t>Socio-Emocional</t>
        </is>
      </c>
      <c r="B122" t="inlineStr">
        <is>
          <t>Ale-38. Ignora o se burla de los sentimientos de otros.</t>
        </is>
      </c>
      <c r="C122" t="inlineStr">
        <is>
          <t>38. Ignora o se burla de los sentimientos de otros.</t>
        </is>
      </c>
      <c r="D122" t="inlineStr">
        <is>
          <t>Alerta/Mejora</t>
        </is>
      </c>
      <c r="E122" t="n">
        <v>2</v>
      </c>
      <c r="F122" t="n">
        <v>5</v>
      </c>
      <c r="G122" t="n">
        <v>40</v>
      </c>
      <c r="H122" t="inlineStr">
        <is>
          <t xml:space="preserve">Muy bueno </t>
        </is>
      </c>
      <c r="I122" t="inlineStr">
        <is>
          <t>OCTAVO</t>
        </is>
      </c>
      <c r="J122" t="inlineStr">
        <is>
          <t>TM</t>
        </is>
      </c>
      <c r="K122" t="n">
        <v>0.04761904761904762</v>
      </c>
    </row>
    <row r="123">
      <c r="A123" t="inlineStr">
        <is>
          <t>Socio-Emocional</t>
        </is>
      </c>
      <c r="B123" t="inlineStr">
        <is>
          <t>Ale-40. Ejerce presión negativa o bullying.</t>
        </is>
      </c>
      <c r="C123" t="inlineStr">
        <is>
          <t>40. Ejerce presión negativa o bullying.</t>
        </is>
      </c>
      <c r="D123" t="inlineStr">
        <is>
          <t>Alerta/Mejora</t>
        </is>
      </c>
      <c r="E123" t="n">
        <v>1</v>
      </c>
      <c r="F123" t="n">
        <v>5</v>
      </c>
      <c r="G123" t="n">
        <v>41</v>
      </c>
      <c r="H123" t="inlineStr">
        <is>
          <t xml:space="preserve">Muy bueno </t>
        </is>
      </c>
      <c r="I123" t="inlineStr">
        <is>
          <t>OCTAVO</t>
        </is>
      </c>
      <c r="J123" t="inlineStr">
        <is>
          <t>TM</t>
        </is>
      </c>
      <c r="K123" t="n">
        <v>0.02380952380952381</v>
      </c>
    </row>
    <row r="124">
      <c r="A124" t="inlineStr">
        <is>
          <t>Socio-Emocional</t>
        </is>
      </c>
      <c r="B124" t="inlineStr">
        <is>
          <t>Ale-42. Reacciona de forma agresiva o impulsiva.</t>
        </is>
      </c>
      <c r="C124" t="inlineStr">
        <is>
          <t>42. Reacciona de forma agresiva o impulsiva.</t>
        </is>
      </c>
      <c r="D124" t="inlineStr">
        <is>
          <t>Alerta/Mejora</t>
        </is>
      </c>
      <c r="E124" t="n">
        <v>2</v>
      </c>
      <c r="F124" t="n">
        <v>5</v>
      </c>
      <c r="G124" t="n">
        <v>40</v>
      </c>
      <c r="H124" t="inlineStr">
        <is>
          <t xml:space="preserve">Muy bueno </t>
        </is>
      </c>
      <c r="I124" t="inlineStr">
        <is>
          <t>OCTAVO</t>
        </is>
      </c>
      <c r="J124" t="inlineStr">
        <is>
          <t>TM</t>
        </is>
      </c>
      <c r="K124" t="n">
        <v>0.04761904761904762</v>
      </c>
    </row>
    <row r="125">
      <c r="A125" t="inlineStr">
        <is>
          <t>Socio-Emocional</t>
        </is>
      </c>
      <c r="B125" t="inlineStr">
        <is>
          <t>Ale-44. Expresa inseguridad constante ("no puedo").</t>
        </is>
      </c>
      <c r="C125" t="inlineStr">
        <is>
          <t>44. Expresa inseguridad constante ("no puedo").</t>
        </is>
      </c>
      <c r="D125" t="inlineStr">
        <is>
          <t>Alerta/Mejora</t>
        </is>
      </c>
      <c r="E125" t="n">
        <v>5</v>
      </c>
      <c r="F125" t="n">
        <v>4</v>
      </c>
      <c r="G125" t="n">
        <v>37</v>
      </c>
      <c r="H125" t="inlineStr">
        <is>
          <t xml:space="preserve">Muy bueno </t>
        </is>
      </c>
      <c r="I125" t="inlineStr">
        <is>
          <t>OCTAVO</t>
        </is>
      </c>
      <c r="J125" t="inlineStr">
        <is>
          <t>TM</t>
        </is>
      </c>
      <c r="K125" t="n">
        <v>0.119047619047619</v>
      </c>
    </row>
    <row r="126">
      <c r="A126" t="inlineStr">
        <is>
          <t>Actitudinal</t>
        </is>
      </c>
      <c r="B126" t="inlineStr">
        <is>
          <t>Ale-46. Requiere estímulos externos para trabajar.</t>
        </is>
      </c>
      <c r="C126" t="inlineStr">
        <is>
          <t>46. Requiere estímulos externos para trabajar.</t>
        </is>
      </c>
      <c r="D126" t="inlineStr">
        <is>
          <t>Alerta/Mejora</t>
        </is>
      </c>
      <c r="E126" t="n">
        <v>7</v>
      </c>
      <c r="F126" t="n">
        <v>4</v>
      </c>
      <c r="G126" t="n">
        <v>35</v>
      </c>
      <c r="H126" t="inlineStr">
        <is>
          <t xml:space="preserve">Muy bueno </t>
        </is>
      </c>
      <c r="I126" t="inlineStr">
        <is>
          <t>OCTAVO</t>
        </is>
      </c>
      <c r="J126" t="inlineStr">
        <is>
          <t>TM</t>
        </is>
      </c>
      <c r="K126" t="n">
        <v>0.1666666666666667</v>
      </c>
    </row>
    <row r="127">
      <c r="A127" t="inlineStr">
        <is>
          <t>Actitudinal</t>
        </is>
      </c>
      <c r="B127" t="inlineStr">
        <is>
          <t>Ale-48. Abandona proyectos a mitad de camino.</t>
        </is>
      </c>
      <c r="C127" t="inlineStr">
        <is>
          <t>48. Abandona proyectos a mitad de camino.</t>
        </is>
      </c>
      <c r="D127" t="inlineStr">
        <is>
          <t>Alerta/Mejora</t>
        </is>
      </c>
      <c r="E127" t="n">
        <v>3</v>
      </c>
      <c r="F127" t="n">
        <v>5</v>
      </c>
      <c r="G127" t="n">
        <v>39</v>
      </c>
      <c r="H127" t="inlineStr">
        <is>
          <t xml:space="preserve">Muy bueno </t>
        </is>
      </c>
      <c r="I127" t="inlineStr">
        <is>
          <t>OCTAVO</t>
        </is>
      </c>
      <c r="J127" t="inlineStr">
        <is>
          <t>TM</t>
        </is>
      </c>
      <c r="K127" t="n">
        <v>0.07142857142857142</v>
      </c>
    </row>
    <row r="128">
      <c r="A128" t="inlineStr">
        <is>
          <t>Actitudinal</t>
        </is>
      </c>
      <c r="B128" t="inlineStr">
        <is>
          <t>Ale-50. Se muestra a la defensiva ante críticas.</t>
        </is>
      </c>
      <c r="C128" t="inlineStr">
        <is>
          <t>50. Se muestra a la defensiva ante críticas.</t>
        </is>
      </c>
      <c r="D128" t="inlineStr">
        <is>
          <t>Alerta/Mejora</t>
        </is>
      </c>
      <c r="E128" t="n">
        <v>4</v>
      </c>
      <c r="F128" t="n">
        <v>4</v>
      </c>
      <c r="G128" t="n">
        <v>38</v>
      </c>
      <c r="H128" t="inlineStr">
        <is>
          <t xml:space="preserve">Muy bueno </t>
        </is>
      </c>
      <c r="I128" t="inlineStr">
        <is>
          <t>OCTAVO</t>
        </is>
      </c>
      <c r="J128" t="inlineStr">
        <is>
          <t>TM</t>
        </is>
      </c>
      <c r="K128" t="n">
        <v>0.09523809523809523</v>
      </c>
    </row>
    <row r="129">
      <c r="A129" t="inlineStr">
        <is>
          <t>Académica</t>
        </is>
      </c>
      <c r="B129" t="inlineStr">
        <is>
          <t>For-01. Domina los conceptos clave del grado.</t>
        </is>
      </c>
      <c r="C129" t="inlineStr">
        <is>
          <t>01. Domina los conceptos clave del grado.</t>
        </is>
      </c>
      <c r="D129" t="inlineStr">
        <is>
          <t>Fortaleza/Logro</t>
        </is>
      </c>
      <c r="E129" t="n">
        <v>12</v>
      </c>
      <c r="F129" t="n">
        <v>1</v>
      </c>
      <c r="G129" t="n">
        <v>12</v>
      </c>
      <c r="H129" t="inlineStr">
        <is>
          <t>A mejorar</t>
        </is>
      </c>
      <c r="I129" t="inlineStr">
        <is>
          <t>OCTAVO</t>
        </is>
      </c>
      <c r="J129" t="inlineStr">
        <is>
          <t>TM</t>
        </is>
      </c>
      <c r="K129" t="n">
        <v>0.2857142857142857</v>
      </c>
    </row>
    <row r="130">
      <c r="A130" t="inlineStr">
        <is>
          <t>Académica</t>
        </is>
      </c>
      <c r="B130" t="inlineStr">
        <is>
          <t>For-03. Posee un pensamiento crítico y analítico.</t>
        </is>
      </c>
      <c r="C130" t="inlineStr">
        <is>
          <t>03. Posee un pensamiento crítico y analítico.</t>
        </is>
      </c>
      <c r="D130" t="inlineStr">
        <is>
          <t>Fortaleza/Logro</t>
        </is>
      </c>
      <c r="E130" t="n">
        <v>11</v>
      </c>
      <c r="F130" t="n">
        <v>1</v>
      </c>
      <c r="G130" t="n">
        <v>11</v>
      </c>
      <c r="H130" t="inlineStr">
        <is>
          <t>A mejorar</t>
        </is>
      </c>
      <c r="I130" t="inlineStr">
        <is>
          <t>OCTAVO</t>
        </is>
      </c>
      <c r="J130" t="inlineStr">
        <is>
          <t>TM</t>
        </is>
      </c>
      <c r="K130" t="n">
        <v>0.2619047619047619</v>
      </c>
    </row>
    <row r="131">
      <c r="A131" t="inlineStr">
        <is>
          <t>Académica</t>
        </is>
      </c>
      <c r="B131" t="inlineStr">
        <is>
          <t>For-05. Entrega trabajos con alta calidad y orden.</t>
        </is>
      </c>
      <c r="C131" t="inlineStr">
        <is>
          <t>05. Entrega trabajos con alta calidad y orden.</t>
        </is>
      </c>
      <c r="D131" t="inlineStr">
        <is>
          <t>Fortaleza/Logro</t>
        </is>
      </c>
      <c r="E131" t="n">
        <v>13</v>
      </c>
      <c r="F131" t="n">
        <v>1</v>
      </c>
      <c r="G131" t="n">
        <v>13</v>
      </c>
      <c r="H131" t="inlineStr">
        <is>
          <t>A mejorar</t>
        </is>
      </c>
      <c r="I131" t="inlineStr">
        <is>
          <t>OCTAVO</t>
        </is>
      </c>
      <c r="J131" t="inlineStr">
        <is>
          <t>TM</t>
        </is>
      </c>
      <c r="K131" t="n">
        <v>0.3095238095238095</v>
      </c>
    </row>
    <row r="132">
      <c r="A132" t="inlineStr">
        <is>
          <t>Académica</t>
        </is>
      </c>
      <c r="B132" t="inlineStr">
        <is>
          <t>For-07. Resuelve problemas lógicos con fluidez.</t>
        </is>
      </c>
      <c r="C132" t="inlineStr">
        <is>
          <t>07. Resuelve problemas lógicos con fluidez.</t>
        </is>
      </c>
      <c r="D132" t="inlineStr">
        <is>
          <t>Fortaleza/Logro</t>
        </is>
      </c>
      <c r="E132" t="n">
        <v>10</v>
      </c>
      <c r="F132" t="n">
        <v>1</v>
      </c>
      <c r="G132" t="n">
        <v>10</v>
      </c>
      <c r="H132" t="inlineStr">
        <is>
          <t>A mejorar</t>
        </is>
      </c>
      <c r="I132" t="inlineStr">
        <is>
          <t>OCTAVO</t>
        </is>
      </c>
      <c r="J132" t="inlineStr">
        <is>
          <t>TM</t>
        </is>
      </c>
      <c r="K132" t="n">
        <v>0.2380952380952381</v>
      </c>
    </row>
    <row r="133">
      <c r="A133" t="inlineStr">
        <is>
          <t>Académica</t>
        </is>
      </c>
      <c r="B133" t="inlineStr">
        <is>
          <t>For-09. Utiliza vocabulario técnico preciso.</t>
        </is>
      </c>
      <c r="C133" t="inlineStr">
        <is>
          <t>09. Utiliza vocabulario técnico preciso.</t>
        </is>
      </c>
      <c r="D133" t="inlineStr">
        <is>
          <t>Fortaleza/Logro</t>
        </is>
      </c>
      <c r="E133" t="n">
        <v>12</v>
      </c>
      <c r="F133" t="n">
        <v>1</v>
      </c>
      <c r="G133" t="n">
        <v>12</v>
      </c>
      <c r="H133" t="inlineStr">
        <is>
          <t>A mejorar</t>
        </is>
      </c>
      <c r="I133" t="inlineStr">
        <is>
          <t>OCTAVO</t>
        </is>
      </c>
      <c r="J133" t="inlineStr">
        <is>
          <t>TM</t>
        </is>
      </c>
      <c r="K133" t="n">
        <v>0.2857142857142857</v>
      </c>
    </row>
    <row r="134">
      <c r="A134" t="inlineStr">
        <is>
          <t>Académica</t>
        </is>
      </c>
      <c r="B134" t="inlineStr">
        <is>
          <t>For-11. Posee excelentes hábitos de lectura.</t>
        </is>
      </c>
      <c r="C134" t="inlineStr">
        <is>
          <t>11. Posee excelentes hábitos de lectura.</t>
        </is>
      </c>
      <c r="D134" t="inlineStr">
        <is>
          <t>Fortaleza/Logro</t>
        </is>
      </c>
      <c r="E134" t="n">
        <v>11</v>
      </c>
      <c r="F134" t="n">
        <v>1</v>
      </c>
      <c r="G134" t="n">
        <v>11</v>
      </c>
      <c r="H134" t="inlineStr">
        <is>
          <t>A mejorar</t>
        </is>
      </c>
      <c r="I134" t="inlineStr">
        <is>
          <t>OCTAVO</t>
        </is>
      </c>
      <c r="J134" t="inlineStr">
        <is>
          <t>TM</t>
        </is>
      </c>
      <c r="K134" t="n">
        <v>0.2619047619047619</v>
      </c>
    </row>
    <row r="135">
      <c r="A135" t="inlineStr">
        <is>
          <t>Académica</t>
        </is>
      </c>
      <c r="B135" t="inlineStr">
        <is>
          <t>For-13. Es autónomo en la realización de tareas.</t>
        </is>
      </c>
      <c r="C135" t="inlineStr">
        <is>
          <t>13. Es autónomo en la realización de tareas.</t>
        </is>
      </c>
      <c r="D135" t="inlineStr">
        <is>
          <t>Fortaleza/Logro</t>
        </is>
      </c>
      <c r="E135" t="n">
        <v>14</v>
      </c>
      <c r="F135" t="n">
        <v>1</v>
      </c>
      <c r="G135" t="n">
        <v>14</v>
      </c>
      <c r="H135" t="inlineStr">
        <is>
          <t>A mejorar</t>
        </is>
      </c>
      <c r="I135" t="inlineStr">
        <is>
          <t>OCTAVO</t>
        </is>
      </c>
      <c r="J135" t="inlineStr">
        <is>
          <t>TM</t>
        </is>
      </c>
      <c r="K135" t="n">
        <v>0.3333333333333333</v>
      </c>
    </row>
    <row r="136">
      <c r="A136" t="inlineStr">
        <is>
          <t>Académica</t>
        </is>
      </c>
      <c r="B136" t="inlineStr">
        <is>
          <t>For-15. Investiga más allá de lo solicitado.</t>
        </is>
      </c>
      <c r="C136" t="inlineStr">
        <is>
          <t>15. Investiga más allá de lo solicitado.</t>
        </is>
      </c>
      <c r="D136" t="inlineStr">
        <is>
          <t>Fortaleza/Logro</t>
        </is>
      </c>
      <c r="E136" t="n">
        <v>10</v>
      </c>
      <c r="F136" t="n">
        <v>1</v>
      </c>
      <c r="G136" t="n">
        <v>10</v>
      </c>
      <c r="H136" t="inlineStr">
        <is>
          <t>A mejorar</t>
        </is>
      </c>
      <c r="I136" t="inlineStr">
        <is>
          <t>OCTAVO</t>
        </is>
      </c>
      <c r="J136" t="inlineStr">
        <is>
          <t>TM</t>
        </is>
      </c>
      <c r="K136" t="n">
        <v>0.2380952380952381</v>
      </c>
    </row>
    <row r="137">
      <c r="A137" t="inlineStr">
        <is>
          <t>Conductual</t>
        </is>
      </c>
      <c r="B137" t="inlineStr">
        <is>
          <t>For-17. Respeta las normas de convivencia.</t>
        </is>
      </c>
      <c r="C137" t="inlineStr">
        <is>
          <t>17. Respeta las normas de convivencia.</t>
        </is>
      </c>
      <c r="D137" t="inlineStr">
        <is>
          <t>Fortaleza/Logro</t>
        </is>
      </c>
      <c r="E137" t="n">
        <v>13</v>
      </c>
      <c r="F137" t="n">
        <v>1</v>
      </c>
      <c r="G137" t="n">
        <v>13</v>
      </c>
      <c r="H137" t="inlineStr">
        <is>
          <t>A mejorar</t>
        </is>
      </c>
      <c r="I137" t="inlineStr">
        <is>
          <t>OCTAVO</t>
        </is>
      </c>
      <c r="J137" t="inlineStr">
        <is>
          <t>TM</t>
        </is>
      </c>
      <c r="K137" t="n">
        <v>0.3095238095238095</v>
      </c>
    </row>
    <row r="138">
      <c r="A138" t="inlineStr">
        <is>
          <t>Conductual</t>
        </is>
      </c>
      <c r="B138" t="inlineStr">
        <is>
          <t>For-19. Es puntual en todas sus obligaciones.</t>
        </is>
      </c>
      <c r="C138" t="inlineStr">
        <is>
          <t>19. Es puntual en todas sus obligaciones.</t>
        </is>
      </c>
      <c r="D138" t="inlineStr">
        <is>
          <t>Fortaleza/Logro</t>
        </is>
      </c>
      <c r="E138" t="n">
        <v>12</v>
      </c>
      <c r="F138" t="n">
        <v>1</v>
      </c>
      <c r="G138" t="n">
        <v>12</v>
      </c>
      <c r="H138" t="inlineStr">
        <is>
          <t>A mejorar</t>
        </is>
      </c>
      <c r="I138" t="inlineStr">
        <is>
          <t>OCTAVO</t>
        </is>
      </c>
      <c r="J138" t="inlineStr">
        <is>
          <t>TM</t>
        </is>
      </c>
      <c r="K138" t="n">
        <v>0.2857142857142857</v>
      </c>
    </row>
    <row r="139">
      <c r="A139" t="inlineStr">
        <is>
          <t>Conductual</t>
        </is>
      </c>
      <c r="B139" t="inlineStr">
        <is>
          <t>For-21. Cuida el material propio y ajeno.</t>
        </is>
      </c>
      <c r="C139" t="inlineStr">
        <is>
          <t>21. Cuida el material propio y ajeno.</t>
        </is>
      </c>
      <c r="D139" t="inlineStr">
        <is>
          <t>Fortaleza/Logro</t>
        </is>
      </c>
      <c r="E139" t="n">
        <v>14</v>
      </c>
      <c r="F139" t="n">
        <v>1</v>
      </c>
      <c r="G139" t="n">
        <v>14</v>
      </c>
      <c r="H139" t="inlineStr">
        <is>
          <t>A mejorar</t>
        </is>
      </c>
      <c r="I139" t="inlineStr">
        <is>
          <t>OCTAVO</t>
        </is>
      </c>
      <c r="J139" t="inlineStr">
        <is>
          <t>TM</t>
        </is>
      </c>
      <c r="K139" t="n">
        <v>0.3333333333333333</v>
      </c>
    </row>
    <row r="140">
      <c r="A140" t="inlineStr">
        <is>
          <t>Conductual</t>
        </is>
      </c>
      <c r="B140" t="inlineStr">
        <is>
          <t>For-23. Escucha con atención y no interrumpe.</t>
        </is>
      </c>
      <c r="C140" t="inlineStr">
        <is>
          <t>23. Escucha con atención y no interrumpe.</t>
        </is>
      </c>
      <c r="D140" t="inlineStr">
        <is>
          <t>Fortaleza/Logro</t>
        </is>
      </c>
      <c r="E140" t="n">
        <v>12</v>
      </c>
      <c r="F140" t="n">
        <v>1</v>
      </c>
      <c r="G140" t="n">
        <v>12</v>
      </c>
      <c r="H140" t="inlineStr">
        <is>
          <t>A mejorar</t>
        </is>
      </c>
      <c r="I140" t="inlineStr">
        <is>
          <t>OCTAVO</t>
        </is>
      </c>
      <c r="J140" t="inlineStr">
        <is>
          <t>TM</t>
        </is>
      </c>
      <c r="K140" t="n">
        <v>0.2857142857142857</v>
      </c>
    </row>
    <row r="141">
      <c r="A141" t="inlineStr">
        <is>
          <t>Conductual</t>
        </is>
      </c>
      <c r="B141" t="inlineStr">
        <is>
          <t>For-25. Utiliza el lenguaje de forma respetuosa.</t>
        </is>
      </c>
      <c r="C141" t="inlineStr">
        <is>
          <t>25. Utiliza el lenguaje de forma respetuosa.</t>
        </is>
      </c>
      <c r="D141" t="inlineStr">
        <is>
          <t>Fortaleza/Logro</t>
        </is>
      </c>
      <c r="E141" t="n">
        <v>14</v>
      </c>
      <c r="F141" t="n">
        <v>1</v>
      </c>
      <c r="G141" t="n">
        <v>14</v>
      </c>
      <c r="H141" t="inlineStr">
        <is>
          <t>A mejorar</t>
        </is>
      </c>
      <c r="I141" t="inlineStr">
        <is>
          <t>OCTAVO</t>
        </is>
      </c>
      <c r="J141" t="inlineStr">
        <is>
          <t>TM</t>
        </is>
      </c>
      <c r="K141" t="n">
        <v>0.3333333333333333</v>
      </c>
    </row>
    <row r="142">
      <c r="A142" t="inlineStr">
        <is>
          <t>Conductual</t>
        </is>
      </c>
      <c r="B142" t="inlineStr">
        <is>
          <t>For-27. Reconoce sus errores honestamente.</t>
        </is>
      </c>
      <c r="C142" t="inlineStr">
        <is>
          <t>27. Reconoce sus errores honestamente.</t>
        </is>
      </c>
      <c r="D142" t="inlineStr">
        <is>
          <t>Fortaleza/Logro</t>
        </is>
      </c>
      <c r="E142" t="n">
        <v>13</v>
      </c>
      <c r="F142" t="n">
        <v>1</v>
      </c>
      <c r="G142" t="n">
        <v>13</v>
      </c>
      <c r="H142" t="inlineStr">
        <is>
          <t>A mejorar</t>
        </is>
      </c>
      <c r="I142" t="inlineStr">
        <is>
          <t>OCTAVO</t>
        </is>
      </c>
      <c r="J142" t="inlineStr">
        <is>
          <t>TM</t>
        </is>
      </c>
      <c r="K142" t="n">
        <v>0.3095238095238095</v>
      </c>
    </row>
    <row r="143">
      <c r="A143" t="inlineStr">
        <is>
          <t>Conductual</t>
        </is>
      </c>
      <c r="B143" t="inlineStr">
        <is>
          <t>For-29. Usa la tecnología con fines educativos.</t>
        </is>
      </c>
      <c r="C143" t="inlineStr">
        <is>
          <t>29. Usa la tecnología con fines educativos.</t>
        </is>
      </c>
      <c r="D143" t="inlineStr">
        <is>
          <t>Fortaleza/Logro</t>
        </is>
      </c>
      <c r="E143" t="n">
        <v>11</v>
      </c>
      <c r="F143" t="n">
        <v>1</v>
      </c>
      <c r="G143" t="n">
        <v>11</v>
      </c>
      <c r="H143" t="inlineStr">
        <is>
          <t>A mejorar</t>
        </is>
      </c>
      <c r="I143" t="inlineStr">
        <is>
          <t>OCTAVO</t>
        </is>
      </c>
      <c r="J143" t="inlineStr">
        <is>
          <t>TM</t>
        </is>
      </c>
      <c r="K143" t="n">
        <v>0.2619047619047619</v>
      </c>
    </row>
    <row r="144">
      <c r="A144" t="inlineStr">
        <is>
          <t>Conductual</t>
        </is>
      </c>
      <c r="B144" t="inlineStr">
        <is>
          <t>For-31. Mantiene el orden en espacios comunes.</t>
        </is>
      </c>
      <c r="C144" t="inlineStr">
        <is>
          <t>31. Mantiene el orden en espacios comunes.</t>
        </is>
      </c>
      <c r="D144" t="inlineStr">
        <is>
          <t>Fortaleza/Logro</t>
        </is>
      </c>
      <c r="E144" t="n">
        <v>12</v>
      </c>
      <c r="F144" t="n">
        <v>1</v>
      </c>
      <c r="G144" t="n">
        <v>12</v>
      </c>
      <c r="H144" t="inlineStr">
        <is>
          <t>A mejorar</t>
        </is>
      </c>
      <c r="I144" t="inlineStr">
        <is>
          <t>OCTAVO</t>
        </is>
      </c>
      <c r="J144" t="inlineStr">
        <is>
          <t>TM</t>
        </is>
      </c>
      <c r="K144" t="n">
        <v>0.2857142857142857</v>
      </c>
    </row>
    <row r="145">
      <c r="A145" t="inlineStr">
        <is>
          <t>Socio-Emocional</t>
        </is>
      </c>
      <c r="B145" t="inlineStr">
        <is>
          <t>For-33. Muestra resiliencia ante el fracaso.</t>
        </is>
      </c>
      <c r="C145" t="inlineStr">
        <is>
          <t>33. Muestra resiliencia ante el fracaso.</t>
        </is>
      </c>
      <c r="D145" t="inlineStr">
        <is>
          <t>Fortaleza/Logro</t>
        </is>
      </c>
      <c r="E145" t="n">
        <v>11</v>
      </c>
      <c r="F145" t="n">
        <v>1</v>
      </c>
      <c r="G145" t="n">
        <v>11</v>
      </c>
      <c r="H145" t="inlineStr">
        <is>
          <t>A mejorar</t>
        </is>
      </c>
      <c r="I145" t="inlineStr">
        <is>
          <t>OCTAVO</t>
        </is>
      </c>
      <c r="J145" t="inlineStr">
        <is>
          <t>TM</t>
        </is>
      </c>
      <c r="K145" t="n">
        <v>0.2619047619047619</v>
      </c>
    </row>
    <row r="146">
      <c r="A146" t="inlineStr">
        <is>
          <t>Socio-Emocional</t>
        </is>
      </c>
      <c r="B146" t="inlineStr">
        <is>
          <t>For-35. Trabaja de forma colaborativa y equitativa.</t>
        </is>
      </c>
      <c r="C146" t="inlineStr">
        <is>
          <t>35. Trabaja de forma colaborativa y equitativa.</t>
        </is>
      </c>
      <c r="D146" t="inlineStr">
        <is>
          <t>Fortaleza/Logro</t>
        </is>
      </c>
      <c r="E146" t="n">
        <v>14</v>
      </c>
      <c r="F146" t="n">
        <v>1</v>
      </c>
      <c r="G146" t="n">
        <v>14</v>
      </c>
      <c r="H146" t="inlineStr">
        <is>
          <t>A mejorar</t>
        </is>
      </c>
      <c r="I146" t="inlineStr">
        <is>
          <t>OCTAVO</t>
        </is>
      </c>
      <c r="J146" t="inlineStr">
        <is>
          <t>TM</t>
        </is>
      </c>
      <c r="K146" t="n">
        <v>0.3333333333333333</v>
      </c>
    </row>
    <row r="147">
      <c r="A147" t="inlineStr">
        <is>
          <t>Socio-Emocional</t>
        </is>
      </c>
      <c r="B147" t="inlineStr">
        <is>
          <t>For-37. Es empático con las necesidades ajenas.</t>
        </is>
      </c>
      <c r="C147" t="inlineStr">
        <is>
          <t>37. Es empático con las necesidades ajenas.</t>
        </is>
      </c>
      <c r="D147" t="inlineStr">
        <is>
          <t>Fortaleza/Logro</t>
        </is>
      </c>
      <c r="E147" t="n">
        <v>13</v>
      </c>
      <c r="F147" t="n">
        <v>1</v>
      </c>
      <c r="G147" t="n">
        <v>13</v>
      </c>
      <c r="H147" t="inlineStr">
        <is>
          <t>A mejorar</t>
        </is>
      </c>
      <c r="I147" t="inlineStr">
        <is>
          <t>OCTAVO</t>
        </is>
      </c>
      <c r="J147" t="inlineStr">
        <is>
          <t>TM</t>
        </is>
      </c>
      <c r="K147" t="n">
        <v>0.3095238095238095</v>
      </c>
    </row>
    <row r="148">
      <c r="A148" t="inlineStr">
        <is>
          <t>Socio-Emocional</t>
        </is>
      </c>
      <c r="B148" t="inlineStr">
        <is>
          <t>For-39. Posee un liderazgo positivo y ético.</t>
        </is>
      </c>
      <c r="C148" t="inlineStr">
        <is>
          <t>39. Posee un liderazgo positivo y ético.</t>
        </is>
      </c>
      <c r="D148" t="inlineStr">
        <is>
          <t>Fortaleza/Logro</t>
        </is>
      </c>
      <c r="E148" t="n">
        <v>11</v>
      </c>
      <c r="F148" t="n">
        <v>1</v>
      </c>
      <c r="G148" t="n">
        <v>11</v>
      </c>
      <c r="H148" t="inlineStr">
        <is>
          <t>A mejorar</t>
        </is>
      </c>
      <c r="I148" t="inlineStr">
        <is>
          <t>OCTAVO</t>
        </is>
      </c>
      <c r="J148" t="inlineStr">
        <is>
          <t>TM</t>
        </is>
      </c>
      <c r="K148" t="n">
        <v>0.2619047619047619</v>
      </c>
    </row>
    <row r="149">
      <c r="A149" t="inlineStr">
        <is>
          <t>Socio-Emocional</t>
        </is>
      </c>
      <c r="B149" t="inlineStr">
        <is>
          <t>For-41. Se comunica de manera asertiva.</t>
        </is>
      </c>
      <c r="C149" t="inlineStr">
        <is>
          <t>41. Se comunica de manera asertiva.</t>
        </is>
      </c>
      <c r="D149" t="inlineStr">
        <is>
          <t>Fortaleza/Logro</t>
        </is>
      </c>
      <c r="E149" t="n">
        <v>12</v>
      </c>
      <c r="F149" t="n">
        <v>1</v>
      </c>
      <c r="G149" t="n">
        <v>12</v>
      </c>
      <c r="H149" t="inlineStr">
        <is>
          <t>A mejorar</t>
        </is>
      </c>
      <c r="I149" t="inlineStr">
        <is>
          <t>OCTAVO</t>
        </is>
      </c>
      <c r="J149" t="inlineStr">
        <is>
          <t>TM</t>
        </is>
      </c>
      <c r="K149" t="n">
        <v>0.2857142857142857</v>
      </c>
    </row>
    <row r="150">
      <c r="A150" t="inlineStr">
        <is>
          <t>Socio-Emocional</t>
        </is>
      </c>
      <c r="B150" t="inlineStr">
        <is>
          <t>For-43. Tiene una autoestima académica sólida.</t>
        </is>
      </c>
      <c r="C150" t="inlineStr">
        <is>
          <t>43. Tiene una autoestima académica sólida.</t>
        </is>
      </c>
      <c r="D150" t="inlineStr">
        <is>
          <t>Fortaleza/Logro</t>
        </is>
      </c>
      <c r="E150" t="n">
        <v>12</v>
      </c>
      <c r="F150" t="n">
        <v>1</v>
      </c>
      <c r="G150" t="n">
        <v>12</v>
      </c>
      <c r="H150" t="inlineStr">
        <is>
          <t>A mejorar</t>
        </is>
      </c>
      <c r="I150" t="inlineStr">
        <is>
          <t>OCTAVO</t>
        </is>
      </c>
      <c r="J150" t="inlineStr">
        <is>
          <t>TM</t>
        </is>
      </c>
      <c r="K150" t="n">
        <v>0.2857142857142857</v>
      </c>
    </row>
    <row r="151">
      <c r="A151" t="inlineStr">
        <is>
          <t>Actitudinal</t>
        </is>
      </c>
      <c r="B151" t="inlineStr">
        <is>
          <t>For-45. Muestra curiosidad e iniciativa propia.</t>
        </is>
      </c>
      <c r="C151" t="inlineStr">
        <is>
          <t>45. Muestra curiosidad e iniciativa propia.</t>
        </is>
      </c>
      <c r="D151" t="inlineStr">
        <is>
          <t>Fortaleza/Logro</t>
        </is>
      </c>
      <c r="E151" t="n">
        <v>14</v>
      </c>
      <c r="F151" t="n">
        <v>1</v>
      </c>
      <c r="G151" t="n">
        <v>14</v>
      </c>
      <c r="H151" t="inlineStr">
        <is>
          <t>A mejorar</t>
        </is>
      </c>
      <c r="I151" t="inlineStr">
        <is>
          <t>OCTAVO</t>
        </is>
      </c>
      <c r="J151" t="inlineStr">
        <is>
          <t>TM</t>
        </is>
      </c>
      <c r="K151" t="n">
        <v>0.3333333333333333</v>
      </c>
    </row>
    <row r="152">
      <c r="A152" t="inlineStr">
        <is>
          <t>Actitudinal</t>
        </is>
      </c>
      <c r="B152" t="inlineStr">
        <is>
          <t>For-47. Es persistente en tareas complejas.</t>
        </is>
      </c>
      <c r="C152" t="inlineStr">
        <is>
          <t>47. Es persistente en tareas complejas.</t>
        </is>
      </c>
      <c r="D152" t="inlineStr">
        <is>
          <t>Fortaleza/Logro</t>
        </is>
      </c>
      <c r="E152" t="n">
        <v>11</v>
      </c>
      <c r="F152" t="n">
        <v>1</v>
      </c>
      <c r="G152" t="n">
        <v>11</v>
      </c>
      <c r="H152" t="inlineStr">
        <is>
          <t>A mejorar</t>
        </is>
      </c>
      <c r="I152" t="inlineStr">
        <is>
          <t>OCTAVO</t>
        </is>
      </c>
      <c r="J152" t="inlineStr">
        <is>
          <t>TM</t>
        </is>
      </c>
      <c r="K152" t="n">
        <v>0.2619047619047619</v>
      </c>
    </row>
    <row r="153">
      <c r="A153" t="inlineStr">
        <is>
          <t>Actitudinal</t>
        </is>
      </c>
      <c r="B153" t="inlineStr">
        <is>
          <t>For-49. Acepta retroalimentación constructiva.</t>
        </is>
      </c>
      <c r="C153" t="inlineStr">
        <is>
          <t>49. Acepta retroalimentación constructiva.</t>
        </is>
      </c>
      <c r="D153" t="inlineStr">
        <is>
          <t>Fortaleza/Logro</t>
        </is>
      </c>
      <c r="E153" t="n">
        <v>13</v>
      </c>
      <c r="F153" t="n">
        <v>1</v>
      </c>
      <c r="G153" t="n">
        <v>13</v>
      </c>
      <c r="H153" t="inlineStr">
        <is>
          <t>A mejorar</t>
        </is>
      </c>
      <c r="I153" t="inlineStr">
        <is>
          <t>OCTAVO</t>
        </is>
      </c>
      <c r="J153" t="inlineStr">
        <is>
          <t>TM</t>
        </is>
      </c>
      <c r="K153" t="n">
        <v>0.3095238095238095</v>
      </c>
    </row>
    <row r="154">
      <c r="A154">
        <f t="array" ref="A154:K204">+noveno_tabla</f>
        <v/>
      </c>
      <c r="B154" t="inlineStr">
        <is>
          <t xml:space="preserve">Indicador </t>
        </is>
      </c>
      <c r="C154" t="inlineStr">
        <is>
          <t xml:space="preserve">Indicador </t>
        </is>
      </c>
      <c r="D154" t="inlineStr">
        <is>
          <t>Tipo de Indicador</t>
        </is>
      </c>
      <c r="E154" t="inlineStr">
        <is>
          <t>Cantidad de veces</t>
        </is>
      </c>
      <c r="F154" t="inlineStr">
        <is>
          <t>NOTA</t>
        </is>
      </c>
      <c r="G154" t="inlineStr">
        <is>
          <t>PR</t>
        </is>
      </c>
      <c r="H154" t="inlineStr">
        <is>
          <t>VALORACION</t>
        </is>
      </c>
      <c r="I154" t="inlineStr">
        <is>
          <t>GRADO</t>
        </is>
      </c>
      <c r="J154" t="inlineStr">
        <is>
          <t>TURNO</t>
        </is>
      </c>
      <c r="K154" t="inlineStr">
        <is>
          <t>NF</t>
        </is>
      </c>
    </row>
    <row r="155">
      <c r="A155" t="inlineStr">
        <is>
          <t>Académica</t>
        </is>
      </c>
      <c r="B155" t="inlineStr">
        <is>
          <t>Ale-02. Presenta lagunas en conocimientos previos.</t>
        </is>
      </c>
      <c r="C155" t="inlineStr">
        <is>
          <t>02. Presenta lagunas en conocimientos previos.</t>
        </is>
      </c>
      <c r="D155" t="inlineStr">
        <is>
          <t>Alerta/Mejora</t>
        </is>
      </c>
      <c r="E155" t="n">
        <v>14</v>
      </c>
      <c r="F155" t="n">
        <v>2</v>
      </c>
      <c r="G155" t="n">
        <v>28</v>
      </c>
      <c r="H155" t="inlineStr">
        <is>
          <t>A mejorar</t>
        </is>
      </c>
      <c r="I155" t="inlineStr">
        <is>
          <t>NOVENO</t>
        </is>
      </c>
      <c r="J155" t="inlineStr">
        <is>
          <t>TM</t>
        </is>
      </c>
      <c r="K155" t="n">
        <v>0.3333333333333333</v>
      </c>
    </row>
    <row r="156">
      <c r="A156" t="inlineStr">
        <is>
          <t>Académica</t>
        </is>
      </c>
      <c r="B156" t="inlineStr">
        <is>
          <t>Ale-04. Se limita a memorizar sin comprender.</t>
        </is>
      </c>
      <c r="C156" t="inlineStr">
        <is>
          <t>04. Se limita a memorizar sin comprender.</t>
        </is>
      </c>
      <c r="D156" t="inlineStr">
        <is>
          <t>Alerta/Mejora</t>
        </is>
      </c>
      <c r="E156" t="n">
        <v>12</v>
      </c>
      <c r="F156" t="n">
        <v>3</v>
      </c>
      <c r="G156" t="n">
        <v>30</v>
      </c>
      <c r="H156" t="inlineStr">
        <is>
          <t>Bueno</t>
        </is>
      </c>
      <c r="I156" t="inlineStr">
        <is>
          <t>NOVENO</t>
        </is>
      </c>
      <c r="J156" t="inlineStr">
        <is>
          <t>TM</t>
        </is>
      </c>
      <c r="K156" t="n">
        <v>0.2857142857142857</v>
      </c>
    </row>
    <row r="157">
      <c r="A157" t="inlineStr">
        <is>
          <t>Académica</t>
        </is>
      </c>
      <c r="B157" t="inlineStr">
        <is>
          <t>Ale-06. Entrega tareas incompletas o descuidadas.</t>
        </is>
      </c>
      <c r="C157" t="inlineStr">
        <is>
          <t>06. Entrega tareas incompletas o descuidadas.</t>
        </is>
      </c>
      <c r="D157" t="inlineStr">
        <is>
          <t>Alerta/Mejora</t>
        </is>
      </c>
      <c r="E157" t="n">
        <v>9</v>
      </c>
      <c r="F157" t="n">
        <v>3</v>
      </c>
      <c r="G157" t="n">
        <v>33</v>
      </c>
      <c r="H157" t="inlineStr">
        <is>
          <t>Bueno</t>
        </is>
      </c>
      <c r="I157" t="inlineStr">
        <is>
          <t>NOVENO</t>
        </is>
      </c>
      <c r="J157" t="inlineStr">
        <is>
          <t>TM</t>
        </is>
      </c>
      <c r="K157" t="n">
        <v>0.2142857142857143</v>
      </c>
    </row>
    <row r="158">
      <c r="A158" t="inlineStr">
        <is>
          <t>Académica</t>
        </is>
      </c>
      <c r="B158" t="inlineStr">
        <is>
          <t>Ale-08. Se bloquea ante desafíos matemáticos.</t>
        </is>
      </c>
      <c r="C158" t="inlineStr">
        <is>
          <t>08. Se bloquea ante desafíos matemáticos.</t>
        </is>
      </c>
      <c r="D158" t="inlineStr">
        <is>
          <t>Alerta/Mejora</t>
        </is>
      </c>
      <c r="E158" t="n">
        <v>15</v>
      </c>
      <c r="F158" t="n">
        <v>2</v>
      </c>
      <c r="G158" t="n">
        <v>27</v>
      </c>
      <c r="H158" t="inlineStr">
        <is>
          <t>A mejorar</t>
        </is>
      </c>
      <c r="I158" t="inlineStr">
        <is>
          <t>NOVENO</t>
        </is>
      </c>
      <c r="J158" t="inlineStr">
        <is>
          <t>TM</t>
        </is>
      </c>
      <c r="K158" t="n">
        <v>0.3571428571428572</v>
      </c>
    </row>
    <row r="159">
      <c r="A159" t="inlineStr">
        <is>
          <t>Académica</t>
        </is>
      </c>
      <c r="B159" t="inlineStr">
        <is>
          <t>Ale-10. Tiene dificultades de expresión oral/escrita.</t>
        </is>
      </c>
      <c r="C159" t="inlineStr">
        <is>
          <t>10. Tiene dificultades de expresión oral/escrita.</t>
        </is>
      </c>
      <c r="D159" t="inlineStr">
        <is>
          <t>Alerta/Mejora</t>
        </is>
      </c>
      <c r="E159" t="n">
        <v>8</v>
      </c>
      <c r="F159" t="n">
        <v>4</v>
      </c>
      <c r="G159" t="n">
        <v>34</v>
      </c>
      <c r="H159" t="inlineStr">
        <is>
          <t xml:space="preserve">Muy bueno </t>
        </is>
      </c>
      <c r="I159" t="inlineStr">
        <is>
          <t>NOVENO</t>
        </is>
      </c>
      <c r="J159" t="inlineStr">
        <is>
          <t>TM</t>
        </is>
      </c>
      <c r="K159" t="n">
        <v>0.1904761904761905</v>
      </c>
    </row>
    <row r="160">
      <c r="A160" t="inlineStr">
        <is>
          <t>Académica</t>
        </is>
      </c>
      <c r="B160" t="inlineStr">
        <is>
          <t>Ale-12. Muestra rechazo o desinterés por la lectura.</t>
        </is>
      </c>
      <c r="C160" t="inlineStr">
        <is>
          <t>12. Muestra rechazo o desinterés por la lectura.</t>
        </is>
      </c>
      <c r="D160" t="inlineStr">
        <is>
          <t>Alerta/Mejora</t>
        </is>
      </c>
      <c r="E160" t="n">
        <v>3</v>
      </c>
      <c r="F160" t="n">
        <v>5</v>
      </c>
      <c r="G160" t="n">
        <v>39</v>
      </c>
      <c r="H160" t="inlineStr">
        <is>
          <t xml:space="preserve">Muy bueno </t>
        </is>
      </c>
      <c r="I160" t="inlineStr">
        <is>
          <t>NOVENO</t>
        </is>
      </c>
      <c r="J160" t="inlineStr">
        <is>
          <t>TM</t>
        </is>
      </c>
      <c r="K160" t="n">
        <v>0.07142857142857142</v>
      </c>
    </row>
    <row r="161">
      <c r="A161" t="inlineStr">
        <is>
          <t>Académica</t>
        </is>
      </c>
      <c r="B161" t="inlineStr">
        <is>
          <t>Ale-14. Requiere supervisión constante para avanzar.</t>
        </is>
      </c>
      <c r="C161" t="inlineStr">
        <is>
          <t>14. Requiere supervisión constante para avanzar.</t>
        </is>
      </c>
      <c r="D161" t="inlineStr">
        <is>
          <t>Alerta/Mejora</t>
        </is>
      </c>
      <c r="E161" t="n">
        <v>7</v>
      </c>
      <c r="F161" t="n">
        <v>4</v>
      </c>
      <c r="G161" t="n">
        <v>35</v>
      </c>
      <c r="H161" t="inlineStr">
        <is>
          <t xml:space="preserve">Muy bueno </t>
        </is>
      </c>
      <c r="I161" t="inlineStr">
        <is>
          <t>NOVENO</t>
        </is>
      </c>
      <c r="J161" t="inlineStr">
        <is>
          <t>TM</t>
        </is>
      </c>
      <c r="K161" t="n">
        <v>0.1666666666666667</v>
      </c>
    </row>
    <row r="162">
      <c r="A162" t="inlineStr">
        <is>
          <t>Académica</t>
        </is>
      </c>
      <c r="B162" t="inlineStr">
        <is>
          <t>Ale-16. Muestra apatía por temas nuevos.</t>
        </is>
      </c>
      <c r="C162" t="inlineStr">
        <is>
          <t>16. Muestra apatía por temas nuevos.</t>
        </is>
      </c>
      <c r="D162" t="inlineStr">
        <is>
          <t>Alerta/Mejora</t>
        </is>
      </c>
      <c r="E162" t="n">
        <v>5</v>
      </c>
      <c r="F162" t="n">
        <v>4</v>
      </c>
      <c r="G162" t="n">
        <v>37</v>
      </c>
      <c r="H162" t="inlineStr">
        <is>
          <t xml:space="preserve">Muy bueno </t>
        </is>
      </c>
      <c r="I162" t="inlineStr">
        <is>
          <t>NOVENO</t>
        </is>
      </c>
      <c r="J162" t="inlineStr">
        <is>
          <t>TM</t>
        </is>
      </c>
      <c r="K162" t="n">
        <v>0.119047619047619</v>
      </c>
    </row>
    <row r="163">
      <c r="A163" t="inlineStr">
        <is>
          <t>Conductual</t>
        </is>
      </c>
      <c r="B163" t="inlineStr">
        <is>
          <t>Ale-18. Desafía activamente la autoridad.</t>
        </is>
      </c>
      <c r="C163" t="inlineStr">
        <is>
          <t>18. Desafía activamente la autoridad.</t>
        </is>
      </c>
      <c r="D163" t="inlineStr">
        <is>
          <t>Alerta/Mejora</t>
        </is>
      </c>
      <c r="E163" t="n">
        <v>2</v>
      </c>
      <c r="F163" t="n">
        <v>5</v>
      </c>
      <c r="G163" t="n">
        <v>40</v>
      </c>
      <c r="H163" t="inlineStr">
        <is>
          <t xml:space="preserve">Muy bueno </t>
        </is>
      </c>
      <c r="I163" t="inlineStr">
        <is>
          <t>NOVENO</t>
        </is>
      </c>
      <c r="J163" t="inlineStr">
        <is>
          <t>TM</t>
        </is>
      </c>
      <c r="K163" t="n">
        <v>0.04761904761904762</v>
      </c>
    </row>
    <row r="164">
      <c r="A164" t="inlineStr">
        <is>
          <t>Conductual</t>
        </is>
      </c>
      <c r="B164" t="inlineStr">
        <is>
          <t>Ale-20. Presenta retardos o inasistencias frecuentes.</t>
        </is>
      </c>
      <c r="C164" t="inlineStr">
        <is>
          <t>20. Presenta retardos o inasistencias frecuentes.</t>
        </is>
      </c>
      <c r="D164" t="inlineStr">
        <is>
          <t>Alerta/Mejora</t>
        </is>
      </c>
      <c r="E164" t="n">
        <v>4</v>
      </c>
      <c r="F164" t="n">
        <v>4</v>
      </c>
      <c r="G164" t="n">
        <v>38</v>
      </c>
      <c r="H164" t="inlineStr">
        <is>
          <t xml:space="preserve">Muy bueno </t>
        </is>
      </c>
      <c r="I164" t="inlineStr">
        <is>
          <t>NOVENO</t>
        </is>
      </c>
      <c r="J164" t="inlineStr">
        <is>
          <t>TM</t>
        </is>
      </c>
      <c r="K164" t="n">
        <v>0.09523809523809523</v>
      </c>
    </row>
    <row r="165">
      <c r="A165" t="inlineStr">
        <is>
          <t>Conductual</t>
        </is>
      </c>
      <c r="B165" t="inlineStr">
        <is>
          <t>Ale-22. Daña el mobiliario o materiales escolares.</t>
        </is>
      </c>
      <c r="C165" t="inlineStr">
        <is>
          <t>22. Daña el mobiliario o materiales escolares.</t>
        </is>
      </c>
      <c r="D165" t="inlineStr">
        <is>
          <t>Alerta/Mejora</t>
        </is>
      </c>
      <c r="E165" t="n">
        <v>0</v>
      </c>
      <c r="F165" t="n">
        <v>5</v>
      </c>
      <c r="G165" t="n">
        <v>42</v>
      </c>
      <c r="H165" t="inlineStr">
        <is>
          <t xml:space="preserve">Muy bueno </t>
        </is>
      </c>
      <c r="I165" t="inlineStr">
        <is>
          <t>NOVENO</t>
        </is>
      </c>
      <c r="J165" t="inlineStr">
        <is>
          <t>TM</t>
        </is>
      </c>
      <c r="K165" t="n">
        <v>0</v>
      </c>
    </row>
    <row r="166">
      <c r="A166" t="inlineStr">
        <is>
          <t>Conductual</t>
        </is>
      </c>
      <c r="B166" t="inlineStr">
        <is>
          <t>Ale-24. Interrumpe constantemente el flujo de clase.</t>
        </is>
      </c>
      <c r="C166" t="inlineStr">
        <is>
          <t>24. Interrumpe constantemente el flujo de clase.</t>
        </is>
      </c>
      <c r="D166" t="inlineStr">
        <is>
          <t>Alerta/Mejora</t>
        </is>
      </c>
      <c r="E166" t="n">
        <v>26</v>
      </c>
      <c r="F166" t="n">
        <v>1</v>
      </c>
      <c r="G166" t="n">
        <v>16</v>
      </c>
      <c r="H166" t="inlineStr">
        <is>
          <t>A mejorar</t>
        </is>
      </c>
      <c r="I166" t="inlineStr">
        <is>
          <t>NOVENO</t>
        </is>
      </c>
      <c r="J166" t="inlineStr">
        <is>
          <t>TM</t>
        </is>
      </c>
      <c r="K166" t="n">
        <v>0.6190476190476191</v>
      </c>
    </row>
    <row r="167">
      <c r="A167" t="inlineStr">
        <is>
          <t>Conductual</t>
        </is>
      </c>
      <c r="B167" t="inlineStr">
        <is>
          <t>Ale-26. Emplea lenguaje soez o despectivo.</t>
        </is>
      </c>
      <c r="C167" t="inlineStr">
        <is>
          <t>26. Emplea lenguaje soez o despectivo.</t>
        </is>
      </c>
      <c r="D167" t="inlineStr">
        <is>
          <t>Alerta/Mejora</t>
        </is>
      </c>
      <c r="E167" t="n">
        <v>0</v>
      </c>
      <c r="F167" t="n">
        <v>5</v>
      </c>
      <c r="G167" t="n">
        <v>42</v>
      </c>
      <c r="H167" t="inlineStr">
        <is>
          <t xml:space="preserve">Muy bueno </t>
        </is>
      </c>
      <c r="I167" t="inlineStr">
        <is>
          <t>NOVENO</t>
        </is>
      </c>
      <c r="J167" t="inlineStr">
        <is>
          <t>TM</t>
        </is>
      </c>
      <c r="K167" t="n">
        <v>0</v>
      </c>
    </row>
    <row r="168">
      <c r="A168" t="inlineStr">
        <is>
          <t>Conductual</t>
        </is>
      </c>
      <c r="B168" t="inlineStr">
        <is>
          <t>Ale-28. Miente o culpa a otros por sus actos.</t>
        </is>
      </c>
      <c r="C168" t="inlineStr">
        <is>
          <t>28. Miente o culpa a otros por sus actos.</t>
        </is>
      </c>
      <c r="D168" t="inlineStr">
        <is>
          <t>Alerta/Mejora</t>
        </is>
      </c>
      <c r="E168" t="n">
        <v>4</v>
      </c>
      <c r="F168" t="n">
        <v>4</v>
      </c>
      <c r="G168" t="n">
        <v>38</v>
      </c>
      <c r="H168" t="inlineStr">
        <is>
          <t xml:space="preserve">Muy bueno </t>
        </is>
      </c>
      <c r="I168" t="inlineStr">
        <is>
          <t>NOVENO</t>
        </is>
      </c>
      <c r="J168" t="inlineStr">
        <is>
          <t>TM</t>
        </is>
      </c>
      <c r="K168" t="n">
        <v>0.09523809523809523</v>
      </c>
    </row>
    <row r="169">
      <c r="A169" t="inlineStr">
        <is>
          <t>Conductual</t>
        </is>
      </c>
      <c r="B169" t="inlineStr">
        <is>
          <t>Ale-30. Se distrae con dispositivos electrónicos.</t>
        </is>
      </c>
      <c r="C169" t="inlineStr">
        <is>
          <t>30. Se distrae con dispositivos electrónicos.</t>
        </is>
      </c>
      <c r="D169" t="inlineStr">
        <is>
          <t>Alerta/Mejora</t>
        </is>
      </c>
      <c r="E169" t="n">
        <v>10</v>
      </c>
      <c r="F169" t="n">
        <v>3</v>
      </c>
      <c r="G169" t="n">
        <v>32</v>
      </c>
      <c r="H169" t="inlineStr">
        <is>
          <t>Bueno</t>
        </is>
      </c>
      <c r="I169" t="inlineStr">
        <is>
          <t>NOVENO</t>
        </is>
      </c>
      <c r="J169" t="inlineStr">
        <is>
          <t>TM</t>
        </is>
      </c>
      <c r="K169" t="n">
        <v>0.2380952380952381</v>
      </c>
    </row>
    <row r="170">
      <c r="A170" t="inlineStr">
        <is>
          <t>Conductual</t>
        </is>
      </c>
      <c r="B170" t="inlineStr">
        <is>
          <t>Ale-32. Fomenta el desorden o el caos en el grupo.</t>
        </is>
      </c>
      <c r="C170" t="inlineStr">
        <is>
          <t>32. Fomenta el desorden o el caos en el grupo.</t>
        </is>
      </c>
      <c r="D170" t="inlineStr">
        <is>
          <t>Alerta/Mejora</t>
        </is>
      </c>
      <c r="E170" t="n">
        <v>22</v>
      </c>
      <c r="F170" t="n">
        <v>1</v>
      </c>
      <c r="G170" t="n">
        <v>20</v>
      </c>
      <c r="H170" t="inlineStr">
        <is>
          <t>A mejorar</t>
        </is>
      </c>
      <c r="I170" t="inlineStr">
        <is>
          <t>NOVENO</t>
        </is>
      </c>
      <c r="J170" t="inlineStr">
        <is>
          <t>TM</t>
        </is>
      </c>
      <c r="K170" t="n">
        <v>0.5238095238095238</v>
      </c>
    </row>
    <row r="171">
      <c r="A171" t="inlineStr">
        <is>
          <t>Socio-Emocional</t>
        </is>
      </c>
      <c r="B171" t="inlineStr">
        <is>
          <t>Ale-34. Se rinde fácilmente ante la frustración.</t>
        </is>
      </c>
      <c r="C171" t="inlineStr">
        <is>
          <t>34. Se rinde fácilmente ante la frustración.</t>
        </is>
      </c>
      <c r="D171" t="inlineStr">
        <is>
          <t>Alerta/Mejora</t>
        </is>
      </c>
      <c r="E171" t="n">
        <v>9</v>
      </c>
      <c r="F171" t="n">
        <v>3</v>
      </c>
      <c r="G171" t="n">
        <v>33</v>
      </c>
      <c r="H171" t="inlineStr">
        <is>
          <t>Bueno</t>
        </is>
      </c>
      <c r="I171" t="inlineStr">
        <is>
          <t>NOVENO</t>
        </is>
      </c>
      <c r="J171" t="inlineStr">
        <is>
          <t>TM</t>
        </is>
      </c>
      <c r="K171" t="n">
        <v>0.2142857142857143</v>
      </c>
    </row>
    <row r="172">
      <c r="A172" t="inlineStr">
        <is>
          <t>Socio-Emocional</t>
        </is>
      </c>
      <c r="B172" t="inlineStr">
        <is>
          <t>Ale-36. Trabaja de forma aislada o es individualista.</t>
        </is>
      </c>
      <c r="C172" t="inlineStr">
        <is>
          <t>36. Trabaja de forma aislada o es individualista.</t>
        </is>
      </c>
      <c r="D172" t="inlineStr">
        <is>
          <t>Alerta/Mejora</t>
        </is>
      </c>
      <c r="E172" t="n">
        <v>3</v>
      </c>
      <c r="F172" t="n">
        <v>5</v>
      </c>
      <c r="G172" t="n">
        <v>39</v>
      </c>
      <c r="H172" t="inlineStr">
        <is>
          <t xml:space="preserve">Muy bueno </t>
        </is>
      </c>
      <c r="I172" t="inlineStr">
        <is>
          <t>NOVENO</t>
        </is>
      </c>
      <c r="J172" t="inlineStr">
        <is>
          <t>TM</t>
        </is>
      </c>
      <c r="K172" t="n">
        <v>0.07142857142857142</v>
      </c>
    </row>
    <row r="173">
      <c r="A173" t="inlineStr">
        <is>
          <t>Socio-Emocional</t>
        </is>
      </c>
      <c r="B173" t="inlineStr">
        <is>
          <t>Ale-38. Ignora o se burla de los sentimientos de otros.</t>
        </is>
      </c>
      <c r="C173" t="inlineStr">
        <is>
          <t>38. Ignora o se burla de los sentimientos de otros.</t>
        </is>
      </c>
      <c r="D173" t="inlineStr">
        <is>
          <t>Alerta/Mejora</t>
        </is>
      </c>
      <c r="E173" t="n">
        <v>2</v>
      </c>
      <c r="F173" t="n">
        <v>5</v>
      </c>
      <c r="G173" t="n">
        <v>40</v>
      </c>
      <c r="H173" t="inlineStr">
        <is>
          <t xml:space="preserve">Muy bueno </t>
        </is>
      </c>
      <c r="I173" t="inlineStr">
        <is>
          <t>NOVENO</t>
        </is>
      </c>
      <c r="J173" t="inlineStr">
        <is>
          <t>TM</t>
        </is>
      </c>
      <c r="K173" t="n">
        <v>0.04761904761904762</v>
      </c>
    </row>
    <row r="174">
      <c r="A174" t="inlineStr">
        <is>
          <t>Socio-Emocional</t>
        </is>
      </c>
      <c r="B174" t="inlineStr">
        <is>
          <t>Ale-40. Ejerce presión negativa o bullying.</t>
        </is>
      </c>
      <c r="C174" t="inlineStr">
        <is>
          <t>40. Ejerce presión negativa o bullying.</t>
        </is>
      </c>
      <c r="D174" t="inlineStr">
        <is>
          <t>Alerta/Mejora</t>
        </is>
      </c>
      <c r="E174" t="n">
        <v>0</v>
      </c>
      <c r="F174" t="n">
        <v>5</v>
      </c>
      <c r="G174" t="n">
        <v>42</v>
      </c>
      <c r="H174" t="inlineStr">
        <is>
          <t xml:space="preserve">Muy bueno </t>
        </is>
      </c>
      <c r="I174" t="inlineStr">
        <is>
          <t>NOVENO</t>
        </is>
      </c>
      <c r="J174" t="inlineStr">
        <is>
          <t>TM</t>
        </is>
      </c>
      <c r="K174" t="n">
        <v>0</v>
      </c>
    </row>
    <row r="175">
      <c r="A175" t="inlineStr">
        <is>
          <t>Socio-Emocional</t>
        </is>
      </c>
      <c r="B175" t="inlineStr">
        <is>
          <t>Ale-42. Reacciona de forma agresiva o impulsiva.</t>
        </is>
      </c>
      <c r="C175" t="inlineStr">
        <is>
          <t>42. Reacciona de forma agresiva o impulsiva.</t>
        </is>
      </c>
      <c r="D175" t="inlineStr">
        <is>
          <t>Alerta/Mejora</t>
        </is>
      </c>
      <c r="E175" t="n">
        <v>0</v>
      </c>
      <c r="F175" t="n">
        <v>5</v>
      </c>
      <c r="G175" t="n">
        <v>42</v>
      </c>
      <c r="H175" t="inlineStr">
        <is>
          <t xml:space="preserve">Muy bueno </t>
        </is>
      </c>
      <c r="I175" t="inlineStr">
        <is>
          <t>NOVENO</t>
        </is>
      </c>
      <c r="J175" t="inlineStr">
        <is>
          <t>TM</t>
        </is>
      </c>
      <c r="K175" t="n">
        <v>0</v>
      </c>
    </row>
    <row r="176">
      <c r="A176" t="inlineStr">
        <is>
          <t>Socio-Emocional</t>
        </is>
      </c>
      <c r="B176" t="inlineStr">
        <is>
          <t>Ale-44. Expresa inseguridad constante ("no puedo").</t>
        </is>
      </c>
      <c r="C176" t="inlineStr">
        <is>
          <t>44. Expresa inseguridad constante ("no puedo").</t>
        </is>
      </c>
      <c r="D176" t="inlineStr">
        <is>
          <t>Alerta/Mejora</t>
        </is>
      </c>
      <c r="E176" t="n">
        <v>8</v>
      </c>
      <c r="F176" t="n">
        <v>4</v>
      </c>
      <c r="G176" t="n">
        <v>34</v>
      </c>
      <c r="H176" t="inlineStr">
        <is>
          <t xml:space="preserve">Muy bueno </t>
        </is>
      </c>
      <c r="I176" t="inlineStr">
        <is>
          <t>NOVENO</t>
        </is>
      </c>
      <c r="J176" t="inlineStr">
        <is>
          <t>TM</t>
        </is>
      </c>
      <c r="K176" t="n">
        <v>0.1904761904761905</v>
      </c>
    </row>
    <row r="177">
      <c r="A177" t="inlineStr">
        <is>
          <t>Actitudinal</t>
        </is>
      </c>
      <c r="B177" t="inlineStr">
        <is>
          <t>Ale-46. Requiere estímulos externos para trabajar.</t>
        </is>
      </c>
      <c r="C177" t="inlineStr">
        <is>
          <t>46. Requiere estímulos externos para trabajar.</t>
        </is>
      </c>
      <c r="D177" t="inlineStr">
        <is>
          <t>Alerta/Mejora</t>
        </is>
      </c>
      <c r="E177" t="n">
        <v>16</v>
      </c>
      <c r="F177" t="n">
        <v>2</v>
      </c>
      <c r="G177" t="n">
        <v>26</v>
      </c>
      <c r="H177" t="inlineStr">
        <is>
          <t>A mejorar</t>
        </is>
      </c>
      <c r="I177" t="inlineStr">
        <is>
          <t>NOVENO</t>
        </is>
      </c>
      <c r="J177" t="inlineStr">
        <is>
          <t>TM</t>
        </is>
      </c>
      <c r="K177" t="n">
        <v>0.3809523809523809</v>
      </c>
    </row>
    <row r="178">
      <c r="A178" t="inlineStr">
        <is>
          <t>Actitudinal</t>
        </is>
      </c>
      <c r="B178" t="inlineStr">
        <is>
          <t>Ale-48. Abandona proyectos a mitad de camino.</t>
        </is>
      </c>
      <c r="C178" t="inlineStr">
        <is>
          <t>48. Abandona proyectos a mitad de camino.</t>
        </is>
      </c>
      <c r="D178" t="inlineStr">
        <is>
          <t>Alerta/Mejora</t>
        </is>
      </c>
      <c r="E178" t="n">
        <v>7</v>
      </c>
      <c r="F178" t="n">
        <v>4</v>
      </c>
      <c r="G178" t="n">
        <v>35</v>
      </c>
      <c r="H178" t="inlineStr">
        <is>
          <t xml:space="preserve">Muy bueno </t>
        </is>
      </c>
      <c r="I178" t="inlineStr">
        <is>
          <t>NOVENO</t>
        </is>
      </c>
      <c r="J178" t="inlineStr">
        <is>
          <t>TM</t>
        </is>
      </c>
      <c r="K178" t="n">
        <v>0.1666666666666667</v>
      </c>
    </row>
    <row r="179">
      <c r="A179" t="inlineStr">
        <is>
          <t>Actitudinal</t>
        </is>
      </c>
      <c r="B179" t="inlineStr">
        <is>
          <t>Ale-50. Se muestra a la defensiva ante críticas.</t>
        </is>
      </c>
      <c r="C179" t="inlineStr">
        <is>
          <t>50. Se muestra a la defensiva ante críticas.</t>
        </is>
      </c>
      <c r="D179" t="inlineStr">
        <is>
          <t>Alerta/Mejora</t>
        </is>
      </c>
      <c r="E179" t="n">
        <v>4</v>
      </c>
      <c r="F179" t="n">
        <v>4</v>
      </c>
      <c r="G179" t="n">
        <v>38</v>
      </c>
      <c r="H179" t="inlineStr">
        <is>
          <t xml:space="preserve">Muy bueno </t>
        </is>
      </c>
      <c r="I179" t="inlineStr">
        <is>
          <t>NOVENO</t>
        </is>
      </c>
      <c r="J179" t="inlineStr">
        <is>
          <t>TM</t>
        </is>
      </c>
      <c r="K179" t="n">
        <v>0.09523809523809523</v>
      </c>
    </row>
    <row r="180">
      <c r="A180" t="inlineStr">
        <is>
          <t>Académica</t>
        </is>
      </c>
      <c r="B180" t="inlineStr">
        <is>
          <t>For-01. Domina los conceptos clave del grado.</t>
        </is>
      </c>
      <c r="C180" t="inlineStr">
        <is>
          <t>01. Domina los conceptos clave del grado.</t>
        </is>
      </c>
      <c r="D180" t="inlineStr">
        <is>
          <t>Fortaleza/Logro</t>
        </is>
      </c>
      <c r="E180" t="n">
        <v>16</v>
      </c>
      <c r="F180" t="n">
        <v>1</v>
      </c>
      <c r="G180" t="n">
        <v>16</v>
      </c>
      <c r="H180" t="inlineStr">
        <is>
          <t>A mejorar</t>
        </is>
      </c>
      <c r="I180" t="inlineStr">
        <is>
          <t>NOVENO</t>
        </is>
      </c>
      <c r="J180" t="inlineStr">
        <is>
          <t>TM</t>
        </is>
      </c>
      <c r="K180" t="n">
        <v>0.3809523809523809</v>
      </c>
    </row>
    <row r="181">
      <c r="A181" t="inlineStr">
        <is>
          <t>Académica</t>
        </is>
      </c>
      <c r="B181" t="inlineStr">
        <is>
          <t>For-03. Posee un pensamiento crítico y analítico.</t>
        </is>
      </c>
      <c r="C181" t="inlineStr">
        <is>
          <t>03. Posee un pensamiento crítico y analítico.</t>
        </is>
      </c>
      <c r="D181" t="inlineStr">
        <is>
          <t>Fortaleza/Logro</t>
        </is>
      </c>
      <c r="E181" t="n">
        <v>14</v>
      </c>
      <c r="F181" t="n">
        <v>1</v>
      </c>
      <c r="G181" t="n">
        <v>14</v>
      </c>
      <c r="H181" t="inlineStr">
        <is>
          <t>A mejorar</t>
        </is>
      </c>
      <c r="I181" t="inlineStr">
        <is>
          <t>NOVENO</t>
        </is>
      </c>
      <c r="J181" t="inlineStr">
        <is>
          <t>TM</t>
        </is>
      </c>
      <c r="K181" t="n">
        <v>0.3333333333333333</v>
      </c>
    </row>
    <row r="182">
      <c r="A182" t="inlineStr">
        <is>
          <t>Académica</t>
        </is>
      </c>
      <c r="B182" t="inlineStr">
        <is>
          <t>For-05. Entrega trabajos con alta calidad y orden.</t>
        </is>
      </c>
      <c r="C182" t="inlineStr">
        <is>
          <t>05. Entrega trabajos con alta calidad y orden.</t>
        </is>
      </c>
      <c r="D182" t="inlineStr">
        <is>
          <t>Fortaleza/Logro</t>
        </is>
      </c>
      <c r="E182" t="n">
        <v>21</v>
      </c>
      <c r="F182" t="n">
        <v>1</v>
      </c>
      <c r="G182" t="n">
        <v>21</v>
      </c>
      <c r="H182" t="inlineStr">
        <is>
          <t>A mejorar</t>
        </is>
      </c>
      <c r="I182" t="inlineStr">
        <is>
          <t>NOVENO</t>
        </is>
      </c>
      <c r="J182" t="inlineStr">
        <is>
          <t>TM</t>
        </is>
      </c>
      <c r="K182" t="n">
        <v>0.5</v>
      </c>
    </row>
    <row r="183">
      <c r="A183" t="inlineStr">
        <is>
          <t>Académica</t>
        </is>
      </c>
      <c r="B183" t="inlineStr">
        <is>
          <t>For-07. Resuelve problemas lógicos con fluidez.</t>
        </is>
      </c>
      <c r="C183" t="inlineStr">
        <is>
          <t>07. Resuelve problemas lógicos con fluidez.</t>
        </is>
      </c>
      <c r="D183" t="inlineStr">
        <is>
          <t>Fortaleza/Logro</t>
        </is>
      </c>
      <c r="E183" t="n">
        <v>15</v>
      </c>
      <c r="F183" t="n">
        <v>1</v>
      </c>
      <c r="G183" t="n">
        <v>15</v>
      </c>
      <c r="H183" t="inlineStr">
        <is>
          <t>A mejorar</t>
        </is>
      </c>
      <c r="I183" t="inlineStr">
        <is>
          <t>NOVENO</t>
        </is>
      </c>
      <c r="J183" t="inlineStr">
        <is>
          <t>TM</t>
        </is>
      </c>
      <c r="K183" t="n">
        <v>0.3571428571428572</v>
      </c>
    </row>
    <row r="184">
      <c r="A184" t="inlineStr">
        <is>
          <t>Académica</t>
        </is>
      </c>
      <c r="B184" t="inlineStr">
        <is>
          <t>For-09. Utiliza vocabulario técnico preciso.</t>
        </is>
      </c>
      <c r="C184" t="inlineStr">
        <is>
          <t>09. Utiliza vocabulario técnico preciso.</t>
        </is>
      </c>
      <c r="D184" t="inlineStr">
        <is>
          <t>Fortaleza/Logro</t>
        </is>
      </c>
      <c r="E184" t="n">
        <v>10</v>
      </c>
      <c r="F184" t="n">
        <v>1</v>
      </c>
      <c r="G184" t="n">
        <v>10</v>
      </c>
      <c r="H184" t="inlineStr">
        <is>
          <t>A mejorar</t>
        </is>
      </c>
      <c r="I184" t="inlineStr">
        <is>
          <t>NOVENO</t>
        </is>
      </c>
      <c r="J184" t="inlineStr">
        <is>
          <t>TM</t>
        </is>
      </c>
      <c r="K184" t="n">
        <v>0.2380952380952381</v>
      </c>
    </row>
    <row r="185">
      <c r="A185" t="inlineStr">
        <is>
          <t>Académica</t>
        </is>
      </c>
      <c r="B185" t="inlineStr">
        <is>
          <t>For-11. Posee excelentes hábitos de lectura.</t>
        </is>
      </c>
      <c r="C185" t="inlineStr">
        <is>
          <t>11. Posee excelentes hábitos de lectura.</t>
        </is>
      </c>
      <c r="D185" t="inlineStr">
        <is>
          <t>Fortaleza/Logro</t>
        </is>
      </c>
      <c r="E185" t="n">
        <v>6</v>
      </c>
      <c r="F185" t="n">
        <v>1</v>
      </c>
      <c r="G185" t="n">
        <v>6</v>
      </c>
      <c r="H185" t="inlineStr">
        <is>
          <t>A mejorar</t>
        </is>
      </c>
      <c r="I185" t="inlineStr">
        <is>
          <t>NOVENO</t>
        </is>
      </c>
      <c r="J185" t="inlineStr">
        <is>
          <t>TM</t>
        </is>
      </c>
      <c r="K185" t="n">
        <v>0.1428571428571428</v>
      </c>
    </row>
    <row r="186">
      <c r="A186" t="inlineStr">
        <is>
          <t>Académica</t>
        </is>
      </c>
      <c r="B186" t="inlineStr">
        <is>
          <t>For-13. Es autónomo en la realización de tareas.</t>
        </is>
      </c>
      <c r="C186" t="inlineStr">
        <is>
          <t>13. Es autónomo en la realización de tareas.</t>
        </is>
      </c>
      <c r="D186" t="inlineStr">
        <is>
          <t>Fortaleza/Logro</t>
        </is>
      </c>
      <c r="E186" t="n">
        <v>21</v>
      </c>
      <c r="F186" t="n">
        <v>1</v>
      </c>
      <c r="G186" t="n">
        <v>21</v>
      </c>
      <c r="H186" t="inlineStr">
        <is>
          <t>A mejorar</t>
        </is>
      </c>
      <c r="I186" t="inlineStr">
        <is>
          <t>NOVENO</t>
        </is>
      </c>
      <c r="J186" t="inlineStr">
        <is>
          <t>TM</t>
        </is>
      </c>
      <c r="K186" t="n">
        <v>0.5</v>
      </c>
    </row>
    <row r="187">
      <c r="A187" t="inlineStr">
        <is>
          <t>Académica</t>
        </is>
      </c>
      <c r="B187" t="inlineStr">
        <is>
          <t>For-15. Investiga más allá de lo solicitado.</t>
        </is>
      </c>
      <c r="C187" t="inlineStr">
        <is>
          <t>15. Investiga más allá de lo solicitado.</t>
        </is>
      </c>
      <c r="D187" t="inlineStr">
        <is>
          <t>Fortaleza/Logro</t>
        </is>
      </c>
      <c r="E187" t="n">
        <v>9</v>
      </c>
      <c r="F187" t="n">
        <v>1</v>
      </c>
      <c r="G187" t="n">
        <v>9</v>
      </c>
      <c r="H187" t="inlineStr">
        <is>
          <t>A mejorar</t>
        </is>
      </c>
      <c r="I187" t="inlineStr">
        <is>
          <t>NOVENO</t>
        </is>
      </c>
      <c r="J187" t="inlineStr">
        <is>
          <t>TM</t>
        </is>
      </c>
      <c r="K187" t="n">
        <v>0.2142857142857143</v>
      </c>
    </row>
    <row r="188">
      <c r="A188" t="inlineStr">
        <is>
          <t>Conductual</t>
        </is>
      </c>
      <c r="B188" t="inlineStr">
        <is>
          <t>For-17. Respeta las normas de convivencia.</t>
        </is>
      </c>
      <c r="C188" t="inlineStr">
        <is>
          <t>17. Respeta las normas de convivencia.</t>
        </is>
      </c>
      <c r="D188" t="inlineStr">
        <is>
          <t>Fortaleza/Logro</t>
        </is>
      </c>
      <c r="E188" t="n">
        <v>25</v>
      </c>
      <c r="F188" t="n">
        <v>2</v>
      </c>
      <c r="G188" t="n">
        <v>25</v>
      </c>
      <c r="H188" t="inlineStr">
        <is>
          <t>A mejorar</t>
        </is>
      </c>
      <c r="I188" t="inlineStr">
        <is>
          <t>NOVENO</t>
        </is>
      </c>
      <c r="J188" t="inlineStr">
        <is>
          <t>TM</t>
        </is>
      </c>
      <c r="K188" t="n">
        <v>0.5952380952380952</v>
      </c>
    </row>
    <row r="189">
      <c r="A189" t="inlineStr">
        <is>
          <t>Conductual</t>
        </is>
      </c>
      <c r="B189" t="inlineStr">
        <is>
          <t>For-19. Es puntual en todas sus obligaciones.</t>
        </is>
      </c>
      <c r="C189" t="inlineStr">
        <is>
          <t>19. Es puntual en todas sus obligaciones.</t>
        </is>
      </c>
      <c r="D189" t="inlineStr">
        <is>
          <t>Fortaleza/Logro</t>
        </is>
      </c>
      <c r="E189" t="n">
        <v>21</v>
      </c>
      <c r="F189" t="n">
        <v>1</v>
      </c>
      <c r="G189" t="n">
        <v>21</v>
      </c>
      <c r="H189" t="inlineStr">
        <is>
          <t>A mejorar</t>
        </is>
      </c>
      <c r="I189" t="inlineStr">
        <is>
          <t>NOVENO</t>
        </is>
      </c>
      <c r="J189" t="inlineStr">
        <is>
          <t>TM</t>
        </is>
      </c>
      <c r="K189" t="n">
        <v>0.5</v>
      </c>
    </row>
    <row r="190">
      <c r="A190" t="inlineStr">
        <is>
          <t>Conductual</t>
        </is>
      </c>
      <c r="B190" t="inlineStr">
        <is>
          <t>For-21. Cuida el material propio y ajeno.</t>
        </is>
      </c>
      <c r="C190" t="inlineStr">
        <is>
          <t>21. Cuida el material propio y ajeno.</t>
        </is>
      </c>
      <c r="D190" t="inlineStr">
        <is>
          <t>Fortaleza/Logro</t>
        </is>
      </c>
      <c r="E190" t="n">
        <v>30</v>
      </c>
      <c r="F190" t="n">
        <v>3</v>
      </c>
      <c r="G190" t="n">
        <v>30</v>
      </c>
      <c r="H190" t="inlineStr">
        <is>
          <t>Bueno</t>
        </is>
      </c>
      <c r="I190" t="inlineStr">
        <is>
          <t>NOVENO</t>
        </is>
      </c>
      <c r="J190" t="inlineStr">
        <is>
          <t>TM</t>
        </is>
      </c>
      <c r="K190" t="n">
        <v>0.7142857142857143</v>
      </c>
    </row>
    <row r="191">
      <c r="A191" t="inlineStr">
        <is>
          <t>Conductual</t>
        </is>
      </c>
      <c r="B191" t="inlineStr">
        <is>
          <t>For-23. Escucha con atención y no interrumpe.</t>
        </is>
      </c>
      <c r="C191" t="inlineStr">
        <is>
          <t>23. Escucha con atención y no interrumpe.</t>
        </is>
      </c>
      <c r="D191" t="inlineStr">
        <is>
          <t>Fortaleza/Logro</t>
        </is>
      </c>
      <c r="E191" t="n">
        <v>4</v>
      </c>
      <c r="F191" t="n">
        <v>1</v>
      </c>
      <c r="G191" t="n">
        <v>4</v>
      </c>
      <c r="H191" t="inlineStr">
        <is>
          <t>A mejorar</t>
        </is>
      </c>
      <c r="I191" t="inlineStr">
        <is>
          <t>NOVENO</t>
        </is>
      </c>
      <c r="J191" t="inlineStr">
        <is>
          <t>TM</t>
        </is>
      </c>
      <c r="K191" t="n">
        <v>0.09523809523809523</v>
      </c>
    </row>
    <row r="192">
      <c r="A192" t="inlineStr">
        <is>
          <t>Conductual</t>
        </is>
      </c>
      <c r="B192" t="inlineStr">
        <is>
          <t>For-25. Utiliza el lenguaje de forma respetuosa.</t>
        </is>
      </c>
      <c r="C192" t="inlineStr">
        <is>
          <t>25. Utiliza el lenguaje de forma respetuosa.</t>
        </is>
      </c>
      <c r="D192" t="inlineStr">
        <is>
          <t>Fortaleza/Logro</t>
        </is>
      </c>
      <c r="E192" t="n">
        <v>30</v>
      </c>
      <c r="F192" t="n">
        <v>3</v>
      </c>
      <c r="G192" t="n">
        <v>30</v>
      </c>
      <c r="H192" t="inlineStr">
        <is>
          <t>Bueno</t>
        </is>
      </c>
      <c r="I192" t="inlineStr">
        <is>
          <t>NOVENO</t>
        </is>
      </c>
      <c r="J192" t="inlineStr">
        <is>
          <t>TM</t>
        </is>
      </c>
      <c r="K192" t="n">
        <v>0.7142857142857143</v>
      </c>
    </row>
    <row r="193">
      <c r="A193" t="inlineStr">
        <is>
          <t>Conductual</t>
        </is>
      </c>
      <c r="B193" t="inlineStr">
        <is>
          <t>For-27. Reconoce sus errores honestamente.</t>
        </is>
      </c>
      <c r="C193" t="inlineStr">
        <is>
          <t>27. Reconoce sus errores honestamente.</t>
        </is>
      </c>
      <c r="D193" t="inlineStr">
        <is>
          <t>Fortaleza/Logro</t>
        </is>
      </c>
      <c r="E193" t="n">
        <v>26</v>
      </c>
      <c r="F193" t="n">
        <v>2</v>
      </c>
      <c r="G193" t="n">
        <v>26</v>
      </c>
      <c r="H193" t="inlineStr">
        <is>
          <t>A mejorar</t>
        </is>
      </c>
      <c r="I193" t="inlineStr">
        <is>
          <t>NOVENO</t>
        </is>
      </c>
      <c r="J193" t="inlineStr">
        <is>
          <t>TM</t>
        </is>
      </c>
      <c r="K193" t="n">
        <v>0.6190476190476191</v>
      </c>
    </row>
    <row r="194">
      <c r="A194" t="inlineStr">
        <is>
          <t>Conductual</t>
        </is>
      </c>
      <c r="B194" t="inlineStr">
        <is>
          <t>For-29. Usa la tecnología con fines educativos.</t>
        </is>
      </c>
      <c r="C194" t="inlineStr">
        <is>
          <t>29. Usa la tecnología con fines educativos.</t>
        </is>
      </c>
      <c r="D194" t="inlineStr">
        <is>
          <t>Fortaleza/Logro</t>
        </is>
      </c>
      <c r="E194" t="n">
        <v>18</v>
      </c>
      <c r="F194" t="n">
        <v>1</v>
      </c>
      <c r="G194" t="n">
        <v>18</v>
      </c>
      <c r="H194" t="inlineStr">
        <is>
          <t>A mejorar</t>
        </is>
      </c>
      <c r="I194" t="inlineStr">
        <is>
          <t>NOVENO</t>
        </is>
      </c>
      <c r="J194" t="inlineStr">
        <is>
          <t>TM</t>
        </is>
      </c>
      <c r="K194" t="n">
        <v>0.4285714285714285</v>
      </c>
    </row>
    <row r="195">
      <c r="A195" t="inlineStr">
        <is>
          <t>Conductual</t>
        </is>
      </c>
      <c r="B195" t="inlineStr">
        <is>
          <t>For-31. Mantiene el orden en espacios comunes.</t>
        </is>
      </c>
      <c r="C195" t="inlineStr">
        <is>
          <t>31. Mantiene el orden en espacios comunes.</t>
        </is>
      </c>
      <c r="D195" t="inlineStr">
        <is>
          <t>Fortaleza/Logro</t>
        </is>
      </c>
      <c r="E195" t="n">
        <v>8</v>
      </c>
      <c r="F195" t="n">
        <v>1</v>
      </c>
      <c r="G195" t="n">
        <v>8</v>
      </c>
      <c r="H195" t="inlineStr">
        <is>
          <t>A mejorar</t>
        </is>
      </c>
      <c r="I195" t="inlineStr">
        <is>
          <t>NOVENO</t>
        </is>
      </c>
      <c r="J195" t="inlineStr">
        <is>
          <t>TM</t>
        </is>
      </c>
      <c r="K195" t="n">
        <v>0.1904761904761905</v>
      </c>
    </row>
    <row r="196">
      <c r="A196" t="inlineStr">
        <is>
          <t>Socio-Emocional</t>
        </is>
      </c>
      <c r="B196" t="inlineStr">
        <is>
          <t>For-33. Muestra resiliencia ante el fracaso.</t>
        </is>
      </c>
      <c r="C196" t="inlineStr">
        <is>
          <t>33. Muestra resiliencia ante el fracaso.</t>
        </is>
      </c>
      <c r="D196" t="inlineStr">
        <is>
          <t>Fortaleza/Logro</t>
        </is>
      </c>
      <c r="E196" t="n">
        <v>21</v>
      </c>
      <c r="F196" t="n">
        <v>1</v>
      </c>
      <c r="G196" t="n">
        <v>21</v>
      </c>
      <c r="H196" t="inlineStr">
        <is>
          <t>A mejorar</t>
        </is>
      </c>
      <c r="I196" t="inlineStr">
        <is>
          <t>NOVENO</t>
        </is>
      </c>
      <c r="J196" t="inlineStr">
        <is>
          <t>TM</t>
        </is>
      </c>
      <c r="K196" t="n">
        <v>0.5</v>
      </c>
    </row>
    <row r="197">
      <c r="A197" t="inlineStr">
        <is>
          <t>Socio-Emocional</t>
        </is>
      </c>
      <c r="B197" t="inlineStr">
        <is>
          <t>For-35. Trabaja de forma colaborativa y equitativa.</t>
        </is>
      </c>
      <c r="C197" t="inlineStr">
        <is>
          <t>35. Trabaja de forma colaborativa y equitativa.</t>
        </is>
      </c>
      <c r="D197" t="inlineStr">
        <is>
          <t>Fortaleza/Logro</t>
        </is>
      </c>
      <c r="E197" t="n">
        <v>27</v>
      </c>
      <c r="F197" t="n">
        <v>2</v>
      </c>
      <c r="G197" t="n">
        <v>27</v>
      </c>
      <c r="H197" t="inlineStr">
        <is>
          <t>A mejorar</t>
        </is>
      </c>
      <c r="I197" t="inlineStr">
        <is>
          <t>NOVENO</t>
        </is>
      </c>
      <c r="J197" t="inlineStr">
        <is>
          <t>TM</t>
        </is>
      </c>
      <c r="K197" t="n">
        <v>0.6428571428571429</v>
      </c>
    </row>
    <row r="198">
      <c r="A198" t="inlineStr">
        <is>
          <t>Socio-Emocional</t>
        </is>
      </c>
      <c r="B198" t="inlineStr">
        <is>
          <t>For-37. Es empático con las necesidades ajenas.</t>
        </is>
      </c>
      <c r="C198" t="inlineStr">
        <is>
          <t>37. Es empático con las necesidades ajenas.</t>
        </is>
      </c>
      <c r="D198" t="inlineStr">
        <is>
          <t>Fortaleza/Logro</t>
        </is>
      </c>
      <c r="E198" t="n">
        <v>28</v>
      </c>
      <c r="F198" t="n">
        <v>2</v>
      </c>
      <c r="G198" t="n">
        <v>28</v>
      </c>
      <c r="H198" t="inlineStr">
        <is>
          <t>A mejorar</t>
        </is>
      </c>
      <c r="I198" t="inlineStr">
        <is>
          <t>NOVENO</t>
        </is>
      </c>
      <c r="J198" t="inlineStr">
        <is>
          <t>TM</t>
        </is>
      </c>
      <c r="K198" t="n">
        <v>0.6666666666666666</v>
      </c>
    </row>
    <row r="199">
      <c r="A199" t="inlineStr">
        <is>
          <t>Socio-Emocional</t>
        </is>
      </c>
      <c r="B199" t="inlineStr">
        <is>
          <t>For-39. Posee un liderazgo positivo y ético.</t>
        </is>
      </c>
      <c r="C199" t="inlineStr">
        <is>
          <t>39. Posee un liderazgo positivo y ético.</t>
        </is>
      </c>
      <c r="D199" t="inlineStr">
        <is>
          <t>Fortaleza/Logro</t>
        </is>
      </c>
      <c r="E199" t="n">
        <v>14</v>
      </c>
      <c r="F199" t="n">
        <v>1</v>
      </c>
      <c r="G199" t="n">
        <v>14</v>
      </c>
      <c r="H199" t="inlineStr">
        <is>
          <t>A mejorar</t>
        </is>
      </c>
      <c r="I199" t="inlineStr">
        <is>
          <t>NOVENO</t>
        </is>
      </c>
      <c r="J199" t="inlineStr">
        <is>
          <t>TM</t>
        </is>
      </c>
      <c r="K199" t="n">
        <v>0.3333333333333333</v>
      </c>
    </row>
    <row r="200">
      <c r="A200" t="inlineStr">
        <is>
          <t>Socio-Emocional</t>
        </is>
      </c>
      <c r="B200" t="inlineStr">
        <is>
          <t>For-41. Se comunica de manera asertiva.</t>
        </is>
      </c>
      <c r="C200" t="inlineStr">
        <is>
          <t>41. Se comunica de manera asertiva.</t>
        </is>
      </c>
      <c r="D200" t="inlineStr">
        <is>
          <t>Fortaleza/Logro</t>
        </is>
      </c>
      <c r="E200" t="n">
        <v>24</v>
      </c>
      <c r="F200" t="n">
        <v>1</v>
      </c>
      <c r="G200" t="n">
        <v>24</v>
      </c>
      <c r="H200" t="inlineStr">
        <is>
          <t>A mejorar</t>
        </is>
      </c>
      <c r="I200" t="inlineStr">
        <is>
          <t>NOVENO</t>
        </is>
      </c>
      <c r="J200" t="inlineStr">
        <is>
          <t>TM</t>
        </is>
      </c>
      <c r="K200" t="n">
        <v>0.5714285714285714</v>
      </c>
    </row>
    <row r="201">
      <c r="A201" t="inlineStr">
        <is>
          <t>Socio-Emocional</t>
        </is>
      </c>
      <c r="B201" t="inlineStr">
        <is>
          <t>For-43. Tiene una autoestima académica sólida.</t>
        </is>
      </c>
      <c r="C201" t="inlineStr">
        <is>
          <t>43. Tiene una autoestima académica sólida.</t>
        </is>
      </c>
      <c r="D201" t="inlineStr">
        <is>
          <t>Fortaleza/Logro</t>
        </is>
      </c>
      <c r="E201" t="n">
        <v>18</v>
      </c>
      <c r="F201" t="n">
        <v>1</v>
      </c>
      <c r="G201" t="n">
        <v>18</v>
      </c>
      <c r="H201" t="inlineStr">
        <is>
          <t>A mejorar</t>
        </is>
      </c>
      <c r="I201" t="inlineStr">
        <is>
          <t>NOVENO</t>
        </is>
      </c>
      <c r="J201" t="inlineStr">
        <is>
          <t>TM</t>
        </is>
      </c>
      <c r="K201" t="n">
        <v>0.4285714285714285</v>
      </c>
    </row>
    <row r="202">
      <c r="A202" t="inlineStr">
        <is>
          <t>Actitudinal</t>
        </is>
      </c>
      <c r="B202" t="inlineStr">
        <is>
          <t>For-45. Muestra curiosidad e iniciativa propia.</t>
        </is>
      </c>
      <c r="C202" t="inlineStr">
        <is>
          <t>45. Muestra curiosidad e iniciativa propia.</t>
        </is>
      </c>
      <c r="D202" t="inlineStr">
        <is>
          <t>Fortaleza/Logro</t>
        </is>
      </c>
      <c r="E202" t="n">
        <v>23</v>
      </c>
      <c r="F202" t="n">
        <v>1</v>
      </c>
      <c r="G202" t="n">
        <v>23</v>
      </c>
      <c r="H202" t="inlineStr">
        <is>
          <t>A mejorar</t>
        </is>
      </c>
      <c r="I202" t="inlineStr">
        <is>
          <t>NOVENO</t>
        </is>
      </c>
      <c r="J202" t="inlineStr">
        <is>
          <t>TM</t>
        </is>
      </c>
      <c r="K202" t="n">
        <v>0.5476190476190477</v>
      </c>
    </row>
    <row r="203">
      <c r="A203" t="inlineStr">
        <is>
          <t>Actitudinal</t>
        </is>
      </c>
      <c r="B203" t="inlineStr">
        <is>
          <t>For-47. Es persistente en tareas complejas.</t>
        </is>
      </c>
      <c r="C203" t="inlineStr">
        <is>
          <t>47. Es persistente en tareas complejas.</t>
        </is>
      </c>
      <c r="D203" t="inlineStr">
        <is>
          <t>Fortaleza/Logro</t>
        </is>
      </c>
      <c r="E203" t="n">
        <v>20</v>
      </c>
      <c r="F203" t="n">
        <v>1</v>
      </c>
      <c r="G203" t="n">
        <v>20</v>
      </c>
      <c r="H203" t="inlineStr">
        <is>
          <t>A mejorar</t>
        </is>
      </c>
      <c r="I203" t="inlineStr">
        <is>
          <t>NOVENO</t>
        </is>
      </c>
      <c r="J203" t="inlineStr">
        <is>
          <t>TM</t>
        </is>
      </c>
      <c r="K203" t="n">
        <v>0.4761904761904762</v>
      </c>
    </row>
    <row r="204">
      <c r="A204" t="inlineStr">
        <is>
          <t>Actitudinal</t>
        </is>
      </c>
      <c r="B204" t="inlineStr">
        <is>
          <t>For-49. Acepta retroalimentación constructiva.</t>
        </is>
      </c>
      <c r="C204" t="inlineStr">
        <is>
          <t>49. Acepta retroalimentación constructiva.</t>
        </is>
      </c>
      <c r="D204" t="inlineStr">
        <is>
          <t>Fortaleza/Logro</t>
        </is>
      </c>
      <c r="E204" t="n">
        <v>26</v>
      </c>
      <c r="F204" t="n">
        <v>2</v>
      </c>
      <c r="G204" t="n">
        <v>26</v>
      </c>
      <c r="H204" t="inlineStr">
        <is>
          <t>A mejorar</t>
        </is>
      </c>
      <c r="I204" t="inlineStr">
        <is>
          <t>NOVENO</t>
        </is>
      </c>
      <c r="J204" t="inlineStr">
        <is>
          <t>TM</t>
        </is>
      </c>
      <c r="K204" t="n">
        <v>0.6190476190476191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0.7109375" customWidth="1" min="2" max="2"/>
    <col width="22.85546875" customWidth="1" min="3" max="3"/>
    <col width="8.5703125" customWidth="1" min="4" max="4"/>
    <col width="9" customWidth="1" min="5" max="5"/>
    <col width="8.42578125" customWidth="1" min="6" max="6"/>
    <col width="9" customWidth="1" min="7" max="7"/>
    <col width="7.85546875" customWidth="1" min="8" max="8"/>
    <col width="12.5703125" customWidth="1" min="9" max="9"/>
    <col width="13.85546875" customWidth="1" min="11" max="11"/>
    <col width="13" customWidth="1" min="12" max="12"/>
    <col width="16.140625" customWidth="1" min="13" max="13"/>
    <col width="12.5703125" customWidth="1" min="14" max="14"/>
  </cols>
  <sheetData>
    <row r="1"/>
    <row r="2">
      <c r="B2" s="1" t="inlineStr">
        <is>
          <t>GRADO</t>
        </is>
      </c>
      <c r="C2" t="inlineStr">
        <is>
          <t>SEPTIMO</t>
        </is>
      </c>
    </row>
    <row r="3">
      <c r="B3" s="1" t="inlineStr">
        <is>
          <t>TURNO</t>
        </is>
      </c>
      <c r="C3" t="inlineStr">
        <is>
          <t>TM</t>
        </is>
      </c>
      <c r="G3" s="2" t="n"/>
      <c r="H3" s="2" t="n"/>
      <c r="I3" s="2" t="n"/>
    </row>
    <row r="4">
      <c r="G4" s="2" t="n"/>
      <c r="H4" s="2" t="n"/>
      <c r="I4" s="2" t="n"/>
    </row>
    <row r="5">
      <c r="B5" s="1" t="inlineStr">
        <is>
          <t>Etiquetas de fila</t>
        </is>
      </c>
      <c r="C5" t="inlineStr">
        <is>
          <t>Cuenta de NF</t>
        </is>
      </c>
      <c r="D5" t="inlineStr">
        <is>
          <t>Promedio de NF2</t>
        </is>
      </c>
      <c r="E5" t="inlineStr">
        <is>
          <t>Cuenta de NF2</t>
        </is>
      </c>
      <c r="G5" s="2" t="n"/>
      <c r="H5" s="2" t="n"/>
      <c r="I5" s="2" t="n"/>
    </row>
    <row r="6">
      <c r="B6" s="3" t="n">
        <v>1</v>
      </c>
      <c r="C6" t="n">
        <v>34</v>
      </c>
      <c r="D6" t="n">
        <v>0</v>
      </c>
      <c r="E6" t="n">
        <v>34</v>
      </c>
      <c r="G6" s="2" t="n"/>
      <c r="H6" s="2" t="n"/>
      <c r="I6" s="2" t="n"/>
    </row>
    <row r="7">
      <c r="B7" s="3" t="n">
        <v>2</v>
      </c>
      <c r="C7" t="n">
        <v>5</v>
      </c>
      <c r="D7" t="n">
        <v>0</v>
      </c>
      <c r="E7" t="n">
        <v>5</v>
      </c>
      <c r="G7" s="2" t="n"/>
      <c r="H7" s="2" t="n"/>
      <c r="I7" s="2" t="n"/>
    </row>
    <row r="8">
      <c r="B8" s="3" t="n">
        <v>3</v>
      </c>
      <c r="C8" t="n">
        <v>4</v>
      </c>
      <c r="D8" t="n">
        <v>0</v>
      </c>
      <c r="E8" t="n">
        <v>4</v>
      </c>
      <c r="G8" s="2" t="n"/>
      <c r="H8" s="2" t="n"/>
      <c r="I8" s="2" t="n"/>
    </row>
    <row r="9">
      <c r="B9" s="3" t="n">
        <v>4</v>
      </c>
      <c r="C9" t="n">
        <v>4</v>
      </c>
      <c r="D9" t="n">
        <v>0</v>
      </c>
      <c r="E9" t="n">
        <v>4</v>
      </c>
      <c r="G9" s="2" t="n"/>
      <c r="H9" s="2" t="n"/>
      <c r="I9" s="2" t="n"/>
    </row>
    <row r="10">
      <c r="B10" s="3" t="n">
        <v>5</v>
      </c>
      <c r="C10" t="n">
        <v>3</v>
      </c>
      <c r="D10" t="n">
        <v>0</v>
      </c>
      <c r="E10" t="n">
        <v>3</v>
      </c>
      <c r="G10" s="2" t="n"/>
      <c r="H10" s="2" t="n"/>
      <c r="I10" s="2" t="n"/>
    </row>
    <row r="11">
      <c r="B11" s="3" t="inlineStr">
        <is>
          <t>Total general</t>
        </is>
      </c>
      <c r="C11" t="n">
        <v>50</v>
      </c>
      <c r="D11" t="n">
        <v>0</v>
      </c>
      <c r="E11" t="n">
        <v>50</v>
      </c>
      <c r="G11" s="2" t="n"/>
      <c r="H11" s="2" t="n"/>
      <c r="I11" s="2" t="n"/>
    </row>
    <row r="12">
      <c r="G12" s="2" t="n"/>
      <c r="H12" s="2" t="n"/>
      <c r="I12" s="2" t="n"/>
    </row>
    <row r="13"/>
    <row r="14"/>
    <row r="15"/>
    <row r="16"/>
    <row r="17"/>
    <row r="18">
      <c r="B18" s="1" t="inlineStr">
        <is>
          <t>Cuenta de Indicador 2</t>
        </is>
      </c>
      <c r="C18" s="1" t="inlineStr">
        <is>
          <t>Etiquetas de columna</t>
        </is>
      </c>
    </row>
    <row r="19">
      <c r="C19" t="inlineStr">
        <is>
          <t>TM</t>
        </is>
      </c>
      <c r="F19" t="inlineStr">
        <is>
          <t>Total TM</t>
        </is>
      </c>
      <c r="G19" t="inlineStr">
        <is>
          <t>TT</t>
        </is>
      </c>
      <c r="H19" t="inlineStr">
        <is>
          <t>Total TT</t>
        </is>
      </c>
      <c r="I19" t="inlineStr">
        <is>
          <t>Total general</t>
        </is>
      </c>
    </row>
    <row r="20">
      <c r="B20" s="1" t="inlineStr">
        <is>
          <t>Etiquetas de fila</t>
        </is>
      </c>
      <c r="C20" t="inlineStr">
        <is>
          <t>NOVENO</t>
        </is>
      </c>
      <c r="D20" t="inlineStr">
        <is>
          <t>OCTAVO</t>
        </is>
      </c>
      <c r="E20" t="inlineStr">
        <is>
          <t>SEPTIMO</t>
        </is>
      </c>
      <c r="G20" t="inlineStr">
        <is>
          <t>SEPTIMO</t>
        </is>
      </c>
    </row>
    <row r="21">
      <c r="B21" s="3" t="n">
        <v>1</v>
      </c>
      <c r="C21" t="n">
        <v>20</v>
      </c>
      <c r="D21" t="n">
        <v>25</v>
      </c>
      <c r="E21" t="n">
        <v>34</v>
      </c>
      <c r="F21" t="n">
        <v>79</v>
      </c>
      <c r="I21" t="n">
        <v>79</v>
      </c>
    </row>
    <row r="22">
      <c r="B22" s="3" t="n">
        <v>2</v>
      </c>
      <c r="C22" t="n">
        <v>8</v>
      </c>
      <c r="E22" t="n">
        <v>5</v>
      </c>
      <c r="F22" t="n">
        <v>13</v>
      </c>
      <c r="I22" t="n">
        <v>13</v>
      </c>
    </row>
    <row r="23">
      <c r="B23" s="3" t="n">
        <v>3</v>
      </c>
      <c r="C23" t="n">
        <v>6</v>
      </c>
      <c r="D23" t="n">
        <v>1</v>
      </c>
      <c r="E23" t="n">
        <v>4</v>
      </c>
      <c r="F23" t="n">
        <v>11</v>
      </c>
      <c r="G23" t="n">
        <v>9</v>
      </c>
      <c r="H23" t="n">
        <v>9</v>
      </c>
      <c r="I23" t="n">
        <v>20</v>
      </c>
    </row>
    <row r="24">
      <c r="B24" s="3" t="n">
        <v>4</v>
      </c>
      <c r="C24" t="n">
        <v>8</v>
      </c>
      <c r="D24" t="n">
        <v>14</v>
      </c>
      <c r="E24" t="n">
        <v>4</v>
      </c>
      <c r="F24" t="n">
        <v>26</v>
      </c>
      <c r="G24" t="n">
        <v>41</v>
      </c>
      <c r="H24" t="n">
        <v>41</v>
      </c>
      <c r="I24" t="n">
        <v>67</v>
      </c>
    </row>
    <row r="25">
      <c r="B25" s="3" t="n">
        <v>5</v>
      </c>
      <c r="C25" t="n">
        <v>8</v>
      </c>
      <c r="D25" t="n">
        <v>10</v>
      </c>
      <c r="E25" t="n">
        <v>3</v>
      </c>
      <c r="F25" t="n">
        <v>21</v>
      </c>
      <c r="I25" t="n">
        <v>21</v>
      </c>
    </row>
    <row r="26">
      <c r="B26" s="3" t="inlineStr">
        <is>
          <t>Total general</t>
        </is>
      </c>
      <c r="C26" t="n">
        <v>50</v>
      </c>
      <c r="D26" t="n">
        <v>50</v>
      </c>
      <c r="E26" t="n">
        <v>50</v>
      </c>
      <c r="F26" t="n">
        <v>150</v>
      </c>
      <c r="G26" t="n">
        <v>50</v>
      </c>
      <c r="H26" t="n">
        <v>50</v>
      </c>
      <c r="I26" t="n">
        <v>200</v>
      </c>
    </row>
    <row r="27"/>
    <row r="28">
      <c r="B28" s="1" t="inlineStr">
        <is>
          <t>Cuenta de Indicador 2</t>
        </is>
      </c>
      <c r="C28" s="1" t="inlineStr">
        <is>
          <t>Etiquetas de columna</t>
        </is>
      </c>
    </row>
    <row r="29">
      <c r="C29" t="inlineStr">
        <is>
          <t>TM</t>
        </is>
      </c>
      <c r="F29" t="inlineStr">
        <is>
          <t>Total TM</t>
        </is>
      </c>
      <c r="G29" t="inlineStr">
        <is>
          <t>TT</t>
        </is>
      </c>
      <c r="H29" t="inlineStr">
        <is>
          <t>Total TT</t>
        </is>
      </c>
      <c r="I29" t="inlineStr">
        <is>
          <t>Total general</t>
        </is>
      </c>
    </row>
    <row r="30">
      <c r="B30" s="1" t="inlineStr">
        <is>
          <t>Etiquetas de fila</t>
        </is>
      </c>
      <c r="C30" t="inlineStr">
        <is>
          <t>NOVENO</t>
        </is>
      </c>
      <c r="D30" t="inlineStr">
        <is>
          <t>OCTAVO</t>
        </is>
      </c>
      <c r="E30" t="inlineStr">
        <is>
          <t>SEPTIMO</t>
        </is>
      </c>
      <c r="G30" t="inlineStr">
        <is>
          <t>SEPTIMO</t>
        </is>
      </c>
    </row>
    <row r="31">
      <c r="B31" s="3" t="inlineStr">
        <is>
          <t>A mejorar</t>
        </is>
      </c>
      <c r="C31" t="n">
        <v>28</v>
      </c>
      <c r="D31" t="n">
        <v>25</v>
      </c>
      <c r="E31" t="n">
        <v>39</v>
      </c>
      <c r="F31" t="n">
        <v>92</v>
      </c>
      <c r="I31" t="n">
        <v>92</v>
      </c>
    </row>
    <row r="32">
      <c r="B32" s="3" t="inlineStr">
        <is>
          <t>Bueno</t>
        </is>
      </c>
      <c r="C32" t="n">
        <v>6</v>
      </c>
      <c r="D32" t="n">
        <v>1</v>
      </c>
      <c r="E32" t="n">
        <v>4</v>
      </c>
      <c r="F32" t="n">
        <v>11</v>
      </c>
      <c r="G32" t="n">
        <v>9</v>
      </c>
      <c r="H32" t="n">
        <v>9</v>
      </c>
      <c r="I32" t="n">
        <v>20</v>
      </c>
    </row>
    <row r="33">
      <c r="B33" s="3" t="inlineStr">
        <is>
          <t xml:space="preserve">Muy bueno </t>
        </is>
      </c>
      <c r="C33" t="n">
        <v>16</v>
      </c>
      <c r="D33" t="n">
        <v>24</v>
      </c>
      <c r="E33" t="n">
        <v>7</v>
      </c>
      <c r="F33" t="n">
        <v>47</v>
      </c>
      <c r="G33" t="n">
        <v>41</v>
      </c>
      <c r="H33" t="n">
        <v>41</v>
      </c>
      <c r="I33" t="n">
        <v>88</v>
      </c>
    </row>
    <row r="34">
      <c r="B34" s="3" t="inlineStr">
        <is>
          <t>Total general</t>
        </is>
      </c>
      <c r="C34" t="n">
        <v>50</v>
      </c>
      <c r="D34" t="n">
        <v>50</v>
      </c>
      <c r="E34" t="n">
        <v>50</v>
      </c>
      <c r="F34" t="n">
        <v>150</v>
      </c>
      <c r="G34" t="n">
        <v>50</v>
      </c>
      <c r="H34" t="n">
        <v>50</v>
      </c>
      <c r="I34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7.85546875" customWidth="1" min="1" max="1"/>
    <col width="13.140625" customWidth="1" min="2" max="2"/>
  </cols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cols>
    <col width="18.42578125" customWidth="1" min="1" max="1"/>
    <col width="52.28515625" customWidth="1" min="2" max="2"/>
    <col width="48.7109375" customWidth="1" min="3" max="3"/>
    <col width="20.140625" customWidth="1" min="4" max="4"/>
    <col width="17.7109375" customWidth="1" min="5" max="5"/>
    <col width="6" customWidth="1" min="6" max="6"/>
    <col width="3.28515625" customWidth="1" min="7" max="7"/>
    <col width="12.42578125" customWidth="1" min="8" max="8"/>
    <col width="8.7109375" customWidth="1" min="9" max="9"/>
    <col width="7.28515625" customWidth="1" min="10" max="10"/>
    <col width="3.5703125" customWidth="1" min="11" max="11"/>
    <col width="3.140625" customWidth="1" min="12" max="12"/>
    <col width="4.140625" customWidth="1" min="13" max="13"/>
    <col width="17.85546875" customWidth="1" min="14" max="14"/>
    <col width="13.140625" customWidth="1" min="15" max="15"/>
    <col width="11.5703125" customWidth="1" min="16" max="16"/>
    <col width="20.5703125" customWidth="1" min="17" max="17"/>
    <col width="14.85546875" customWidth="1" min="18" max="18"/>
    <col width="12.5703125" customWidth="1" min="19" max="19"/>
    <col width="3.140625" customWidth="1" min="20" max="20"/>
    <col width="4.7109375" customWidth="1" min="21" max="21"/>
  </cols>
  <sheetData>
    <row r="1" ht="30" customHeight="1">
      <c r="A1" s="4" t="inlineStr">
        <is>
          <t>Categoría</t>
        </is>
      </c>
      <c r="B1" s="5" t="inlineStr">
        <is>
          <t xml:space="preserve">Indicador </t>
        </is>
      </c>
      <c r="C1" s="5" t="inlineStr">
        <is>
          <t xml:space="preserve">Indicador </t>
        </is>
      </c>
      <c r="D1" s="6" t="inlineStr">
        <is>
          <t>Tipo de Indicador</t>
        </is>
      </c>
      <c r="E1" s="7" t="inlineStr">
        <is>
          <t>Cantidad de veces</t>
        </is>
      </c>
      <c r="F1" t="inlineStr">
        <is>
          <t>NOTA</t>
        </is>
      </c>
      <c r="G1" t="inlineStr">
        <is>
          <t>PR</t>
        </is>
      </c>
      <c r="H1" t="inlineStr">
        <is>
          <t>VALORACION</t>
        </is>
      </c>
      <c r="I1" t="inlineStr">
        <is>
          <t>GRADO</t>
        </is>
      </c>
      <c r="J1" t="inlineStr">
        <is>
          <t>TURNO</t>
        </is>
      </c>
      <c r="K1" t="inlineStr">
        <is>
          <t>NF</t>
        </is>
      </c>
      <c r="L1">
        <f>+'[1]Datos '!G37</f>
        <v/>
      </c>
      <c r="N1">
        <f>+GETPIVOTDATA("Cantidad de veces",$P$3)</f>
        <v/>
      </c>
    </row>
    <row r="2">
      <c r="A2" s="8" t="inlineStr">
        <is>
          <t>Académica</t>
        </is>
      </c>
      <c r="B2" s="9">
        <f>+CONCATENATE(LEFT(D2,3),"-",C2)</f>
        <v/>
      </c>
      <c r="C2" s="9" t="inlineStr">
        <is>
          <t>02. Presenta lagunas en conocimientos previos.</t>
        </is>
      </c>
      <c r="D2" s="10" t="inlineStr">
        <is>
          <t>Alerta/Mejora</t>
        </is>
      </c>
      <c r="E2" s="11" t="n">
        <v>37</v>
      </c>
      <c r="F2">
        <f>IF(D2="Alerta/Mejora",
  IF(E2&lt;=3, 5, IF(E2&lt;=7, 4, IF(E2&lt;=11, 3, IF(E2&lt;=15, 2, 1)))),
  IF(E2&gt;=34, 5, IF(E2&gt;=30, 4, IF(E2&gt;=26, 3, IF(E2&gt;=22, 2, 1))))
)</f>
        <v/>
      </c>
      <c r="G2">
        <f>+L$1-E2</f>
        <v/>
      </c>
      <c r="H2">
        <f>VLOOKUP(F2, REGLA1, 2, FALSE)</f>
        <v/>
      </c>
      <c r="I2" t="inlineStr">
        <is>
          <t>SEPTIMO</t>
        </is>
      </c>
      <c r="J2" t="inlineStr">
        <is>
          <t>TM</t>
        </is>
      </c>
      <c r="K2">
        <f>IFERROR(
ROUND(
IF(
SUMIFS($D$2:$D$200,$F$2:$F$200,F2,$H$2:$H$200,TRIM(H2),$I$2:$I$200,TRIM(I2))=0,
0,
SUMIFS($D$2:$D$200,$F$2:$F$200,F2,$H$2:$H$200,TRIM(H2),$I$2:$I$200,TRIM(I2))
/
SUMIFS($D$2:$D$200,$H$2:$H$200,TRIM(H2),$I$2:$I$200,TRIM(I2))
*$K$1
),0),0)</f>
        <v/>
      </c>
    </row>
    <row r="3">
      <c r="A3" s="8" t="inlineStr">
        <is>
          <t>Académica</t>
        </is>
      </c>
      <c r="B3" s="9">
        <f>+CONCATENATE(LEFT(D3,3),"-",C3)</f>
        <v/>
      </c>
      <c r="C3" s="9" t="inlineStr">
        <is>
          <t>04. Se limita a memorizar sin comprender.</t>
        </is>
      </c>
      <c r="D3" s="10" t="inlineStr">
        <is>
          <t>Alerta/Mejora</t>
        </is>
      </c>
      <c r="E3" s="11">
        <f>37-19</f>
        <v/>
      </c>
      <c r="F3">
        <f>IF(D3="Alerta/Mejora",
  IF(E3&lt;=3, 5, IF(E3&lt;=7, 4, IF(E3&lt;=11, 3, IF(E3&lt;=15, 2, 1)))),
  IF(E3&gt;=34, 5, IF(E3&gt;=30, 4, IF(E3&gt;=26, 3, IF(E3&gt;=22, 2, 1))))
)</f>
        <v/>
      </c>
      <c r="G3">
        <f>+L$1-E3</f>
        <v/>
      </c>
      <c r="H3">
        <f>VLOOKUP(F3, REGLA1, 2, FALSE)</f>
        <v/>
      </c>
      <c r="I3" t="inlineStr">
        <is>
          <t>SEPTIMO</t>
        </is>
      </c>
      <c r="J3" t="inlineStr">
        <is>
          <t>TM</t>
        </is>
      </c>
      <c r="K3">
        <f>IFERROR(
ROUND(
IF(
SUMIFS($D$2:$D$200,$F$2:$F$200,F3,$H$2:$H$200,TRIM(H3),$I$2:$I$200,TRIM(I3))=0,
0,
SUMIFS($D$2:$D$200,$F$2:$F$200,F3,$H$2:$H$200,TRIM(H3),$I$2:$I$200,TRIM(I3))
/
SUMIFS($D$2:$D$200,$H$2:$H$200,TRIM(H3),$I$2:$I$200,TRIM(I3))
*$K$1
),0),0)</f>
        <v/>
      </c>
      <c r="L3" s="12" t="n">
        <v>0</v>
      </c>
      <c r="M3" s="12" t="n">
        <v>21</v>
      </c>
      <c r="N3" s="13" t="n">
        <v>1</v>
      </c>
      <c r="P3" s="1" t="inlineStr">
        <is>
          <t>Promedio de Cantidad de veces</t>
        </is>
      </c>
      <c r="Q3" s="1" t="inlineStr">
        <is>
          <t>Etiquetas de columna</t>
        </is>
      </c>
    </row>
    <row r="4">
      <c r="A4" s="8" t="inlineStr">
        <is>
          <t>Académica</t>
        </is>
      </c>
      <c r="B4" s="9">
        <f>+CONCATENATE(LEFT(D4,3),"-",C4)</f>
        <v/>
      </c>
      <c r="C4" s="9" t="inlineStr">
        <is>
          <t>06. Entrega tareas incompletas o descuidadas.</t>
        </is>
      </c>
      <c r="D4" s="10" t="inlineStr">
        <is>
          <t>Alerta/Mejora</t>
        </is>
      </c>
      <c r="E4" s="11" t="n">
        <v>4</v>
      </c>
      <c r="F4">
        <f>IF(D4="Alerta/Mejora",
IF(E4&lt;=3, 5, IF(E4&lt;=7, 4, IF(E4&lt;=11, 3, IF(E4&lt;=15, 2, 1)))),
IF(E4&gt;=34, 5, IF(E4&gt;=30, 4, IF(E4&gt;=26, 3, IF(E4&gt;=22, 2, 1))))
)</f>
        <v/>
      </c>
      <c r="G4">
        <f>+L$1-E4</f>
        <v/>
      </c>
      <c r="H4">
        <f>VLOOKUP(F4, REGLA1, 2, FALSE)</f>
        <v/>
      </c>
      <c r="I4" t="inlineStr">
        <is>
          <t>SEPTIMO</t>
        </is>
      </c>
      <c r="J4" t="inlineStr">
        <is>
          <t>TM</t>
        </is>
      </c>
      <c r="K4">
        <f>IFERROR(
ROUND(
IF(
SUMIFS($D$2:$D$200,$F$2:$F$200,F4,$H$2:$H$200,TRIM(H4),$I$2:$I$200,TRIM(I4))=0,
0,
SUMIFS($D$2:$D$200,$F$2:$F$200,F4,$H$2:$H$200,TRIM(H4),$I$2:$I$200,TRIM(I4))
/
SUMIFS($D$2:$D$200,$H$2:$H$200,TRIM(H4),$I$2:$I$200,TRIM(I4))
*
$K$1),0),0)</f>
        <v/>
      </c>
      <c r="L4" s="12" t="n">
        <v>22</v>
      </c>
      <c r="M4" s="12" t="n">
        <v>25</v>
      </c>
      <c r="N4" s="13" t="n">
        <v>2</v>
      </c>
      <c r="P4" s="1" t="inlineStr">
        <is>
          <t>Etiquetas de fila</t>
        </is>
      </c>
      <c r="Q4" t="inlineStr">
        <is>
          <t>Alerta/Mejora</t>
        </is>
      </c>
      <c r="R4" t="inlineStr">
        <is>
          <t>Fortaleza/Logro</t>
        </is>
      </c>
      <c r="S4" t="inlineStr">
        <is>
          <t>Total general</t>
        </is>
      </c>
    </row>
    <row r="5">
      <c r="A5" s="8" t="inlineStr">
        <is>
          <t>Académica</t>
        </is>
      </c>
      <c r="B5" s="9">
        <f>+CONCATENATE(LEFT(D5,3),"-",C5)</f>
        <v/>
      </c>
      <c r="C5" s="9" t="inlineStr">
        <is>
          <t>08. Se bloquea ante desafíos matemáticos.</t>
        </is>
      </c>
      <c r="D5" s="10" t="inlineStr">
        <is>
          <t>Alerta/Mejora</t>
        </is>
      </c>
      <c r="E5" s="11" t="n">
        <v>18</v>
      </c>
      <c r="F5">
        <f>IF(D5="Alerta/Mejora",
IF(E5&lt;=3, 5, IF(E5&lt;=7, 4, IF(E5&lt;=11, 3, IF(E5&lt;=15, 2, 1)))),
IF(E5&gt;=34, 5, IF(E5&gt;=30, 4, IF(E5&gt;=26, 3, IF(E5&gt;=22, 2, 1))))
)</f>
        <v/>
      </c>
      <c r="G5">
        <f>+L$1-E5</f>
        <v/>
      </c>
      <c r="H5">
        <f>VLOOKUP(F5, REGLA1, 2, FALSE)</f>
        <v/>
      </c>
      <c r="I5" t="inlineStr">
        <is>
          <t>SEPTIMO</t>
        </is>
      </c>
      <c r="J5" t="inlineStr">
        <is>
          <t>TM</t>
        </is>
      </c>
      <c r="K5">
        <f>IFERROR(
ROUND(
IF(
SUMIFS($D$2:$D$200,$F$2:$F$200,F5,$H$2:$H$200,TRIM(H5),$I$2:$I$200,TRIM(I5))=0,
0,
SUMIFS($D$2:$D$200,$F$2:$F$200,F5,$H$2:$H$200,TRIM(H5),$I$2:$I$200,TRIM(I5))
/
SUMIFS($D$2:$D$200,$H$2:$H$200,TRIM(H5),$I$2:$I$200,TRIM(I5))
*
$K$1),0),0)</f>
        <v/>
      </c>
      <c r="L5" s="12" t="n">
        <v>26</v>
      </c>
      <c r="M5" s="12" t="n">
        <v>29</v>
      </c>
      <c r="N5" s="13" t="n">
        <v>3</v>
      </c>
      <c r="P5" s="3" t="inlineStr">
        <is>
          <t>Académica</t>
        </is>
      </c>
      <c r="Q5" t="n">
        <v>3.5</v>
      </c>
      <c r="R5" t="n">
        <v>11.25</v>
      </c>
      <c r="S5" t="n">
        <v>7.375</v>
      </c>
    </row>
    <row r="6">
      <c r="A6" s="8" t="inlineStr">
        <is>
          <t>Académica</t>
        </is>
      </c>
      <c r="B6" s="9">
        <f>+CONCATENATE(LEFT(D6,3),"-",C6)</f>
        <v/>
      </c>
      <c r="C6" s="9" t="inlineStr">
        <is>
          <t>10. Tiene dificultades de expresión oral/escrita.</t>
        </is>
      </c>
      <c r="D6" s="10" t="inlineStr">
        <is>
          <t>Alerta/Mejora</t>
        </is>
      </c>
      <c r="E6" s="11" t="n">
        <v>14</v>
      </c>
      <c r="F6">
        <f>IF(D6="Alerta/Mejora",
IF(E6&lt;=3, 5, IF(E6&lt;=7, 4, IF(E6&lt;=11, 3, IF(E6&lt;=15, 2, 1)))),
IF(E6&gt;=34, 5, IF(E6&gt;=30, 4, IF(E6&gt;=26, 3, IF(E6&gt;=22, 2, 1))))
)</f>
        <v/>
      </c>
      <c r="G6">
        <f>+L$1-E6</f>
        <v/>
      </c>
      <c r="H6">
        <f>VLOOKUP(F6, REGLA1, 2, FALSE)</f>
        <v/>
      </c>
      <c r="I6" t="inlineStr">
        <is>
          <t>SEPTIMO</t>
        </is>
      </c>
      <c r="J6" t="inlineStr">
        <is>
          <t>TM</t>
        </is>
      </c>
      <c r="K6">
        <f>IFERROR(
ROUND(
IF(
SUMIFS($D$2:$D$200,$F$2:$F$200,F6,$H$2:$H$200,TRIM(H6),$I$2:$I$200,TRIM(I6))=0,
0,
SUMIFS($D$2:$D$200,$F$2:$F$200,F6,$H$2:$H$200,TRIM(H6),$I$2:$I$200,TRIM(I6))
/
SUMIFS($D$2:$D$200,$H$2:$H$200,TRIM(H6),$I$2:$I$200,TRIM(I6))
*
$K$1),0),0)</f>
        <v/>
      </c>
      <c r="L6" s="12" t="n">
        <v>30</v>
      </c>
      <c r="M6" s="12" t="n">
        <v>33</v>
      </c>
      <c r="N6" s="13" t="n">
        <v>4</v>
      </c>
      <c r="P6" s="3" t="inlineStr">
        <is>
          <t>Actitudinal</t>
        </is>
      </c>
      <c r="Q6" t="n">
        <v>2.666666666666667</v>
      </c>
      <c r="R6" t="n">
        <v>32.33333333333334</v>
      </c>
      <c r="S6" t="n">
        <v>17.5</v>
      </c>
    </row>
    <row r="7" ht="18.75" customHeight="1">
      <c r="A7" s="8" t="inlineStr">
        <is>
          <t>Académica</t>
        </is>
      </c>
      <c r="B7" s="9">
        <f>+CONCATENATE(LEFT(D7,3),"-",C7)</f>
        <v/>
      </c>
      <c r="C7" s="9" t="inlineStr">
        <is>
          <t>12. Muestra rechazo o desinterés por la lectura.</t>
        </is>
      </c>
      <c r="D7" s="10" t="inlineStr">
        <is>
          <t>Alerta/Mejora</t>
        </is>
      </c>
      <c r="E7" s="11" t="n">
        <v>11</v>
      </c>
      <c r="F7">
        <f>IF(D7="Alerta/Mejora",
IF(E7&lt;=3, 5, IF(E7&lt;=7, 4, IF(E7&lt;=11, 3, IF(E7&lt;=15, 2, 1)))),
IF(E7&gt;=34, 5, IF(E7&gt;=30, 4, IF(E7&gt;=26, 3, IF(E7&gt;=22, 2, 1))))
)</f>
        <v/>
      </c>
      <c r="G7">
        <f>+L$1-E7</f>
        <v/>
      </c>
      <c r="H7">
        <f>VLOOKUP(F7, REGLA1, 2, FALSE)</f>
        <v/>
      </c>
      <c r="I7" t="inlineStr">
        <is>
          <t>SEPTIMO</t>
        </is>
      </c>
      <c r="J7" t="inlineStr">
        <is>
          <t>TM</t>
        </is>
      </c>
      <c r="K7">
        <f>IFERROR(
ROUND(
IF(
SUMIFS($D$2:$D$200,$F$2:$F$200,F7,$H$2:$H$200,TRIM(H7),$I$2:$I$200,TRIM(I7))=0,
0,
SUMIFS($D$2:$D$200,$F$2:$F$200,F7,$H$2:$H$200,TRIM(H7),$I$2:$I$200,TRIM(I7))
/
SUMIFS($D$2:$D$200,$H$2:$H$200,TRIM(H7),$I$2:$I$200,TRIM(I7))
*
$K$1),0),0)</f>
        <v/>
      </c>
      <c r="L7" s="12" t="n">
        <v>34</v>
      </c>
      <c r="M7" s="14" t="n">
        <v>37</v>
      </c>
      <c r="N7" s="13" t="n">
        <v>5</v>
      </c>
      <c r="P7" s="3" t="inlineStr">
        <is>
          <t>Conductual</t>
        </is>
      </c>
      <c r="Q7" t="n">
        <v>4.125</v>
      </c>
      <c r="R7" t="n">
        <v>29.875</v>
      </c>
      <c r="S7" t="n">
        <v>17</v>
      </c>
    </row>
    <row r="8">
      <c r="A8" s="8" t="inlineStr">
        <is>
          <t>Académica</t>
        </is>
      </c>
      <c r="B8" s="9">
        <f>+CONCATENATE(LEFT(D8,3),"-",C8)</f>
        <v/>
      </c>
      <c r="C8" s="9" t="inlineStr">
        <is>
          <t>14. Requiere supervisión constante para avanzar.</t>
        </is>
      </c>
      <c r="D8" s="10" t="inlineStr">
        <is>
          <t>Alerta/Mejora</t>
        </is>
      </c>
      <c r="E8" s="11">
        <f>37-18</f>
        <v/>
      </c>
      <c r="F8">
        <f>IF(D8="Alerta/Mejora",
IF(E8&lt;=3, 5, IF(E8&lt;=7, 4, IF(E8&lt;=11, 3, IF(E8&lt;=15, 2, 1)))),
IF(E8&gt;=34, 5, IF(E8&gt;=30, 4, IF(E8&gt;=26, 3, IF(E8&gt;=22, 2, 1))))
)</f>
        <v/>
      </c>
      <c r="G8">
        <f>+L$1-E8</f>
        <v/>
      </c>
      <c r="H8">
        <f>VLOOKUP(F8, REGLA1, 2, FALSE)</f>
        <v/>
      </c>
      <c r="I8" t="inlineStr">
        <is>
          <t>SEPTIMO</t>
        </is>
      </c>
      <c r="J8" t="inlineStr">
        <is>
          <t>TM</t>
        </is>
      </c>
      <c r="K8">
        <f>IFERROR(
ROUND(
IF(
SUMIFS($D$2:$D$200,$F$2:$F$200,F8,$H$2:$H$200,TRIM(H8),$I$2:$I$200,TRIM(I8))=0,
0,
SUMIFS($D$2:$D$200,$F$2:$F$200,F8,$H$2:$H$200,TRIM(H8),$I$2:$I$200,TRIM(I8))
/
SUMIFS($D$2:$D$200,$H$2:$H$200,TRIM(H8),$I$2:$I$200,TRIM(I8))
*
$K$1),0),0)</f>
        <v/>
      </c>
      <c r="P8" s="3" t="inlineStr">
        <is>
          <t>Socio-Emocional</t>
        </is>
      </c>
      <c r="Q8" t="n">
        <v>3.333333333333333</v>
      </c>
      <c r="R8" t="n">
        <v>27</v>
      </c>
      <c r="S8" t="n">
        <v>15.16666666666667</v>
      </c>
    </row>
    <row r="9">
      <c r="A9" s="8" t="inlineStr">
        <is>
          <t>Académica</t>
        </is>
      </c>
      <c r="B9" s="9">
        <f>+CONCATENATE(LEFT(D9,3),"-",C9)</f>
        <v/>
      </c>
      <c r="C9" s="9" t="inlineStr">
        <is>
          <t>16. Muestra apatía por temas nuevos.</t>
        </is>
      </c>
      <c r="D9" s="10" t="inlineStr">
        <is>
          <t>Alerta/Mejora</t>
        </is>
      </c>
      <c r="E9" s="11" t="n">
        <v>7</v>
      </c>
      <c r="F9">
        <f>IF(D9="Alerta/Mejora",
IF(E9&lt;=3, 5, IF(E9&lt;=7, 4, IF(E9&lt;=11, 3, IF(E9&lt;=15, 2, 1)))),
IF(E9&gt;=34, 5, IF(E9&gt;=30, 4, IF(E9&gt;=26, 3, IF(E9&gt;=22, 2, 1))))
)</f>
        <v/>
      </c>
      <c r="G9">
        <f>+L$1-E9</f>
        <v/>
      </c>
      <c r="H9">
        <f>VLOOKUP(F9, REGLA1, 2, FALSE)</f>
        <v/>
      </c>
      <c r="I9" t="inlineStr">
        <is>
          <t>SEPTIMO</t>
        </is>
      </c>
      <c r="J9" t="inlineStr">
        <is>
          <t>TM</t>
        </is>
      </c>
      <c r="K9">
        <f>IFERROR(
ROUND(
IF(
SUMIFS($D$2:$D$200,$F$2:$F$200,F9,$H$2:$H$200,TRIM(H9),$I$2:$I$200,TRIM(I9))=0,
0,
SUMIFS($D$2:$D$200,$F$2:$F$200,F9,$H$2:$H$200,TRIM(H9),$I$2:$I$200,TRIM(I9))
/
SUMIFS($D$2:$D$200,$H$2:$H$200,TRIM(H9),$I$2:$I$200,TRIM(I9))
*
$K$1),0),0)</f>
        <v/>
      </c>
      <c r="P9" s="3" t="inlineStr">
        <is>
          <t>Total general</t>
        </is>
      </c>
      <c r="Q9" t="n">
        <v>3.56</v>
      </c>
      <c r="R9" t="n">
        <v>23.52</v>
      </c>
      <c r="S9" t="n">
        <v>13.54</v>
      </c>
    </row>
    <row r="10">
      <c r="A10" s="8" t="inlineStr">
        <is>
          <t>Conductual</t>
        </is>
      </c>
      <c r="B10" s="9">
        <f>+CONCATENATE(LEFT(D10,3),"-",C10)</f>
        <v/>
      </c>
      <c r="C10" s="9" t="inlineStr">
        <is>
          <t>18. Desafía activamente la autoridad.</t>
        </is>
      </c>
      <c r="D10" s="10" t="inlineStr">
        <is>
          <t>Alerta/Mejora</t>
        </is>
      </c>
      <c r="E10" s="11" t="n">
        <v>16</v>
      </c>
      <c r="F10">
        <f>IF(D10="Alerta/Mejora",
IF(E10&lt;=3, 5, IF(E10&lt;=7, 4, IF(E10&lt;=11, 3, IF(E10&lt;=15, 2, 1)))),
IF(E10&gt;=34, 5, IF(E10&gt;=30, 4, IF(E10&gt;=26, 3, IF(E10&gt;=22, 2, 1))))
)</f>
        <v/>
      </c>
      <c r="G10">
        <f>+L$1-E10</f>
        <v/>
      </c>
      <c r="H10">
        <f>VLOOKUP(F10, REGLA1, 2, FALSE)</f>
        <v/>
      </c>
      <c r="I10" t="inlineStr">
        <is>
          <t>SEPTIMO</t>
        </is>
      </c>
      <c r="J10" t="inlineStr">
        <is>
          <t>TM</t>
        </is>
      </c>
      <c r="K10">
        <f>IFERROR(
ROUND(
IF(
SUMIFS($D$2:$D$200,$F$2:$F$200,F10,$H$2:$H$200,TRIM(H10),$I$2:$I$200,TRIM(I10))=0,
0,
SUMIFS($D$2:$D$200,$F$2:$F$200,F10,$H$2:$H$200,TRIM(H10),$I$2:$I$200,TRIM(I10))
/
SUMIFS($D$2:$D$200,$H$2:$H$200,TRIM(H10),$I$2:$I$200,TRIM(I10))
*
$K$1),0),0)</f>
        <v/>
      </c>
    </row>
    <row r="11">
      <c r="A11" s="8" t="inlineStr">
        <is>
          <t>Conductual</t>
        </is>
      </c>
      <c r="B11" s="9">
        <f>+CONCATENATE(LEFT(D11,3),"-",C11)</f>
        <v/>
      </c>
      <c r="C11" s="9" t="inlineStr">
        <is>
          <t>20. Presenta retardos o inasistencias frecuentes.</t>
        </is>
      </c>
      <c r="D11" s="10" t="inlineStr">
        <is>
          <t>Alerta/Mejora</t>
        </is>
      </c>
      <c r="E11" s="11" t="n">
        <v>2</v>
      </c>
      <c r="F11">
        <f>IF(D11="Alerta/Mejora",
IF(E11&lt;=3, 5, IF(E11&lt;=7, 4, IF(E11&lt;=11, 3, IF(E11&lt;=15, 2, 1)))),
IF(E11&gt;=34, 5, IF(E11&gt;=30, 4, IF(E11&gt;=26, 3, IF(E11&gt;=22, 2, 1))))
)</f>
        <v/>
      </c>
      <c r="G11">
        <f>+L$1-E11</f>
        <v/>
      </c>
      <c r="H11">
        <f>VLOOKUP(F11, REGLA1, 2, FALSE)</f>
        <v/>
      </c>
      <c r="I11" t="inlineStr">
        <is>
          <t>SEPTIMO</t>
        </is>
      </c>
      <c r="J11" t="inlineStr">
        <is>
          <t>TM</t>
        </is>
      </c>
      <c r="K11">
        <f>IFERROR(
ROUND(
IF(
SUMIFS($D$2:$D$200,$F$2:$F$200,F11,$H$2:$H$200,TRIM(H11),$I$2:$I$200,TRIM(I11))=0,
0,
SUMIFS($D$2:$D$200,$F$2:$F$200,F11,$H$2:$H$200,TRIM(H11),$I$2:$I$200,TRIM(I11))
/
SUMIFS($D$2:$D$200,$H$2:$H$200,TRIM(H11),$I$2:$I$200,TRIM(I11))
*
$K$1),0),0)</f>
        <v/>
      </c>
    </row>
    <row r="12">
      <c r="A12" s="8" t="inlineStr">
        <is>
          <t>Conductual</t>
        </is>
      </c>
      <c r="B12" s="9">
        <f>+CONCATENATE(LEFT(D12,3),"-",C12)</f>
        <v/>
      </c>
      <c r="C12" s="9" t="inlineStr">
        <is>
          <t>22. Daña el mobiliario o materiales escolares.</t>
        </is>
      </c>
      <c r="D12" s="10" t="inlineStr">
        <is>
          <t>Alerta/Mejora</t>
        </is>
      </c>
      <c r="E12" s="11" t="n">
        <v>1</v>
      </c>
      <c r="F12">
        <f>IF(D12="Alerta/Mejora",
IF(E12&lt;=3, 5, IF(E12&lt;=7, 4, IF(E12&lt;=11, 3, IF(E12&lt;=15, 2, 1)))),
IF(E12&gt;=34, 5, IF(E12&gt;=30, 4, IF(E12&gt;=26, 3, IF(E12&gt;=22, 2, 1))))
)</f>
        <v/>
      </c>
      <c r="G12">
        <f>+L$1-E12</f>
        <v/>
      </c>
      <c r="H12">
        <f>VLOOKUP(F12, REGLA1, 2, FALSE)</f>
        <v/>
      </c>
      <c r="I12" t="inlineStr">
        <is>
          <t>SEPTIMO</t>
        </is>
      </c>
      <c r="J12" t="inlineStr">
        <is>
          <t>TM</t>
        </is>
      </c>
      <c r="K12">
        <f>IFERROR(
ROUND(
IF(
SUMIFS($D$2:$D$200,$F$2:$F$200,F12,$H$2:$H$200,TRIM(H12),$I$2:$I$200,TRIM(I12))=0,
0,
SUMIFS($D$2:$D$200,$F$2:$F$200,F12,$H$2:$H$200,TRIM(H12),$I$2:$I$200,TRIM(I12))
/
SUMIFS($D$2:$D$200,$H$2:$H$200,TRIM(H12),$I$2:$I$200,TRIM(I12))
*
$K$1),0),0)</f>
        <v/>
      </c>
    </row>
    <row r="13">
      <c r="A13" s="8" t="inlineStr">
        <is>
          <t>Conductual</t>
        </is>
      </c>
      <c r="B13" s="9">
        <f>+CONCATENATE(LEFT(D13,3),"-",C13)</f>
        <v/>
      </c>
      <c r="C13" s="9" t="inlineStr">
        <is>
          <t>24. Interrumpe constantemente el flujo de clase.</t>
        </is>
      </c>
      <c r="D13" s="10" t="inlineStr">
        <is>
          <t>Alerta/Mejora</t>
        </is>
      </c>
      <c r="E13" s="11" t="n">
        <v>2</v>
      </c>
      <c r="F13">
        <f>IF(D13="Alerta/Mejora",
IF(E13&lt;=3, 5, IF(E13&lt;=7, 4, IF(E13&lt;=11, 3, IF(E13&lt;=15, 2, 1)))),
IF(E13&gt;=34, 5, IF(E13&gt;=30, 4, IF(E13&gt;=26, 3, IF(E13&gt;=22, 2, 1))))
)</f>
        <v/>
      </c>
      <c r="G13">
        <f>+L$1-E13</f>
        <v/>
      </c>
      <c r="H13">
        <f>VLOOKUP(F13, REGLA1, 2, FALSE)</f>
        <v/>
      </c>
      <c r="I13" t="inlineStr">
        <is>
          <t>SEPTIMO</t>
        </is>
      </c>
      <c r="J13" t="inlineStr">
        <is>
          <t>TM</t>
        </is>
      </c>
      <c r="K13">
        <f>IFERROR(
ROUND(
IF(
SUMIFS($D$2:$D$200,$F$2:$F$200,F13,$H$2:$H$200,TRIM(H13),$I$2:$I$200,TRIM(I13))=0,
0,
SUMIFS($D$2:$D$200,$F$2:$F$200,F13,$H$2:$H$200,TRIM(H13),$I$2:$I$200,TRIM(I13))
/
SUMIFS($D$2:$D$200,$H$2:$H$200,TRIM(H13),$I$2:$I$200,TRIM(I13))
*
$K$1),0),0)</f>
        <v/>
      </c>
    </row>
    <row r="14">
      <c r="A14" s="8" t="inlineStr">
        <is>
          <t>Conductual</t>
        </is>
      </c>
      <c r="B14" s="9">
        <f>+CONCATENATE(LEFT(D14,3),"-",C14)</f>
        <v/>
      </c>
      <c r="C14" s="9" t="inlineStr">
        <is>
          <t>26. Emplea lenguaje soez o despectivo.</t>
        </is>
      </c>
      <c r="D14" s="10" t="inlineStr">
        <is>
          <t>Alerta/Mejora</t>
        </is>
      </c>
      <c r="E14" s="11" t="n">
        <v>11</v>
      </c>
      <c r="F14">
        <f>IF(D14="Alerta/Mejora",
IF(E14&lt;=3, 5, IF(E14&lt;=7, 4, IF(E14&lt;=11, 3, IF(E14&lt;=15, 2, 1)))),
IF(E14&gt;=34, 5, IF(E14&gt;=30, 4, IF(E14&gt;=26, 3, IF(E14&gt;=22, 2, 1))))
)</f>
        <v/>
      </c>
      <c r="G14">
        <f>+L$1-E14</f>
        <v/>
      </c>
      <c r="H14">
        <f>VLOOKUP(F14, REGLA1, 2, FALSE)</f>
        <v/>
      </c>
      <c r="I14" t="inlineStr">
        <is>
          <t>SEPTIMO</t>
        </is>
      </c>
      <c r="J14" t="inlineStr">
        <is>
          <t>TM</t>
        </is>
      </c>
      <c r="K14">
        <f>IFERROR(
ROUND(
IF(
SUMIFS($D$2:$D$200,$F$2:$F$200,F14,$H$2:$H$200,TRIM(H14),$I$2:$I$200,TRIM(I14))=0,
0,
SUMIFS($D$2:$D$200,$F$2:$F$200,F14,$H$2:$H$200,TRIM(H14),$I$2:$I$200,TRIM(I14))
/
SUMIFS($D$2:$D$200,$H$2:$H$200,TRIM(H14),$I$2:$I$200,TRIM(I14))
*
$K$1),0),0)</f>
        <v/>
      </c>
    </row>
    <row r="15">
      <c r="A15" s="8" t="inlineStr">
        <is>
          <t>Conductual</t>
        </is>
      </c>
      <c r="B15" s="9">
        <f>+CONCATENATE(LEFT(D15,3),"-",C15)</f>
        <v/>
      </c>
      <c r="C15" s="9" t="inlineStr">
        <is>
          <t>28. Miente o culpa a otros por sus actos.</t>
        </is>
      </c>
      <c r="D15" s="10" t="inlineStr">
        <is>
          <t>Alerta/Mejora</t>
        </is>
      </c>
      <c r="E15" s="11" t="n">
        <v>19</v>
      </c>
      <c r="F15">
        <f>IF(D15="Alerta/Mejora",
IF(E15&lt;=3, 5, IF(E15&lt;=7, 4, IF(E15&lt;=11, 3, IF(E15&lt;=15, 2, 1)))),
IF(E15&gt;=34, 5, IF(E15&gt;=30, 4, IF(E15&gt;=26, 3, IF(E15&gt;=22, 2, 1))))
)</f>
        <v/>
      </c>
      <c r="G15">
        <f>+L$1-E15</f>
        <v/>
      </c>
      <c r="H15">
        <f>VLOOKUP(F15, REGLA1, 2, FALSE)</f>
        <v/>
      </c>
      <c r="I15" t="inlineStr">
        <is>
          <t>SEPTIMO</t>
        </is>
      </c>
      <c r="J15" t="inlineStr">
        <is>
          <t>TM</t>
        </is>
      </c>
      <c r="K15">
        <f>IFERROR(
ROUND(
IF(
SUMIFS($D$2:$D$200,$F$2:$F$200,F15,$H$2:$H$200,TRIM(H15),$I$2:$I$200,TRIM(I15))=0,
0,
SUMIFS($D$2:$D$200,$F$2:$F$200,F15,$H$2:$H$200,TRIM(H15),$I$2:$I$200,TRIM(I15))
/
SUMIFS($D$2:$D$200,$H$2:$H$200,TRIM(H15),$I$2:$I$200,TRIM(I15))
*
$K$1),0),0)</f>
        <v/>
      </c>
    </row>
    <row r="16">
      <c r="A16" s="8" t="inlineStr">
        <is>
          <t>Conductual</t>
        </is>
      </c>
      <c r="B16" s="9">
        <f>+CONCATENATE(LEFT(D16,3),"-",C16)</f>
        <v/>
      </c>
      <c r="C16" s="9" t="inlineStr">
        <is>
          <t>30. Se distrae con dispositivos electrónicos.</t>
        </is>
      </c>
      <c r="D16" s="10" t="inlineStr">
        <is>
          <t>Alerta/Mejora</t>
        </is>
      </c>
      <c r="E16" s="11" t="n">
        <v>16</v>
      </c>
      <c r="F16">
        <f>IF(D16="Alerta/Mejora",
IF(E16&lt;=3, 5, IF(E16&lt;=7, 4, IF(E16&lt;=11, 3, IF(E16&lt;=15, 2, 1)))),
IF(E16&gt;=34, 5, IF(E16&gt;=30, 4, IF(E16&gt;=26, 3, IF(E16&gt;=22, 2, 1))))
)</f>
        <v/>
      </c>
      <c r="G16">
        <f>+L$1-E16</f>
        <v/>
      </c>
      <c r="H16">
        <f>VLOOKUP(F16, REGLA1, 2, FALSE)</f>
        <v/>
      </c>
      <c r="I16" t="inlineStr">
        <is>
          <t>SEPTIMO</t>
        </is>
      </c>
      <c r="J16" t="inlineStr">
        <is>
          <t>TM</t>
        </is>
      </c>
      <c r="K16">
        <f>IFERROR(
ROUND(
IF(
SUMIFS($D$2:$D$200,$F$2:$F$200,F16,$H$2:$H$200,TRIM(H16),$I$2:$I$200,TRIM(I16))=0,
0,
SUMIFS($D$2:$D$200,$F$2:$F$200,F16,$H$2:$H$200,TRIM(H16),$I$2:$I$200,TRIM(I16))
/
SUMIFS($D$2:$D$200,$H$2:$H$200,TRIM(H16),$I$2:$I$200,TRIM(I16))
*
$K$1),0),0)</f>
        <v/>
      </c>
    </row>
    <row r="17">
      <c r="A17" s="8" t="inlineStr">
        <is>
          <t>Conductual</t>
        </is>
      </c>
      <c r="B17" s="9">
        <f>+CONCATENATE(LEFT(D17,3),"-",C17)</f>
        <v/>
      </c>
      <c r="C17" s="9" t="inlineStr">
        <is>
          <t>32. Fomenta el desorden o el caos en el grupo.</t>
        </is>
      </c>
      <c r="D17" s="10" t="inlineStr">
        <is>
          <t>Alerta/Mejora</t>
        </is>
      </c>
      <c r="E17" s="11" t="n">
        <v>6</v>
      </c>
      <c r="F17">
        <f>IF(D17="Alerta/Mejora",
IF(E17&lt;=3, 5, IF(E17&lt;=7, 4, IF(E17&lt;=11, 3, IF(E17&lt;=15, 2, 1)))),
IF(E17&gt;=34, 5, IF(E17&gt;=30, 4, IF(E17&gt;=26, 3, IF(E17&gt;=22, 2, 1))))
)</f>
        <v/>
      </c>
      <c r="G17">
        <f>+L$1-E17</f>
        <v/>
      </c>
      <c r="H17">
        <f>VLOOKUP(F17, REGLA1, 2, FALSE)</f>
        <v/>
      </c>
      <c r="I17" t="inlineStr">
        <is>
          <t>SEPTIMO</t>
        </is>
      </c>
      <c r="J17" t="inlineStr">
        <is>
          <t>TM</t>
        </is>
      </c>
      <c r="K17">
        <f>IFERROR(
ROUND(
IF(
SUMIFS($D$2:$D$200,$F$2:$F$200,F17,$H$2:$H$200,TRIM(H17),$I$2:$I$200,TRIM(I17))=0,
0,
SUMIFS($D$2:$D$200,$F$2:$F$200,F17,$H$2:$H$200,TRIM(H17),$I$2:$I$200,TRIM(I17))
/
SUMIFS($D$2:$D$200,$H$2:$H$200,TRIM(H17),$I$2:$I$200,TRIM(I17))
*
$K$1),0),0)</f>
        <v/>
      </c>
    </row>
    <row r="18">
      <c r="A18" s="8" t="inlineStr">
        <is>
          <t>Socio-Emocional</t>
        </is>
      </c>
      <c r="B18" s="9">
        <f>+CONCATENATE(LEFT(D18,3),"-",C18)</f>
        <v/>
      </c>
      <c r="C18" s="9" t="inlineStr">
        <is>
          <t>34. Se rinde fácilmente ante la frustración.</t>
        </is>
      </c>
      <c r="D18" s="10" t="inlineStr">
        <is>
          <t>Alerta/Mejora</t>
        </is>
      </c>
      <c r="E18" s="11" t="n">
        <v>19</v>
      </c>
      <c r="F18">
        <f>IF(D18="Alerta/Mejora",
IF(E18&lt;=3, 5, IF(E18&lt;=7, 4, IF(E18&lt;=11, 3, IF(E18&lt;=15, 2, 1)))),
IF(E18&gt;=34, 5, IF(E18&gt;=30, 4, IF(E18&gt;=26, 3, IF(E18&gt;=22, 2, 1))))
)</f>
        <v/>
      </c>
      <c r="G18">
        <f>+L$1-E18</f>
        <v/>
      </c>
      <c r="H18">
        <f>VLOOKUP(F18, REGLA1, 2, FALSE)</f>
        <v/>
      </c>
      <c r="I18" t="inlineStr">
        <is>
          <t>SEPTIMO</t>
        </is>
      </c>
      <c r="J18" t="inlineStr">
        <is>
          <t>TM</t>
        </is>
      </c>
      <c r="K18">
        <f>IFERROR(
ROUND(
IF(
SUMIFS($D$2:$D$200,$F$2:$F$200,F18,$H$2:$H$200,TRIM(H18),$I$2:$I$200,TRIM(I18))=0,
0,
SUMIFS($D$2:$D$200,$F$2:$F$200,F18,$H$2:$H$200,TRIM(H18),$I$2:$I$200,TRIM(I18))
/
SUMIFS($D$2:$D$200,$H$2:$H$200,TRIM(H18),$I$2:$I$200,TRIM(I18))
*
$K$1),0),0)</f>
        <v/>
      </c>
    </row>
    <row r="19">
      <c r="A19" s="8" t="inlineStr">
        <is>
          <t>Socio-Emocional</t>
        </is>
      </c>
      <c r="B19" s="9">
        <f>+CONCATENATE(LEFT(D19,3),"-",C19)</f>
        <v/>
      </c>
      <c r="C19" s="9" t="inlineStr">
        <is>
          <t>36. Trabaja de forma aislada o es individualista.</t>
        </is>
      </c>
      <c r="D19" s="10" t="inlineStr">
        <is>
          <t>Alerta/Mejora</t>
        </is>
      </c>
      <c r="E19" s="11" t="n">
        <v>14</v>
      </c>
      <c r="F19">
        <f>IF(D19="Alerta/Mejora",
IF(E19&lt;=3, 5, IF(E19&lt;=7, 4, IF(E19&lt;=11, 3, IF(E19&lt;=15, 2, 1)))),
IF(E19&gt;=34, 5, IF(E19&gt;=30, 4, IF(E19&gt;=26, 3, IF(E19&gt;=22, 2, 1))))
)</f>
        <v/>
      </c>
      <c r="G19">
        <f>+L$1-E19</f>
        <v/>
      </c>
      <c r="H19">
        <f>VLOOKUP(F19, REGLA1, 2, FALSE)</f>
        <v/>
      </c>
      <c r="I19" t="inlineStr">
        <is>
          <t>SEPTIMO</t>
        </is>
      </c>
      <c r="J19" t="inlineStr">
        <is>
          <t>TM</t>
        </is>
      </c>
      <c r="K19">
        <f>IFERROR(
ROUND(
IF(
SUMIFS($D$2:$D$200,$F$2:$F$200,F19,$H$2:$H$200,TRIM(H19),$I$2:$I$200,TRIM(I19))=0,
0,
SUMIFS($D$2:$D$200,$F$2:$F$200,F19,$H$2:$H$200,TRIM(H19),$I$2:$I$200,TRIM(I19))
/
SUMIFS($D$2:$D$200,$H$2:$H$200,TRIM(H19),$I$2:$I$200,TRIM(I19))
*
$K$1),0),0)</f>
        <v/>
      </c>
    </row>
    <row r="20">
      <c r="A20" s="8" t="inlineStr">
        <is>
          <t>Socio-Emocional</t>
        </is>
      </c>
      <c r="B20" s="9">
        <f>+CONCATENATE(LEFT(D20,3),"-",C20)</f>
        <v/>
      </c>
      <c r="C20" s="9" t="inlineStr">
        <is>
          <t>38. Ignora o se burla de los sentimientos de otros.</t>
        </is>
      </c>
      <c r="D20" s="10" t="inlineStr">
        <is>
          <t>Alerta/Mejora</t>
        </is>
      </c>
      <c r="E20" s="11" t="n">
        <v>15</v>
      </c>
      <c r="F20">
        <f>IF(D20="Alerta/Mejora",
IF(E20&lt;=3, 5, IF(E20&lt;=7, 4, IF(E20&lt;=11, 3, IF(E20&lt;=15, 2, 1)))),
IF(E20&gt;=34, 5, IF(E20&gt;=30, 4, IF(E20&gt;=26, 3, IF(E20&gt;=22, 2, 1))))
)</f>
        <v/>
      </c>
      <c r="G20">
        <f>+L$1-E20</f>
        <v/>
      </c>
      <c r="H20">
        <f>VLOOKUP(F20, REGLA1, 2, FALSE)</f>
        <v/>
      </c>
      <c r="I20" t="inlineStr">
        <is>
          <t>SEPTIMO</t>
        </is>
      </c>
      <c r="J20" t="inlineStr">
        <is>
          <t>TM</t>
        </is>
      </c>
      <c r="K20">
        <f>IFERROR(
ROUND(
IF(
SUMIFS($D$2:$D$200,$F$2:$F$200,F20,$H$2:$H$200,TRIM(H20),$I$2:$I$200,TRIM(I20))=0,
0,
SUMIFS($D$2:$D$200,$F$2:$F$200,F20,$H$2:$H$200,TRIM(H20),$I$2:$I$200,TRIM(I20))
/
SUMIFS($D$2:$D$200,$H$2:$H$200,TRIM(H20),$I$2:$I$200,TRIM(I20))
*
$K$1),0),0)</f>
        <v/>
      </c>
    </row>
    <row r="21">
      <c r="A21" s="8" t="inlineStr">
        <is>
          <t>Socio-Emocional</t>
        </is>
      </c>
      <c r="B21" s="9">
        <f>+CONCATENATE(LEFT(D21,3),"-",C21)</f>
        <v/>
      </c>
      <c r="C21" s="9" t="inlineStr">
        <is>
          <t>40. Ejerce presión negativa o bullying.</t>
        </is>
      </c>
      <c r="D21" s="10" t="inlineStr">
        <is>
          <t>Alerta/Mejora</t>
        </is>
      </c>
      <c r="E21" s="11" t="n">
        <v>4</v>
      </c>
      <c r="F21">
        <f>IF(D21="Alerta/Mejora",
IF(E21&lt;=3, 5, IF(E21&lt;=7, 4, IF(E21&lt;=11, 3, IF(E21&lt;=15, 2, 1)))),
IF(E21&gt;=34, 5, IF(E21&gt;=30, 4, IF(E21&gt;=26, 3, IF(E21&gt;=22, 2, 1))))
)</f>
        <v/>
      </c>
      <c r="G21">
        <f>+L$1-E21</f>
        <v/>
      </c>
      <c r="H21">
        <f>VLOOKUP(F21, REGLA1, 2, FALSE)</f>
        <v/>
      </c>
      <c r="I21" t="inlineStr">
        <is>
          <t>SEPTIMO</t>
        </is>
      </c>
      <c r="J21" t="inlineStr">
        <is>
          <t>TM</t>
        </is>
      </c>
      <c r="K21">
        <f>IFERROR(
ROUND(
IF(
SUMIFS($D$2:$D$200,$F$2:$F$200,F21,$H$2:$H$200,TRIM(H21),$I$2:$I$200,TRIM(I21))=0,
0,
SUMIFS($D$2:$D$200,$F$2:$F$200,F21,$H$2:$H$200,TRIM(H21),$I$2:$I$200,TRIM(I21))
/
SUMIFS($D$2:$D$200,$H$2:$H$200,TRIM(H21),$I$2:$I$200,TRIM(I21))
*
$K$1),0),0)</f>
        <v/>
      </c>
    </row>
    <row r="22">
      <c r="A22" s="8" t="inlineStr">
        <is>
          <t>Socio-Emocional</t>
        </is>
      </c>
      <c r="B22" s="9">
        <f>+CONCATENATE(LEFT(D22,3),"-",C22)</f>
        <v/>
      </c>
      <c r="C22" s="9" t="inlineStr">
        <is>
          <t>42. Reacciona de forma agresiva o impulsiva.</t>
        </is>
      </c>
      <c r="D22" s="10" t="inlineStr">
        <is>
          <t>Alerta/Mejora</t>
        </is>
      </c>
      <c r="E22" s="11" t="n">
        <v>11</v>
      </c>
      <c r="F22">
        <f>IF(D22="Alerta/Mejora",
IF(E22&lt;=3, 5, IF(E22&lt;=7, 4, IF(E22&lt;=11, 3, IF(E22&lt;=15, 2, 1)))),
IF(E22&gt;=34, 5, IF(E22&gt;=30, 4, IF(E22&gt;=26, 3, IF(E22&gt;=22, 2, 1))))
)</f>
        <v/>
      </c>
      <c r="G22">
        <f>+L$1-E22</f>
        <v/>
      </c>
      <c r="H22">
        <f>VLOOKUP(F22, REGLA1, 2, FALSE)</f>
        <v/>
      </c>
      <c r="I22" t="inlineStr">
        <is>
          <t>SEPTIMO</t>
        </is>
      </c>
      <c r="J22" t="inlineStr">
        <is>
          <t>TM</t>
        </is>
      </c>
      <c r="K22">
        <f>IFERROR(
ROUND(
IF(
SUMIFS($D$2:$D$200,$F$2:$F$200,F22,$H$2:$H$200,TRIM(H22),$I$2:$I$200,TRIM(I22))=0,
0,
SUMIFS($D$2:$D$200,$F$2:$F$200,F22,$H$2:$H$200,TRIM(H22),$I$2:$I$200,TRIM(I22))
/
SUMIFS($D$2:$D$200,$H$2:$H$200,TRIM(H22),$I$2:$I$200,TRIM(I22))
*
$K$1),0),0)</f>
        <v/>
      </c>
    </row>
    <row r="23">
      <c r="A23" s="8" t="inlineStr">
        <is>
          <t>Socio-Emocional</t>
        </is>
      </c>
      <c r="B23" s="9">
        <f>+CONCATENATE(LEFT(D23,3),"-",C23)</f>
        <v/>
      </c>
      <c r="C23" s="9" t="inlineStr">
        <is>
          <t>44. Expresa inseguridad constante ("no puedo").</t>
        </is>
      </c>
      <c r="D23" s="10" t="inlineStr">
        <is>
          <t>Alerta/Mejora</t>
        </is>
      </c>
      <c r="E23" s="11" t="n">
        <v>19</v>
      </c>
      <c r="F23">
        <f>IF(D23="Alerta/Mejora",
IF(E23&lt;=3, 5, IF(E23&lt;=7, 4, IF(E23&lt;=11, 3, IF(E23&lt;=15, 2, 1)))),
IF(E23&gt;=34, 5, IF(E23&gt;=30, 4, IF(E23&gt;=26, 3, IF(E23&gt;=22, 2, 1))))
)</f>
        <v/>
      </c>
      <c r="G23">
        <f>+L$1-E23</f>
        <v/>
      </c>
      <c r="H23">
        <f>VLOOKUP(F23, REGLA1, 2, FALSE)</f>
        <v/>
      </c>
      <c r="I23" t="inlineStr">
        <is>
          <t>SEPTIMO</t>
        </is>
      </c>
      <c r="J23" t="inlineStr">
        <is>
          <t>TM</t>
        </is>
      </c>
      <c r="K23">
        <f>IFERROR(
ROUND(
IF(
SUMIFS($D$2:$D$200,$F$2:$F$200,F23,$H$2:$H$200,TRIM(H23),$I$2:$I$200,TRIM(I23))=0,
0,
SUMIFS($D$2:$D$200,$F$2:$F$200,F23,$H$2:$H$200,TRIM(H23),$I$2:$I$200,TRIM(I23))
/
SUMIFS($D$2:$D$200,$H$2:$H$200,TRIM(H23),$I$2:$I$200,TRIM(I23))
*
$K$1),0),0)</f>
        <v/>
      </c>
    </row>
    <row r="24">
      <c r="A24" s="8" t="inlineStr">
        <is>
          <t>Actitudinal</t>
        </is>
      </c>
      <c r="B24" s="9">
        <f>+CONCATENATE(LEFT(D24,3),"-",C24)</f>
        <v/>
      </c>
      <c r="C24" s="9" t="inlineStr">
        <is>
          <t>46. Requiere estímulos externos para trabajar.</t>
        </is>
      </c>
      <c r="D24" s="10" t="inlineStr">
        <is>
          <t>Alerta/Mejora</t>
        </is>
      </c>
      <c r="E24" s="11" t="n">
        <v>16</v>
      </c>
      <c r="F24">
        <f>IF(D24="Alerta/Mejora",
IF(E24&lt;=3, 5, IF(E24&lt;=7, 4, IF(E24&lt;=11, 3, IF(E24&lt;=15, 2, 1)))),
IF(E24&gt;=34, 5, IF(E24&gt;=30, 4, IF(E24&gt;=26, 3, IF(E24&gt;=22, 2, 1))))
)</f>
        <v/>
      </c>
      <c r="G24">
        <f>+L$1-E24</f>
        <v/>
      </c>
      <c r="H24">
        <f>VLOOKUP(F24, REGLA1, 2, FALSE)</f>
        <v/>
      </c>
      <c r="I24" t="inlineStr">
        <is>
          <t>SEPTIMO</t>
        </is>
      </c>
      <c r="J24" t="inlineStr">
        <is>
          <t>TM</t>
        </is>
      </c>
      <c r="K24">
        <f>IFERROR(
ROUND(
IF(
SUMIFS($D$2:$D$200,$F$2:$F$200,F24,$H$2:$H$200,TRIM(H24),$I$2:$I$200,TRIM(I24))=0,
0,
SUMIFS($D$2:$D$200,$F$2:$F$200,F24,$H$2:$H$200,TRIM(H24),$I$2:$I$200,TRIM(I24))
/
SUMIFS($D$2:$D$200,$H$2:$H$200,TRIM(H24),$I$2:$I$200,TRIM(I24))
*
$K$1),0),0)</f>
        <v/>
      </c>
    </row>
    <row r="25">
      <c r="A25" s="8" t="inlineStr">
        <is>
          <t>Actitudinal</t>
        </is>
      </c>
      <c r="B25" s="9">
        <f>+CONCATENATE(LEFT(D25,3),"-",C25)</f>
        <v/>
      </c>
      <c r="C25" s="9" t="inlineStr">
        <is>
          <t>48. Abandona proyectos a mitad de camino.</t>
        </is>
      </c>
      <c r="D25" s="10" t="inlineStr">
        <is>
          <t>Alerta/Mejora</t>
        </is>
      </c>
      <c r="E25" s="11" t="n">
        <v>19</v>
      </c>
      <c r="F25">
        <f>IF(D25="Alerta/Mejora",
IF(E25&lt;=3, 5, IF(E25&lt;=7, 4, IF(E25&lt;=11, 3, IF(E25&lt;=15, 2, 1)))),
IF(E25&gt;=34, 5, IF(E25&gt;=30, 4, IF(E25&gt;=26, 3, IF(E25&gt;=22, 2, 1))))
)</f>
        <v/>
      </c>
      <c r="G25">
        <f>+L$1-E25</f>
        <v/>
      </c>
      <c r="H25">
        <f>VLOOKUP(F25, REGLA1, 2, FALSE)</f>
        <v/>
      </c>
      <c r="I25" t="inlineStr">
        <is>
          <t>SEPTIMO</t>
        </is>
      </c>
      <c r="J25" t="inlineStr">
        <is>
          <t>TM</t>
        </is>
      </c>
      <c r="K25">
        <f>IFERROR(
ROUND(
IF(
SUMIFS($D$2:$D$200,$F$2:$F$200,F25,$H$2:$H$200,TRIM(H25),$I$2:$I$200,TRIM(I25))=0,
0,
SUMIFS($D$2:$D$200,$F$2:$F$200,F25,$H$2:$H$200,TRIM(H25),$I$2:$I$200,TRIM(I25))
/
SUMIFS($D$2:$D$200,$H$2:$H$200,TRIM(H25),$I$2:$I$200,TRIM(I25))
*
$K$1),0),0)</f>
        <v/>
      </c>
    </row>
    <row r="26">
      <c r="A26" s="8" t="inlineStr">
        <is>
          <t>Actitudinal</t>
        </is>
      </c>
      <c r="B26" s="9">
        <f>+CONCATENATE(LEFT(D26,3),"-",C26)</f>
        <v/>
      </c>
      <c r="C26" s="9" t="inlineStr">
        <is>
          <t>50. Se muestra a la defensiva ante críticas.</t>
        </is>
      </c>
      <c r="D26" s="10" t="inlineStr">
        <is>
          <t>Alerta/Mejora</t>
        </is>
      </c>
      <c r="E26" s="11" t="n">
        <v>11</v>
      </c>
      <c r="F26">
        <f>IF(D26="Alerta/Mejora",
IF(E26&lt;=3, 5, IF(E26&lt;=7, 4, IF(E26&lt;=11, 3, IF(E26&lt;=15, 2, 1)))),
IF(E26&gt;=34, 5, IF(E26&gt;=30, 4, IF(E26&gt;=26, 3, IF(E26&gt;=22, 2, 1))))
)</f>
        <v/>
      </c>
      <c r="G26">
        <f>+L$1-E26</f>
        <v/>
      </c>
      <c r="H26">
        <f>VLOOKUP(F26, REGLA1, 2, FALSE)</f>
        <v/>
      </c>
      <c r="I26" t="inlineStr">
        <is>
          <t>SEPTIMO</t>
        </is>
      </c>
      <c r="J26" t="inlineStr">
        <is>
          <t>TM</t>
        </is>
      </c>
      <c r="K26">
        <f>IFERROR(
ROUND(
IF(
SUMIFS($D$2:$D$200,$F$2:$F$200,F26,$H$2:$H$200,TRIM(H26),$I$2:$I$200,TRIM(I26))=0,
0,
SUMIFS($D$2:$D$200,$F$2:$F$200,F26,$H$2:$H$200,TRIM(H26),$I$2:$I$200,TRIM(I26))
/
SUMIFS($D$2:$D$200,$H$2:$H$200,TRIM(H26),$I$2:$I$200,TRIM(I26))
*
$K$1),0),0)</f>
        <v/>
      </c>
    </row>
    <row r="27">
      <c r="A27" s="15" t="inlineStr">
        <is>
          <t>Académica</t>
        </is>
      </c>
      <c r="B27" s="9">
        <f>+CONCATENATE(LEFT(D27,3),"-",C27)</f>
        <v/>
      </c>
      <c r="C27" s="16" t="inlineStr">
        <is>
          <t>01. Domina los conceptos clave del grado.</t>
        </is>
      </c>
      <c r="D27" s="17" t="inlineStr">
        <is>
          <t>Fortaleza/Logro</t>
        </is>
      </c>
      <c r="E27" s="11" t="n">
        <v>6</v>
      </c>
      <c r="F27">
        <f>IF(D27="Alerta/Mejora",
IF(E27&lt;=3, 5, IF(E27&lt;=7, 4, IF(E27&lt;=11, 3, IF(E27&lt;=15, 2, 1)))),
IF(E27&gt;=34, 5, IF(E27&gt;=30, 4, IF(E27&gt;=26, 3, IF(E27&gt;=22, 2, 1))))
)</f>
        <v/>
      </c>
      <c r="G27">
        <f>+E27</f>
        <v/>
      </c>
      <c r="H27">
        <f>VLOOKUP(F27, REGLA1, 2, FALSE)</f>
        <v/>
      </c>
      <c r="I27" t="inlineStr">
        <is>
          <t>SEPTIMO</t>
        </is>
      </c>
      <c r="J27" t="inlineStr">
        <is>
          <t>TM</t>
        </is>
      </c>
      <c r="K27">
        <f>IFERROR(
ROUND(
IF(
SUMIFS($D$2:$D$200,$F$2:$F$200,F27,$H$2:$H$200,TRIM(H27),$I$2:$I$200,TRIM(I27))=0,
0,
SUMIFS($D$2:$D$200,$F$2:$F$200,F27,$H$2:$H$200,TRIM(H27),$I$2:$I$200,TRIM(I27))
/
SUMIFS($D$2:$D$200,$H$2:$H$200,TRIM(H27),$I$2:$I$200,TRIM(I27))
*
$K$1),0),0)</f>
        <v/>
      </c>
    </row>
    <row r="28">
      <c r="A28" s="15" t="inlineStr">
        <is>
          <t>Académica</t>
        </is>
      </c>
      <c r="B28" s="9">
        <f>+CONCATENATE(LEFT(D28,3),"-",C28)</f>
        <v/>
      </c>
      <c r="C28" s="16" t="inlineStr">
        <is>
          <t>03. Posee un pensamiento crítico y analítico.</t>
        </is>
      </c>
      <c r="D28" s="17" t="inlineStr">
        <is>
          <t>Fortaleza/Logro</t>
        </is>
      </c>
      <c r="E28" s="11" t="n">
        <v>11</v>
      </c>
      <c r="F28">
        <f>IF(D28="Alerta/Mejora",
  IF(E28&lt;=3, 5, IF(E28&lt;=7, 4, IF(E28&lt;=11, 3, IF(E28&lt;=15, 2, 1)))),
  IF(E28&gt;=34, 5, IF(E28&gt;=30, 4, IF(E28&gt;=26, 3, IF(E28&gt;=22, 2, 1))))
)</f>
        <v/>
      </c>
      <c r="G28">
        <f>+E28</f>
        <v/>
      </c>
      <c r="H28">
        <f>VLOOKUP(F28, REGLA1, 2, FALSE)</f>
        <v/>
      </c>
      <c r="I28" t="inlineStr">
        <is>
          <t>SEPTIMO</t>
        </is>
      </c>
      <c r="J28" t="inlineStr">
        <is>
          <t>TM</t>
        </is>
      </c>
      <c r="K28">
        <f>IFERROR(
ROUND(
IF(
SUMIFS($D$2:$D$200,$F$2:$F$200,F28,$H$2:$H$200,TRIM(H28),$I$2:$I$200,TRIM(I28))=0,
0,
SUMIFS($D$2:$D$200,$F$2:$F$200,F28,$H$2:$H$200,TRIM(H28),$I$2:$I$200,TRIM(I28))
/
SUMIFS($D$2:$D$200,$H$2:$H$200,TRIM(H28),$I$2:$I$200,TRIM(I28))
*
$K$1),0),0)</f>
        <v/>
      </c>
    </row>
    <row r="29">
      <c r="A29" s="15" t="inlineStr">
        <is>
          <t>Académica</t>
        </is>
      </c>
      <c r="B29" s="9">
        <f>+CONCATENATE(LEFT(D29,3),"-",C29)</f>
        <v/>
      </c>
      <c r="C29" s="16" t="inlineStr">
        <is>
          <t>05. Entrega trabajos con alta calidad y orden.</t>
        </is>
      </c>
      <c r="D29" s="17" t="inlineStr">
        <is>
          <t>Fortaleza/Logro</t>
        </is>
      </c>
      <c r="E29" s="11" t="n">
        <v>12</v>
      </c>
      <c r="F29">
        <f>IF(D29="Alerta/Mejora",
IF(E29&lt;=3, 5, IF(E29&lt;=7, 4, IF(E29&lt;=11, 3, IF(E29&lt;=15, 2, 1)))),
IF(E29&gt;=34, 5, IF(E29&gt;=30, 4, IF(E29&gt;=26, 3, IF(E29&gt;=22, 2, 1))))
)</f>
        <v/>
      </c>
      <c r="G29">
        <f>+E29</f>
        <v/>
      </c>
      <c r="H29">
        <f>VLOOKUP(F29, REGLA1, 2, FALSE)</f>
        <v/>
      </c>
      <c r="I29" t="inlineStr">
        <is>
          <t>SEPTIMO</t>
        </is>
      </c>
      <c r="J29" t="inlineStr">
        <is>
          <t>TM</t>
        </is>
      </c>
      <c r="K29">
        <f>IFERROR(
ROUND(
IF(
SUMIFS($D$2:$D$200,$F$2:$F$200,F29,$H$2:$H$200,TRIM(H29),$I$2:$I$200,TRIM(I29))=0,
0,
SUMIFS($D$2:$D$200,$F$2:$F$200,F29,$H$2:$H$200,TRIM(H29),$I$2:$I$200,TRIM(I29))
/
SUMIFS($D$2:$D$200,$H$2:$H$200,TRIM(H29),$I$2:$I$200,TRIM(I29))
*
$K$1),0),0)</f>
        <v/>
      </c>
    </row>
    <row r="30">
      <c r="A30" s="15" t="inlineStr">
        <is>
          <t>Académica</t>
        </is>
      </c>
      <c r="B30" s="9">
        <f>+CONCATENATE(LEFT(D30,3),"-",C30)</f>
        <v/>
      </c>
      <c r="C30" s="16" t="inlineStr">
        <is>
          <t>07. Resuelve problemas lógicos con fluidez.</t>
        </is>
      </c>
      <c r="D30" s="17" t="inlineStr">
        <is>
          <t>Fortaleza/Logro</t>
        </is>
      </c>
      <c r="E30" s="11" t="n">
        <v>11</v>
      </c>
      <c r="F30">
        <f>IF(D30="Alerta/Mejora",
IF(E30&lt;=3, 5, IF(E30&lt;=7, 4, IF(E30&lt;=11, 3, IF(E30&lt;=15, 2, 1)))),
IF(E30&gt;=34, 5, IF(E30&gt;=30, 4, IF(E30&gt;=26, 3, IF(E30&gt;=22, 2, 1))))
)</f>
        <v/>
      </c>
      <c r="G30">
        <f>+E30</f>
        <v/>
      </c>
      <c r="H30">
        <f>VLOOKUP(F30, REGLA1, 2, FALSE)</f>
        <v/>
      </c>
      <c r="I30" t="inlineStr">
        <is>
          <t>SEPTIMO</t>
        </is>
      </c>
      <c r="J30" t="inlineStr">
        <is>
          <t>TM</t>
        </is>
      </c>
      <c r="K30">
        <f>IFERROR(
ROUND(
IF(
SUMIFS($D$2:$D$200,$F$2:$F$200,F30,$H$2:$H$200,TRIM(H30),$I$2:$I$200,TRIM(I30))=0,
0,
SUMIFS($D$2:$D$200,$F$2:$F$200,F30,$H$2:$H$200,TRIM(H30),$I$2:$I$200,TRIM(I30))
/
SUMIFS($D$2:$D$200,$H$2:$H$200,TRIM(H30),$I$2:$I$200,TRIM(I30))
*
$K$1),0),0)</f>
        <v/>
      </c>
    </row>
    <row r="31">
      <c r="A31" s="15" t="inlineStr">
        <is>
          <t>Académica</t>
        </is>
      </c>
      <c r="B31" s="9">
        <f>+CONCATENATE(LEFT(D31,3),"-",C31)</f>
        <v/>
      </c>
      <c r="C31" s="16" t="inlineStr">
        <is>
          <t>09. Utiliza vocabulario técnico preciso.</t>
        </is>
      </c>
      <c r="D31" s="17" t="inlineStr">
        <is>
          <t>Fortaleza/Logro</t>
        </is>
      </c>
      <c r="E31" s="11" t="n">
        <v>10</v>
      </c>
      <c r="F31">
        <f>IF(D31="Alerta/Mejora",
IF(E31&lt;=3, 5, IF(E31&lt;=7, 4, IF(E31&lt;=11, 3, IF(E31&lt;=15, 2, 1)))),
IF(E31&gt;=34, 5, IF(E31&gt;=30, 4, IF(E31&gt;=26, 3, IF(E31&gt;=22, 2, 1))))
)</f>
        <v/>
      </c>
      <c r="G31">
        <f>+E31</f>
        <v/>
      </c>
      <c r="H31">
        <f>VLOOKUP(F31, REGLA1, 2, FALSE)</f>
        <v/>
      </c>
      <c r="I31" t="inlineStr">
        <is>
          <t>SEPTIMO</t>
        </is>
      </c>
      <c r="J31" t="inlineStr">
        <is>
          <t>TM</t>
        </is>
      </c>
      <c r="K31">
        <f>IFERROR(
ROUND(
IF(
SUMIFS($D$2:$D$200,$F$2:$F$200,F31,$H$2:$H$200,TRIM(H31),$I$2:$I$200,TRIM(I31))=0,
0,
SUMIFS($D$2:$D$200,$F$2:$F$200,F31,$H$2:$H$200,TRIM(H31),$I$2:$I$200,TRIM(I31))
/
SUMIFS($D$2:$D$200,$H$2:$H$200,TRIM(H31),$I$2:$I$200,TRIM(I31))
*
$K$1),0),0)</f>
        <v/>
      </c>
    </row>
    <row r="32">
      <c r="A32" s="15" t="inlineStr">
        <is>
          <t>Académica</t>
        </is>
      </c>
      <c r="B32" s="9">
        <f>+CONCATENATE(LEFT(D32,3),"-",C32)</f>
        <v/>
      </c>
      <c r="C32" s="16" t="inlineStr">
        <is>
          <t>11. Posee excelentes hábitos de lectura.</t>
        </is>
      </c>
      <c r="D32" s="17" t="inlineStr">
        <is>
          <t>Fortaleza/Logro</t>
        </is>
      </c>
      <c r="E32" s="11" t="n">
        <v>10</v>
      </c>
      <c r="F32">
        <f>IF(D32="Alerta/Mejora",
IF(E32&lt;=3, 5, IF(E32&lt;=7, 4, IF(E32&lt;=11, 3, IF(E32&lt;=15, 2, 1)))),
IF(E32&gt;=34, 5, IF(E32&gt;=30, 4, IF(E32&gt;=26, 3, IF(E32&gt;=22, 2, 1))))
)</f>
        <v/>
      </c>
      <c r="G32">
        <f>+E32</f>
        <v/>
      </c>
      <c r="H32">
        <f>VLOOKUP(F32, REGLA1, 2, FALSE)</f>
        <v/>
      </c>
      <c r="I32" t="inlineStr">
        <is>
          <t>SEPTIMO</t>
        </is>
      </c>
      <c r="J32" t="inlineStr">
        <is>
          <t>TM</t>
        </is>
      </c>
      <c r="K32">
        <f>IFERROR(
ROUND(
IF(
SUMIFS($D$2:$D$200,$F$2:$F$200,F32,$H$2:$H$200,TRIM(H32),$I$2:$I$200,TRIM(I32))=0,
0,
SUMIFS($D$2:$D$200,$F$2:$F$200,F32,$H$2:$H$200,TRIM(H32),$I$2:$I$200,TRIM(I32))
/
SUMIFS($D$2:$D$200,$H$2:$H$200,TRIM(H32),$I$2:$I$200,TRIM(I32))
*
$K$1),0),0)</f>
        <v/>
      </c>
    </row>
    <row r="33">
      <c r="A33" s="15" t="inlineStr">
        <is>
          <t>Académica</t>
        </is>
      </c>
      <c r="B33" s="9">
        <f>+CONCATENATE(LEFT(D33,3),"-",C33)</f>
        <v/>
      </c>
      <c r="C33" s="16" t="inlineStr">
        <is>
          <t>13. Es autónomo en la realización de tareas.</t>
        </is>
      </c>
      <c r="D33" s="17" t="inlineStr">
        <is>
          <t>Fortaleza/Logro</t>
        </is>
      </c>
      <c r="E33" s="11" t="n">
        <v>12</v>
      </c>
      <c r="F33">
        <f>IF(D33="Alerta/Mejora",
IF(E33&lt;=3, 5, IF(E33&lt;=7, 4, IF(E33&lt;=11, 3, IF(E33&lt;=15, 2, 1)))),
IF(E33&gt;=34, 5, IF(E33&gt;=30, 4, IF(E33&gt;=26, 3, IF(E33&gt;=22, 2, 1))))
)</f>
        <v/>
      </c>
      <c r="G33">
        <f>+E33</f>
        <v/>
      </c>
      <c r="H33">
        <f>VLOOKUP(F33, REGLA1, 2, FALSE)</f>
        <v/>
      </c>
      <c r="I33" t="inlineStr">
        <is>
          <t>SEPTIMO</t>
        </is>
      </c>
      <c r="J33" t="inlineStr">
        <is>
          <t>TM</t>
        </is>
      </c>
      <c r="K33">
        <f>IFERROR(
ROUND(
IF(
SUMIFS($D$2:$D$200,$F$2:$F$200,F33,$H$2:$H$200,TRIM(H33),$I$2:$I$200,TRIM(I33))=0,
0,
SUMIFS($D$2:$D$200,$F$2:$F$200,F33,$H$2:$H$200,TRIM(H33),$I$2:$I$200,TRIM(I33))
/
SUMIFS($D$2:$D$200,$H$2:$H$200,TRIM(H33),$I$2:$I$200,TRIM(I33))
*
$K$1),0),0)</f>
        <v/>
      </c>
    </row>
    <row r="34">
      <c r="A34" s="15" t="inlineStr">
        <is>
          <t>Académica</t>
        </is>
      </c>
      <c r="B34" s="9">
        <f>+CONCATENATE(LEFT(D34,3),"-",C34)</f>
        <v/>
      </c>
      <c r="C34" s="16" t="inlineStr">
        <is>
          <t>15. Investiga más allá de lo solicitado.</t>
        </is>
      </c>
      <c r="D34" s="17" t="inlineStr">
        <is>
          <t>Fortaleza/Logro</t>
        </is>
      </c>
      <c r="E34" s="11" t="n">
        <v>13</v>
      </c>
      <c r="F34">
        <f>IF(D34="Alerta/Mejora",
IF(E34&lt;=3, 5, IF(E34&lt;=7, 4, IF(E34&lt;=11, 3, IF(E34&lt;=15, 2, 1)))),
IF(E34&gt;=34, 5, IF(E34&gt;=30, 4, IF(E34&gt;=26, 3, IF(E34&gt;=22, 2, 1))))
)</f>
        <v/>
      </c>
      <c r="G34">
        <f>+E34</f>
        <v/>
      </c>
      <c r="H34">
        <f>VLOOKUP(F34, REGLA1, 2, FALSE)</f>
        <v/>
      </c>
      <c r="I34" t="inlineStr">
        <is>
          <t>SEPTIMO</t>
        </is>
      </c>
      <c r="J34" t="inlineStr">
        <is>
          <t>TM</t>
        </is>
      </c>
      <c r="K34">
        <f>IFERROR(
ROUND(
IF(
SUMIFS($D$2:$D$200,$F$2:$F$200,F34,$H$2:$H$200,TRIM(H34),$I$2:$I$200,TRIM(I34))=0,
0,
SUMIFS($D$2:$D$200,$F$2:$F$200,F34,$H$2:$H$200,TRIM(H34),$I$2:$I$200,TRIM(I34))
/
SUMIFS($D$2:$D$200,$H$2:$H$200,TRIM(H34),$I$2:$I$200,TRIM(I34))
*
$K$1),0),0)</f>
        <v/>
      </c>
    </row>
    <row r="35">
      <c r="A35" s="15" t="inlineStr">
        <is>
          <t>Conductual</t>
        </is>
      </c>
      <c r="B35" s="9">
        <f>+CONCATENATE(LEFT(D35,3),"-",C35)</f>
        <v/>
      </c>
      <c r="C35" s="16" t="inlineStr">
        <is>
          <t>17. Respeta las normas de convivencia.</t>
        </is>
      </c>
      <c r="D35" s="17" t="inlineStr">
        <is>
          <t>Fortaleza/Logro</t>
        </is>
      </c>
      <c r="E35" s="11" t="n">
        <v>22</v>
      </c>
      <c r="F35">
        <f>IF(D35="Alerta/Mejora",
IF(E35&lt;=3, 5, IF(E35&lt;=7, 4, IF(E35&lt;=11, 3, IF(E35&lt;=15, 2, 1)))),
IF(E35&gt;=34, 5, IF(E35&gt;=30, 4, IF(E35&gt;=26, 3, IF(E35&gt;=22, 2, 1))))
)</f>
        <v/>
      </c>
      <c r="G35">
        <f>+E35</f>
        <v/>
      </c>
      <c r="H35">
        <f>VLOOKUP(F35, REGLA1, 2, FALSE)</f>
        <v/>
      </c>
      <c r="I35" t="inlineStr">
        <is>
          <t>SEPTIMO</t>
        </is>
      </c>
      <c r="J35" t="inlineStr">
        <is>
          <t>TM</t>
        </is>
      </c>
      <c r="K35">
        <f>IFERROR(
ROUND(
IF(
SUMIFS($D$2:$D$200,$F$2:$F$200,F35,$H$2:$H$200,TRIM(H35),$I$2:$I$200,TRIM(I35))=0,
0,
SUMIFS($D$2:$D$200,$F$2:$F$200,F35,$H$2:$H$200,TRIM(H35),$I$2:$I$200,TRIM(I35))
/
SUMIFS($D$2:$D$200,$H$2:$H$200,TRIM(H35),$I$2:$I$200,TRIM(I35))
*
$K$1),0),0)</f>
        <v/>
      </c>
    </row>
    <row r="36">
      <c r="A36" s="15" t="inlineStr">
        <is>
          <t>Conductual</t>
        </is>
      </c>
      <c r="B36" s="9">
        <f>+CONCATENATE(LEFT(D36,3),"-",C36)</f>
        <v/>
      </c>
      <c r="C36" s="16" t="inlineStr">
        <is>
          <t>19. Es puntual en todas sus obligaciones.</t>
        </is>
      </c>
      <c r="D36" s="17" t="inlineStr">
        <is>
          <t>Fortaleza/Logro</t>
        </is>
      </c>
      <c r="E36" s="11" t="n">
        <v>10</v>
      </c>
      <c r="F36">
        <f>IF(D36="Alerta/Mejora",
IF(E36&lt;=3, 5, IF(E36&lt;=7, 4, IF(E36&lt;=11, 3, IF(E36&lt;=15, 2, 1)))),
IF(E36&gt;=34, 5, IF(E36&gt;=30, 4, IF(E36&gt;=26, 3, IF(E36&gt;=22, 2, 1))))
)</f>
        <v/>
      </c>
      <c r="G36">
        <f>+E36</f>
        <v/>
      </c>
      <c r="H36">
        <f>VLOOKUP(F36, REGLA1, 2, FALSE)</f>
        <v/>
      </c>
      <c r="I36" t="inlineStr">
        <is>
          <t>SEPTIMO</t>
        </is>
      </c>
      <c r="J36" t="inlineStr">
        <is>
          <t>TM</t>
        </is>
      </c>
      <c r="K36">
        <f>IFERROR(
ROUND(
IF(
SUMIFS($D$2:$D$200,$F$2:$F$200,F36,$H$2:$H$200,TRIM(H36),$I$2:$I$200,TRIM(I36))=0,
0,
SUMIFS($D$2:$D$200,$F$2:$F$200,F36,$H$2:$H$200,TRIM(H36),$I$2:$I$200,TRIM(I36))
/
SUMIFS($D$2:$D$200,$H$2:$H$200,TRIM(H36),$I$2:$I$200,TRIM(I36))
*
$K$1),0),0)</f>
        <v/>
      </c>
    </row>
    <row r="37">
      <c r="A37" s="15" t="inlineStr">
        <is>
          <t>Conductual</t>
        </is>
      </c>
      <c r="B37" s="9">
        <f>+CONCATENATE(LEFT(D37,3),"-",C37)</f>
        <v/>
      </c>
      <c r="C37" s="16" t="inlineStr">
        <is>
          <t>21. Cuida el material propio y ajeno.</t>
        </is>
      </c>
      <c r="D37" s="17" t="inlineStr">
        <is>
          <t>Fortaleza/Logro</t>
        </is>
      </c>
      <c r="E37" s="11" t="n">
        <v>23</v>
      </c>
      <c r="F37">
        <f>IF(D37="Alerta/Mejora",
IF(E37&lt;=3, 5, IF(E37&lt;=7, 4, IF(E37&lt;=11, 3, IF(E37&lt;=15, 2, 1)))),
IF(E37&gt;=34, 5, IF(E37&gt;=30, 4, IF(E37&gt;=26, 3, IF(E37&gt;=22, 2, 1))))
)</f>
        <v/>
      </c>
      <c r="G37">
        <f>+E37</f>
        <v/>
      </c>
      <c r="H37">
        <f>VLOOKUP(F37, REGLA1, 2, FALSE)</f>
        <v/>
      </c>
      <c r="I37" t="inlineStr">
        <is>
          <t>SEPTIMO</t>
        </is>
      </c>
      <c r="J37" t="inlineStr">
        <is>
          <t>TM</t>
        </is>
      </c>
      <c r="K37">
        <f>IFERROR(
ROUND(
IF(
SUMIFS($D$2:$D$200,$F$2:$F$200,F37,$H$2:$H$200,TRIM(H37),$I$2:$I$200,TRIM(I37))=0,
0,
SUMIFS($D$2:$D$200,$F$2:$F$200,F37,$H$2:$H$200,TRIM(H37),$I$2:$I$200,TRIM(I37))
/
SUMIFS($D$2:$D$200,$H$2:$H$200,TRIM(H37),$I$2:$I$200,TRIM(I37))
*
$K$1),0),0)</f>
        <v/>
      </c>
    </row>
    <row r="38">
      <c r="A38" s="15" t="inlineStr">
        <is>
          <t>Conductual</t>
        </is>
      </c>
      <c r="B38" s="9">
        <f>+CONCATENATE(LEFT(D38,3),"-",C38)</f>
        <v/>
      </c>
      <c r="C38" s="16" t="inlineStr">
        <is>
          <t>23. Escucha con atención y no interrumpe.</t>
        </is>
      </c>
      <c r="D38" s="17" t="inlineStr">
        <is>
          <t>Fortaleza/Logro</t>
        </is>
      </c>
      <c r="E38" s="11" t="n">
        <v>20</v>
      </c>
      <c r="F38">
        <f>IF(D38="Alerta/Mejora",
IF(E38&lt;=3, 5, IF(E38&lt;=7, 4, IF(E38&lt;=11, 3, IF(E38&lt;=15, 2, 1)))),
IF(E38&gt;=34, 5, IF(E38&gt;=30, 4, IF(E38&gt;=26, 3, IF(E38&gt;=22, 2, 1))))
)</f>
        <v/>
      </c>
      <c r="G38">
        <f>+E38</f>
        <v/>
      </c>
      <c r="H38">
        <f>VLOOKUP(F38, REGLA1, 2, FALSE)</f>
        <v/>
      </c>
      <c r="I38" t="inlineStr">
        <is>
          <t>SEPTIMO</t>
        </is>
      </c>
      <c r="J38" t="inlineStr">
        <is>
          <t>TM</t>
        </is>
      </c>
      <c r="K38">
        <f>IFERROR(
ROUND(
IF(
SUMIFS($D$2:$D$200,$F$2:$F$200,F38,$H$2:$H$200,TRIM(H38),$I$2:$I$200,TRIM(I38))=0,
0,
SUMIFS($D$2:$D$200,$F$2:$F$200,F38,$H$2:$H$200,TRIM(H38),$I$2:$I$200,TRIM(I38))
/
SUMIFS($D$2:$D$200,$H$2:$H$200,TRIM(H38),$I$2:$I$200,TRIM(I38))
*
$K$1),0),0)</f>
        <v/>
      </c>
    </row>
    <row r="39">
      <c r="A39" s="15" t="inlineStr">
        <is>
          <t>Conductual</t>
        </is>
      </c>
      <c r="B39" s="9">
        <f>+CONCATENATE(LEFT(D39,3),"-",C39)</f>
        <v/>
      </c>
      <c r="C39" s="16" t="inlineStr">
        <is>
          <t>25. Utiliza el lenguaje de forma respetuosa.</t>
        </is>
      </c>
      <c r="D39" s="17" t="inlineStr">
        <is>
          <t>Fortaleza/Logro</t>
        </is>
      </c>
      <c r="E39" s="11" t="n">
        <v>13</v>
      </c>
      <c r="F39">
        <f>IF(D39="Alerta/Mejora",
IF(E39&lt;=3, 5, IF(E39&lt;=7, 4, IF(E39&lt;=11, 3, IF(E39&lt;=15, 2, 1)))),
IF(E39&gt;=34, 5, IF(E39&gt;=30, 4, IF(E39&gt;=26, 3, IF(E39&gt;=22, 2, 1))))
)</f>
        <v/>
      </c>
      <c r="G39">
        <f>+E39</f>
        <v/>
      </c>
      <c r="H39">
        <f>VLOOKUP(F39, REGLA1, 2, FALSE)</f>
        <v/>
      </c>
      <c r="I39" t="inlineStr">
        <is>
          <t>SEPTIMO</t>
        </is>
      </c>
      <c r="J39" t="inlineStr">
        <is>
          <t>TM</t>
        </is>
      </c>
      <c r="K39">
        <f>IFERROR(
ROUND(
IF(
SUMIFS($D$2:$D$200,$F$2:$F$200,F39,$H$2:$H$200,TRIM(H39),$I$2:$I$200,TRIM(I39))=0,
0,
SUMIFS($D$2:$D$200,$F$2:$F$200,F39,$H$2:$H$200,TRIM(H39),$I$2:$I$200,TRIM(I39))
/
SUMIFS($D$2:$D$200,$H$2:$H$200,TRIM(H39),$I$2:$I$200,TRIM(I39))
*
$K$1),0),0)</f>
        <v/>
      </c>
    </row>
    <row r="40">
      <c r="A40" s="15" t="inlineStr">
        <is>
          <t>Conductual</t>
        </is>
      </c>
      <c r="B40" s="9">
        <f>+CONCATENATE(LEFT(D40,3),"-",C40)</f>
        <v/>
      </c>
      <c r="C40" s="16" t="inlineStr">
        <is>
          <t>27. Reconoce sus errores honestamente.</t>
        </is>
      </c>
      <c r="D40" s="17" t="inlineStr">
        <is>
          <t>Fortaleza/Logro</t>
        </is>
      </c>
      <c r="E40" s="11" t="n">
        <v>15</v>
      </c>
      <c r="F40">
        <f>IF(D40="Alerta/Mejora",
IF(E40&lt;=3, 5, IF(E40&lt;=7, 4, IF(E40&lt;=11, 3, IF(E40&lt;=15, 2, 1)))),
IF(E40&gt;=34, 5, IF(E40&gt;=30, 4, IF(E40&gt;=26, 3, IF(E40&gt;=22, 2, 1))))
)</f>
        <v/>
      </c>
      <c r="G40">
        <f>+E40</f>
        <v/>
      </c>
      <c r="H40">
        <f>VLOOKUP(F40, REGLA1, 2, FALSE)</f>
        <v/>
      </c>
      <c r="I40" t="inlineStr">
        <is>
          <t>SEPTIMO</t>
        </is>
      </c>
      <c r="J40" t="inlineStr">
        <is>
          <t>TM</t>
        </is>
      </c>
      <c r="K40">
        <f>IFERROR(
ROUND(
IF(
SUMIFS($D$2:$D$200,$F$2:$F$200,F40,$H$2:$H$200,TRIM(H40),$I$2:$I$200,TRIM(I40))=0,
0,
SUMIFS($D$2:$D$200,$F$2:$F$200,F40,$H$2:$H$200,TRIM(H40),$I$2:$I$200,TRIM(I40))
/
SUMIFS($D$2:$D$200,$H$2:$H$200,TRIM(H40),$I$2:$I$200,TRIM(I40))
*
$K$1),0),0)</f>
        <v/>
      </c>
      <c r="N40" s="1" t="inlineStr">
        <is>
          <t>Suma de Cantidad de veces</t>
        </is>
      </c>
      <c r="O40" s="1" t="inlineStr">
        <is>
          <t>Etiquetas de columna</t>
        </is>
      </c>
    </row>
    <row r="41">
      <c r="A41" s="15" t="inlineStr">
        <is>
          <t>Conductual</t>
        </is>
      </c>
      <c r="B41" s="9">
        <f>+CONCATENATE(LEFT(D41,3),"-",C41)</f>
        <v/>
      </c>
      <c r="C41" s="16" t="inlineStr">
        <is>
          <t>29. Usa la tecnología con fines educativos.</t>
        </is>
      </c>
      <c r="D41" s="17" t="inlineStr">
        <is>
          <t>Fortaleza/Logro</t>
        </is>
      </c>
      <c r="E41" s="11" t="n">
        <v>3</v>
      </c>
      <c r="F41">
        <f>IF(D41="Alerta/Mejora",
IF(E41&lt;=3, 5, IF(E41&lt;=7, 4, IF(E41&lt;=11, 3, IF(E41&lt;=15, 2, 1)))),
IF(E41&gt;=34, 5, IF(E41&gt;=30, 4, IF(E41&gt;=26, 3, IF(E41&gt;=22, 2, 1))))
)</f>
        <v/>
      </c>
      <c r="G41">
        <f>+E41</f>
        <v/>
      </c>
      <c r="H41">
        <f>VLOOKUP(F41, REGLA1, 2, FALSE)</f>
        <v/>
      </c>
      <c r="I41" t="inlineStr">
        <is>
          <t>SEPTIMO</t>
        </is>
      </c>
      <c r="J41" t="inlineStr">
        <is>
          <t>TM</t>
        </is>
      </c>
      <c r="K41">
        <f>IFERROR(
ROUND(
IF(
SUMIFS($D$2:$D$200,$F$2:$F$200,F41,$H$2:$H$200,TRIM(H41),$I$2:$I$200,TRIM(I41))=0,
0,
SUMIFS($D$2:$D$200,$F$2:$F$200,F41,$H$2:$H$200,TRIM(H41),$I$2:$I$200,TRIM(I41))
/
SUMIFS($D$2:$D$200,$H$2:$H$200,TRIM(H41),$I$2:$I$200,TRIM(I41))
*
$K$1),0),0)</f>
        <v/>
      </c>
      <c r="N41" s="1" t="inlineStr">
        <is>
          <t>Etiquetas de fila</t>
        </is>
      </c>
      <c r="O41" t="inlineStr">
        <is>
          <t>Alerta/Mejora</t>
        </is>
      </c>
      <c r="P41" t="inlineStr">
        <is>
          <t>Fortaleza/Logro</t>
        </is>
      </c>
      <c r="Q41" t="inlineStr">
        <is>
          <t>Total general</t>
        </is>
      </c>
    </row>
    <row r="42">
      <c r="A42" s="15" t="inlineStr">
        <is>
          <t>Conductual</t>
        </is>
      </c>
      <c r="B42" s="9">
        <f>+CONCATENATE(LEFT(D42,3),"-",C42)</f>
        <v/>
      </c>
      <c r="C42" s="16" t="inlineStr">
        <is>
          <t>31. Mantiene el orden en espacios comunes.</t>
        </is>
      </c>
      <c r="D42" s="17" t="inlineStr">
        <is>
          <t>Fortaleza/Logro</t>
        </is>
      </c>
      <c r="E42" s="11" t="n">
        <v>11</v>
      </c>
      <c r="F42">
        <f>IF(D42="Alerta/Mejora",
IF(E42&lt;=3, 5, IF(E42&lt;=7, 4, IF(E42&lt;=11, 3, IF(E42&lt;=15, 2, 1)))),
IF(E42&gt;=34, 5, IF(E42&gt;=30, 4, IF(E42&gt;=26, 3, IF(E42&gt;=22, 2, 1))))
)</f>
        <v/>
      </c>
      <c r="G42">
        <f>+E42</f>
        <v/>
      </c>
      <c r="H42">
        <f>VLOOKUP(F42, REGLA1, 2, FALSE)</f>
        <v/>
      </c>
      <c r="I42" t="inlineStr">
        <is>
          <t>SEPTIMO</t>
        </is>
      </c>
      <c r="J42" t="inlineStr">
        <is>
          <t>TM</t>
        </is>
      </c>
      <c r="K42">
        <f>IFERROR(
ROUND(
IF(
SUMIFS($D$2:$D$200,$F$2:$F$200,F42,$H$2:$H$200,TRIM(H42),$I$2:$I$200,TRIM(I42))=0,
0,
SUMIFS($D$2:$D$200,$F$2:$F$200,F42,$H$2:$H$200,TRIM(H42),$I$2:$I$200,TRIM(I42))
/
SUMIFS($D$2:$D$200,$H$2:$H$200,TRIM(H42),$I$2:$I$200,TRIM(I42))
*
$K$1),0),0)</f>
        <v/>
      </c>
      <c r="N42" s="3" t="inlineStr">
        <is>
          <t>Académica</t>
        </is>
      </c>
      <c r="O42" t="n">
        <v>28</v>
      </c>
      <c r="P42" t="n">
        <v>90</v>
      </c>
      <c r="Q42" t="n">
        <v>118</v>
      </c>
    </row>
    <row r="43">
      <c r="A43" s="15" t="inlineStr">
        <is>
          <t>Socio-Emocional</t>
        </is>
      </c>
      <c r="B43" s="9">
        <f>+CONCATENATE(LEFT(D43,3),"-",C43)</f>
        <v/>
      </c>
      <c r="C43" s="16" t="inlineStr">
        <is>
          <t>33. Muestra resiliencia ante el fracaso.</t>
        </is>
      </c>
      <c r="D43" s="17" t="inlineStr">
        <is>
          <t>Fortaleza/Logro</t>
        </is>
      </c>
      <c r="E43" s="11" t="n">
        <v>18</v>
      </c>
      <c r="F43">
        <f>IF(D43="Alerta/Mejora",
IF(E43&lt;=3, 5, IF(E43&lt;=7, 4, IF(E43&lt;=11, 3, IF(E43&lt;=15, 2, 1)))),
IF(E43&gt;=34, 5, IF(E43&gt;=30, 4, IF(E43&gt;=26, 3, IF(E43&gt;=22, 2, 1))))
)</f>
        <v/>
      </c>
      <c r="G43">
        <f>+E43</f>
        <v/>
      </c>
      <c r="H43">
        <f>VLOOKUP(F43, REGLA1, 2, FALSE)</f>
        <v/>
      </c>
      <c r="I43" t="inlineStr">
        <is>
          <t>SEPTIMO</t>
        </is>
      </c>
      <c r="J43" t="inlineStr">
        <is>
          <t>TM</t>
        </is>
      </c>
      <c r="K43">
        <f>IFERROR(
ROUND(
IF(
SUMIFS($D$2:$D$200,$F$2:$F$200,F43,$H$2:$H$200,TRIM(H43),$I$2:$I$200,TRIM(I43))=0,
0,
SUMIFS($D$2:$D$200,$F$2:$F$200,F43,$H$2:$H$200,TRIM(H43),$I$2:$I$200,TRIM(I43))
/
SUMIFS($D$2:$D$200,$H$2:$H$200,TRIM(H43),$I$2:$I$200,TRIM(I43))
*
$K$1),0),0)</f>
        <v/>
      </c>
      <c r="N43" s="3" t="inlineStr">
        <is>
          <t>Actitudinal</t>
        </is>
      </c>
      <c r="O43" t="n">
        <v>8</v>
      </c>
      <c r="P43" t="n">
        <v>97</v>
      </c>
      <c r="Q43" t="n">
        <v>105</v>
      </c>
    </row>
    <row r="44">
      <c r="A44" s="15" t="inlineStr">
        <is>
          <t>Socio-Emocional</t>
        </is>
      </c>
      <c r="B44" s="9">
        <f>+CONCATENATE(LEFT(D44,3),"-",C44)</f>
        <v/>
      </c>
      <c r="C44" s="16" t="inlineStr">
        <is>
          <t>35. Trabaja de forma colaborativa y equitativa.</t>
        </is>
      </c>
      <c r="D44" s="17" t="inlineStr">
        <is>
          <t>Fortaleza/Logro</t>
        </is>
      </c>
      <c r="E44" s="11" t="n">
        <v>16</v>
      </c>
      <c r="F44">
        <f>IF(D44="Alerta/Mejora",
IF(E44&lt;=3, 5, IF(E44&lt;=7, 4, IF(E44&lt;=11, 3, IF(E44&lt;=15, 2, 1)))),
IF(E44&gt;=34, 5, IF(E44&gt;=30, 4, IF(E44&gt;=26, 3, IF(E44&gt;=22, 2, 1))))
)</f>
        <v/>
      </c>
      <c r="G44">
        <f>+E44</f>
        <v/>
      </c>
      <c r="H44">
        <f>VLOOKUP(F44, REGLA1, 2, FALSE)</f>
        <v/>
      </c>
      <c r="I44" t="inlineStr">
        <is>
          <t>SEPTIMO</t>
        </is>
      </c>
      <c r="J44" t="inlineStr">
        <is>
          <t>TM</t>
        </is>
      </c>
      <c r="K44">
        <f>IFERROR(
ROUND(
IF(
SUMIFS($D$2:$D$200,$F$2:$F$200,F44,$H$2:$H$200,TRIM(H44),$I$2:$I$200,TRIM(I44))=0,
0,
SUMIFS($D$2:$D$200,$F$2:$F$200,F44,$H$2:$H$200,TRIM(H44),$I$2:$I$200,TRIM(I44))
/
SUMIFS($D$2:$D$200,$H$2:$H$200,TRIM(H44),$I$2:$I$200,TRIM(I44))
*
$K$1),0),0)</f>
        <v/>
      </c>
      <c r="N44" s="3" t="inlineStr">
        <is>
          <t>Conductual</t>
        </is>
      </c>
      <c r="O44" t="n">
        <v>33</v>
      </c>
      <c r="P44" t="n">
        <v>239</v>
      </c>
      <c r="Q44" t="n">
        <v>272</v>
      </c>
    </row>
    <row r="45">
      <c r="A45" s="15" t="inlineStr">
        <is>
          <t>Socio-Emocional</t>
        </is>
      </c>
      <c r="B45" s="9">
        <f>+CONCATENATE(LEFT(D45,3),"-",C45)</f>
        <v/>
      </c>
      <c r="C45" s="16" t="inlineStr">
        <is>
          <t>37. Es empático con las necesidades ajenas.</t>
        </is>
      </c>
      <c r="D45" s="17" t="inlineStr">
        <is>
          <t>Fortaleza/Logro</t>
        </is>
      </c>
      <c r="E45" s="11" t="n">
        <v>18</v>
      </c>
      <c r="F45">
        <f>IF(D45="Alerta/Mejora",
IF(E45&lt;=3, 5, IF(E45&lt;=7, 4, IF(E45&lt;=11, 3, IF(E45&lt;=15, 2, 1)))),
IF(E45&gt;=34, 5, IF(E45&gt;=30, 4, IF(E45&gt;=26, 3, IF(E45&gt;=22, 2, 1))))
)</f>
        <v/>
      </c>
      <c r="G45">
        <f>+E45</f>
        <v/>
      </c>
      <c r="H45">
        <f>VLOOKUP(F45, REGLA1, 2, FALSE)</f>
        <v/>
      </c>
      <c r="I45" t="inlineStr">
        <is>
          <t>SEPTIMO</t>
        </is>
      </c>
      <c r="J45" t="inlineStr">
        <is>
          <t>TM</t>
        </is>
      </c>
      <c r="K45">
        <f>IFERROR(
ROUND(
IF(
SUMIFS($D$2:$D$200,$F$2:$F$200,F45,$H$2:$H$200,TRIM(H45),$I$2:$I$200,TRIM(I45))=0,
0,
SUMIFS($D$2:$D$200,$F$2:$F$200,F45,$H$2:$H$200,TRIM(H45),$I$2:$I$200,TRIM(I45))
/
SUMIFS($D$2:$D$200,$H$2:$H$200,TRIM(H45),$I$2:$I$200,TRIM(I45))
*
$K$1),0),0)</f>
        <v/>
      </c>
      <c r="N45" s="3" t="inlineStr">
        <is>
          <t>Socio-Emocional</t>
        </is>
      </c>
      <c r="O45" t="n">
        <v>20</v>
      </c>
      <c r="P45" t="n">
        <v>162</v>
      </c>
      <c r="Q45" t="n">
        <v>182</v>
      </c>
    </row>
    <row r="46">
      <c r="A46" s="15" t="inlineStr">
        <is>
          <t>Socio-Emocional</t>
        </is>
      </c>
      <c r="B46" s="9">
        <f>+CONCATENATE(LEFT(D46,3),"-",C46)</f>
        <v/>
      </c>
      <c r="C46" s="16" t="inlineStr">
        <is>
          <t>39. Posee un liderazgo positivo y ético.</t>
        </is>
      </c>
      <c r="D46" s="17" t="inlineStr">
        <is>
          <t>Fortaleza/Logro</t>
        </is>
      </c>
      <c r="E46" s="11" t="n">
        <v>4</v>
      </c>
      <c r="F46">
        <f>IF(D46="Alerta/Mejora",
IF(E46&lt;=3, 5, IF(E46&lt;=7, 4, IF(E46&lt;=11, 3, IF(E46&lt;=15, 2, 1)))),
IF(E46&gt;=34, 5, IF(E46&gt;=30, 4, IF(E46&gt;=26, 3, IF(E46&gt;=22, 2, 1))))
)</f>
        <v/>
      </c>
      <c r="G46">
        <f>+E46</f>
        <v/>
      </c>
      <c r="H46">
        <f>VLOOKUP(F46, REGLA1, 2, FALSE)</f>
        <v/>
      </c>
      <c r="I46" t="inlineStr">
        <is>
          <t>SEPTIMO</t>
        </is>
      </c>
      <c r="J46" t="inlineStr">
        <is>
          <t>TM</t>
        </is>
      </c>
      <c r="K46">
        <f>IFERROR(
ROUND(
IF(
SUMIFS($D$2:$D$200,$F$2:$F$200,F46,$H$2:$H$200,TRIM(H46),$I$2:$I$200,TRIM(I46))=0,
0,
SUMIFS($D$2:$D$200,$F$2:$F$200,F46,$H$2:$H$200,TRIM(H46),$I$2:$I$200,TRIM(I46))
/
SUMIFS($D$2:$D$200,$H$2:$H$200,TRIM(H46),$I$2:$I$200,TRIM(I46))
*
$K$1),0),0)</f>
        <v/>
      </c>
      <c r="N46" s="3" t="inlineStr">
        <is>
          <t>Total general</t>
        </is>
      </c>
      <c r="O46" t="n">
        <v>89</v>
      </c>
      <c r="P46" t="n">
        <v>588</v>
      </c>
      <c r="Q46" t="n">
        <v>677</v>
      </c>
    </row>
    <row r="47">
      <c r="A47" s="15" t="inlineStr">
        <is>
          <t>Socio-Emocional</t>
        </is>
      </c>
      <c r="B47" s="9">
        <f>+CONCATENATE(LEFT(D47,3),"-",C47)</f>
        <v/>
      </c>
      <c r="C47" s="16" t="inlineStr">
        <is>
          <t>41. Se comunica de manera asertiva.</t>
        </is>
      </c>
      <c r="D47" s="17" t="inlineStr">
        <is>
          <t>Fortaleza/Logro</t>
        </is>
      </c>
      <c r="E47" s="11" t="n">
        <v>6</v>
      </c>
      <c r="F47">
        <f>IF(D47="Alerta/Mejora",
IF(E47&lt;=3, 5, IF(E47&lt;=7, 4, IF(E47&lt;=11, 3, IF(E47&lt;=15, 2, 1)))),
IF(E47&gt;=34, 5, IF(E47&gt;=30, 4, IF(E47&gt;=26, 3, IF(E47&gt;=22, 2, 1))))
)</f>
        <v/>
      </c>
      <c r="G47">
        <f>+E47</f>
        <v/>
      </c>
      <c r="H47">
        <f>VLOOKUP(F47, REGLA1, 2, FALSE)</f>
        <v/>
      </c>
      <c r="I47" t="inlineStr">
        <is>
          <t>SEPTIMO</t>
        </is>
      </c>
      <c r="J47" t="inlineStr">
        <is>
          <t>TM</t>
        </is>
      </c>
      <c r="K47">
        <f>IFERROR(
ROUND(
IF(
SUMIFS($D$2:$D$200,$F$2:$F$200,F47,$H$2:$H$200,TRIM(H47),$I$2:$I$200,TRIM(I47))=0,
0,
SUMIFS($D$2:$D$200,$F$2:$F$200,F47,$H$2:$H$200,TRIM(H47),$I$2:$I$200,TRIM(I47))
/
SUMIFS($D$2:$D$200,$H$2:$H$200,TRIM(H47),$I$2:$I$200,TRIM(I47))
*
$K$1),0),0)</f>
        <v/>
      </c>
    </row>
    <row r="48">
      <c r="A48" s="15" t="inlineStr">
        <is>
          <t>Socio-Emocional</t>
        </is>
      </c>
      <c r="B48" s="9">
        <f>+CONCATENATE(LEFT(D48,3),"-",C48)</f>
        <v/>
      </c>
      <c r="C48" s="16" t="inlineStr">
        <is>
          <t>43. Tiene una autoestima académica sólida.</t>
        </is>
      </c>
      <c r="D48" s="17" t="inlineStr">
        <is>
          <t>Fortaleza/Logro</t>
        </is>
      </c>
      <c r="E48" s="11" t="n">
        <v>6</v>
      </c>
      <c r="F48">
        <f>IF(D48="Alerta/Mejora",
IF(E48&lt;=3, 5, IF(E48&lt;=7, 4, IF(E48&lt;=11, 3, IF(E48&lt;=15, 2, 1)))),
IF(E48&gt;=34, 5, IF(E48&gt;=30, 4, IF(E48&gt;=26, 3, IF(E48&gt;=22, 2, 1))))
)</f>
        <v/>
      </c>
      <c r="G48">
        <f>+E48</f>
        <v/>
      </c>
      <c r="H48">
        <f>VLOOKUP(F48, REGLA1, 2, FALSE)</f>
        <v/>
      </c>
      <c r="I48" t="inlineStr">
        <is>
          <t>SEPTIMO</t>
        </is>
      </c>
      <c r="J48" t="inlineStr">
        <is>
          <t>TM</t>
        </is>
      </c>
      <c r="K48">
        <f>IFERROR(
ROUND(
IF(
SUMIFS($D$2:$D$200,$F$2:$F$200,F48,$H$2:$H$200,TRIM(H48),$I$2:$I$200,TRIM(I48))=0,
0,
SUMIFS($D$2:$D$200,$F$2:$F$200,F48,$H$2:$H$200,TRIM(H48),$I$2:$I$200,TRIM(I48))
/
SUMIFS($D$2:$D$200,$H$2:$H$200,TRIM(H48),$I$2:$I$200,TRIM(I48))
*
$K$1),0),0)</f>
        <v/>
      </c>
      <c r="N48" s="1" t="n"/>
      <c r="O48" s="1" t="inlineStr">
        <is>
          <t>Etiquetas de columna</t>
        </is>
      </c>
    </row>
    <row r="49">
      <c r="A49" s="15" t="inlineStr">
        <is>
          <t>Actitudinal</t>
        </is>
      </c>
      <c r="B49" s="9">
        <f>+CONCATENATE(LEFT(D49,3),"-",C49)</f>
        <v/>
      </c>
      <c r="C49" s="16" t="inlineStr">
        <is>
          <t>45. Muestra curiosidad e iniciativa propia.</t>
        </is>
      </c>
      <c r="D49" s="17" t="inlineStr">
        <is>
          <t>Fortaleza/Logro</t>
        </is>
      </c>
      <c r="E49" s="11" t="n">
        <v>16</v>
      </c>
      <c r="F49">
        <f>IF(D49="Alerta/Mejora",
IF(E49&lt;=3, 5, IF(E49&lt;=7, 4, IF(E49&lt;=11, 3, IF(E49&lt;=15, 2, 1)))),
IF(E49&gt;=34, 5, IF(E49&gt;=30, 4, IF(E49&gt;=26, 3, IF(E49&gt;=22, 2, 1))))
)</f>
        <v/>
      </c>
      <c r="G49">
        <f>+E49</f>
        <v/>
      </c>
      <c r="H49">
        <f>VLOOKUP(F49, REGLA1, 2, FALSE)</f>
        <v/>
      </c>
      <c r="I49" t="inlineStr">
        <is>
          <t>SEPTIMO</t>
        </is>
      </c>
      <c r="J49" t="inlineStr">
        <is>
          <t>TM</t>
        </is>
      </c>
      <c r="K49">
        <f>IFERROR(
ROUND(
IF(
SUMIFS($D$2:$D$200,$F$2:$F$200,F49,$H$2:$H$200,TRIM(H49),$I$2:$I$200,TRIM(I49))=0,
0,
SUMIFS($D$2:$D$200,$F$2:$F$200,F49,$H$2:$H$200,TRIM(H49),$I$2:$I$200,TRIM(I49))
/
SUMIFS($D$2:$D$200,$H$2:$H$200,TRIM(H49),$I$2:$I$200,TRIM(I49))
*
$K$1),0),0)</f>
        <v/>
      </c>
      <c r="O49" t="inlineStr">
        <is>
          <t>Alerta/Mejora</t>
        </is>
      </c>
      <c r="P49" t="inlineStr">
        <is>
          <t>Fortaleza/Logro</t>
        </is>
      </c>
      <c r="Q49" t="inlineStr">
        <is>
          <t>(en blanco)</t>
        </is>
      </c>
      <c r="R49" t="inlineStr">
        <is>
          <t>Total general</t>
        </is>
      </c>
    </row>
    <row r="50">
      <c r="A50" s="15" t="inlineStr">
        <is>
          <t>Actitudinal</t>
        </is>
      </c>
      <c r="B50" s="9">
        <f>+CONCATENATE(LEFT(D50,3),"-",C50)</f>
        <v/>
      </c>
      <c r="C50" s="16" t="inlineStr">
        <is>
          <t>47. Es persistente en tareas complejas.</t>
        </is>
      </c>
      <c r="D50" s="17" t="inlineStr">
        <is>
          <t>Fortaleza/Logro</t>
        </is>
      </c>
      <c r="E50" s="11" t="n">
        <v>5</v>
      </c>
      <c r="F50">
        <f>IF(D50="Alerta/Mejora",
IF(E50&lt;=3, 5, IF(E50&lt;=7, 4, IF(E50&lt;=11, 3, IF(E50&lt;=15, 2, 1)))),
IF(E50&gt;=34, 5, IF(E50&gt;=30, 4, IF(E50&gt;=26, 3, IF(E50&gt;=22, 2, 1))))
)</f>
        <v/>
      </c>
      <c r="G50">
        <f>+E50</f>
        <v/>
      </c>
      <c r="H50">
        <f>VLOOKUP(F50, REGLA1, 2, FALSE)</f>
        <v/>
      </c>
      <c r="I50" t="inlineStr">
        <is>
          <t>SEPTIMO</t>
        </is>
      </c>
      <c r="J50" t="inlineStr">
        <is>
          <t>TM</t>
        </is>
      </c>
      <c r="K50">
        <f>IFERROR(
ROUND(
IF(
SUMIFS($D$2:$D$200,$F$2:$F$200,F50,$H$2:$H$200,TRIM(H50),$I$2:$I$200,TRIM(I50))=0,
0,
SUMIFS($D$2:$D$200,$F$2:$F$200,F50,$H$2:$H$200,TRIM(H50),$I$2:$I$200,TRIM(I50))
/
SUMIFS($D$2:$D$200,$H$2:$H$200,TRIM(H50),$I$2:$I$200,TRIM(I50))
*
$K$1),0),0)</f>
        <v/>
      </c>
      <c r="N50" t="inlineStr">
        <is>
          <t>Suma de Cantidad de veces</t>
        </is>
      </c>
      <c r="O50" t="n">
        <v>89</v>
      </c>
      <c r="P50" t="n">
        <v>588</v>
      </c>
      <c r="R50" t="n">
        <v>677</v>
      </c>
    </row>
    <row r="51">
      <c r="A51" s="15" t="inlineStr">
        <is>
          <t>Actitudinal</t>
        </is>
      </c>
      <c r="B51" s="9">
        <f>+CONCATENATE(LEFT(D51,3),"-",C51)</f>
        <v/>
      </c>
      <c r="C51" s="16" t="inlineStr">
        <is>
          <t>49. Acepta retroalimentación constructiva.</t>
        </is>
      </c>
      <c r="D51" s="17" t="inlineStr">
        <is>
          <t>Fortaleza/Logro</t>
        </is>
      </c>
      <c r="E51" s="11" t="n">
        <v>12</v>
      </c>
      <c r="F51">
        <f>IF(D51="Alerta/Mejora",
IF(E51&lt;=3, 5, IF(E51&lt;=7, 4, IF(E51&lt;=11, 3, IF(E51&lt;=15, 2, 1)))),
IF(E51&gt;=34, 5, IF(E51&gt;=30, 4, IF(E51&gt;=26, 3, IF(E51&gt;=22, 2, 1))))
)</f>
        <v/>
      </c>
      <c r="G51">
        <f>+E51</f>
        <v/>
      </c>
      <c r="H51">
        <f>VLOOKUP(F51, REGLA1, 2, FALSE)</f>
        <v/>
      </c>
      <c r="I51" t="inlineStr">
        <is>
          <t>SEPTIMO</t>
        </is>
      </c>
      <c r="J51" t="inlineStr">
        <is>
          <t>TM</t>
        </is>
      </c>
      <c r="K51">
        <f>IFERROR(
ROUND(
IF(
SUMIFS($D$2:$D$200,$F$2:$F$200,F51,$H$2:$H$200,TRIM(H51),$I$2:$I$200,TRIM(I51))=0,
0,
SUMIFS($D$2:$D$200,$F$2:$F$200,F51,$H$2:$H$200,TRIM(H51),$I$2:$I$200,TRIM(I51))
/
SUMIFS($D$2:$D$200,$H$2:$H$200,TRIM(H51),$I$2:$I$200,TRIM(I51))
*
$K$1),0),0)</f>
        <v/>
      </c>
    </row>
    <row r="52"/>
    <row r="53"/>
    <row r="54">
      <c r="N54" t="inlineStr">
        <is>
          <t xml:space="preserve">Nota </t>
        </is>
      </c>
      <c r="O54" t="inlineStr">
        <is>
          <t>Cantidad de alumnos</t>
        </is>
      </c>
      <c r="Q54" t="inlineStr">
        <is>
          <t>% de Alumnos</t>
        </is>
      </c>
    </row>
    <row r="55">
      <c r="N55" t="n">
        <v>1</v>
      </c>
      <c r="O55">
        <f>ROUND((COUNTIF($F$2:$F$51, N55) / 50) * 37, 0)</f>
        <v/>
      </c>
      <c r="Q55" s="18">
        <f>+O55/O$60</f>
        <v/>
      </c>
      <c r="S55" t="inlineStr">
        <is>
          <t xml:space="preserve">Muy bueno </t>
        </is>
      </c>
      <c r="T55">
        <f>+O59+O58</f>
        <v/>
      </c>
      <c r="U55" s="18">
        <f>+T55/O$60</f>
        <v/>
      </c>
    </row>
    <row r="56">
      <c r="N56" t="n">
        <v>2</v>
      </c>
      <c r="O56">
        <f>ROUND((COUNTIF($F$2:$F$51, N56) / 50) * 37, 0)</f>
        <v/>
      </c>
      <c r="Q56" s="18">
        <f>+O56/O$60</f>
        <v/>
      </c>
      <c r="S56" t="inlineStr">
        <is>
          <t>Bueno</t>
        </is>
      </c>
      <c r="T56">
        <f>+O57</f>
        <v/>
      </c>
      <c r="U56" s="18">
        <f>+T56/O$60</f>
        <v/>
      </c>
    </row>
    <row r="57">
      <c r="N57" t="n">
        <v>3</v>
      </c>
      <c r="O57">
        <f>ROUND((COUNTIF($F$2:$F$51, N57) / 50) * 37, 0)</f>
        <v/>
      </c>
      <c r="Q57" s="18">
        <f>+O57/O$60</f>
        <v/>
      </c>
      <c r="S57" t="inlineStr">
        <is>
          <t>A mejorar</t>
        </is>
      </c>
      <c r="T57">
        <f>+O55+O56</f>
        <v/>
      </c>
      <c r="U57" s="18">
        <f>+T57/O$60</f>
        <v/>
      </c>
    </row>
    <row r="58">
      <c r="N58" t="n">
        <v>4</v>
      </c>
      <c r="O58">
        <f>ROUND((COUNTIF($F$2:$F$51, N58) / 50) * 37, 0)</f>
        <v/>
      </c>
      <c r="Q58" s="18">
        <f>+O58/O$60</f>
        <v/>
      </c>
    </row>
    <row r="59">
      <c r="N59" t="n">
        <v>5</v>
      </c>
      <c r="O59">
        <f>ROUND((COUNTIF($F$2:$F$51, N59) / 50) * 37, 0)</f>
        <v/>
      </c>
      <c r="Q59" s="18">
        <f>+O59/O$60</f>
        <v/>
      </c>
    </row>
    <row r="60">
      <c r="O60">
        <f>SUM(O55:O59)</f>
        <v/>
      </c>
    </row>
    <row r="61"/>
    <row r="62"/>
    <row r="63">
      <c r="N63">
        <f>+N54</f>
        <v/>
      </c>
      <c r="O63" t="inlineStr">
        <is>
          <t>VALORACION</t>
        </is>
      </c>
    </row>
    <row r="64">
      <c r="N64">
        <f>+N55</f>
        <v/>
      </c>
      <c r="O64">
        <f>+O68</f>
        <v/>
      </c>
    </row>
    <row r="65">
      <c r="N65">
        <f>+N56</f>
        <v/>
      </c>
      <c r="O65">
        <f>+S57</f>
        <v/>
      </c>
    </row>
    <row r="66">
      <c r="N66">
        <f>+N57</f>
        <v/>
      </c>
      <c r="O66">
        <f>+S56</f>
        <v/>
      </c>
    </row>
    <row r="67">
      <c r="N67">
        <f>+N58</f>
        <v/>
      </c>
      <c r="O67">
        <f>+O68</f>
        <v/>
      </c>
    </row>
    <row r="68">
      <c r="N68">
        <f>+N59</f>
        <v/>
      </c>
      <c r="O68">
        <f>+S57</f>
        <v/>
      </c>
    </row>
    <row r="69"/>
    <row r="70">
      <c r="N70" s="1" t="inlineStr">
        <is>
          <t>Etiquetas de fila</t>
        </is>
      </c>
      <c r="O70" t="inlineStr">
        <is>
          <t>Cuenta de NF</t>
        </is>
      </c>
      <c r="P70" t="inlineStr">
        <is>
          <t>Suma de NF</t>
        </is>
      </c>
    </row>
    <row r="71">
      <c r="N71" s="3" t="n">
        <v>1</v>
      </c>
      <c r="O71" t="n">
        <v>34</v>
      </c>
      <c r="P71" t="n">
        <v>0</v>
      </c>
    </row>
    <row r="72">
      <c r="N72" s="3" t="n">
        <v>2</v>
      </c>
      <c r="O72" t="n">
        <v>5</v>
      </c>
      <c r="P72" t="n">
        <v>0</v>
      </c>
    </row>
    <row r="73">
      <c r="N73" s="3" t="n">
        <v>3</v>
      </c>
      <c r="O73" t="n">
        <v>4</v>
      </c>
      <c r="P73" t="n">
        <v>0</v>
      </c>
    </row>
    <row r="74">
      <c r="N74" s="3" t="n">
        <v>4</v>
      </c>
      <c r="O74" t="n">
        <v>4</v>
      </c>
      <c r="P74" t="n">
        <v>0</v>
      </c>
    </row>
    <row r="75">
      <c r="N75" s="3" t="n">
        <v>5</v>
      </c>
      <c r="O75" t="n">
        <v>3</v>
      </c>
      <c r="P75" t="n">
        <v>0</v>
      </c>
    </row>
    <row r="76">
      <c r="N76" s="3" t="inlineStr">
        <is>
          <t>Total general</t>
        </is>
      </c>
      <c r="O76" t="n">
        <v>50</v>
      </c>
      <c r="P7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cols>
    <col width="18.28515625" customWidth="1" min="1" max="1"/>
    <col width="58.42578125" customWidth="1" min="2" max="2"/>
    <col width="60.140625" customWidth="1" min="3" max="3"/>
    <col width="20.140625" customWidth="1" min="4" max="4"/>
    <col width="17.140625" customWidth="1" min="5" max="5"/>
    <col width="6" customWidth="1" min="6" max="6"/>
    <col width="3" customWidth="1" min="7" max="7"/>
    <col width="12.42578125" customWidth="1" min="8" max="8"/>
    <col width="8.7109375" customWidth="1" min="9" max="9"/>
    <col width="7.28515625" customWidth="1" min="10" max="10"/>
    <col width="11" customWidth="1" min="11" max="11"/>
    <col width="3.7109375" customWidth="1" min="12" max="12"/>
    <col width="26" customWidth="1" min="14" max="14"/>
    <col width="22.85546875" customWidth="1" min="15" max="15"/>
    <col width="14.85546875" customWidth="1" min="16" max="16"/>
    <col width="12.5703125" customWidth="1" min="17" max="17"/>
    <col width="14.85546875" customWidth="1" min="18" max="18"/>
    <col width="12.5703125" customWidth="1" min="19" max="19"/>
  </cols>
  <sheetData>
    <row r="1">
      <c r="A1" s="4" t="inlineStr">
        <is>
          <t>Categoría</t>
        </is>
      </c>
      <c r="B1" s="5" t="inlineStr">
        <is>
          <t xml:space="preserve">Indicador </t>
        </is>
      </c>
      <c r="C1" s="5" t="inlineStr">
        <is>
          <t xml:space="preserve">Indicador </t>
        </is>
      </c>
      <c r="D1" s="6" t="inlineStr">
        <is>
          <t>Tipo de Indicador</t>
        </is>
      </c>
      <c r="E1" s="7" t="inlineStr">
        <is>
          <t>Cantidad de veces</t>
        </is>
      </c>
      <c r="F1" t="inlineStr">
        <is>
          <t>NOTA</t>
        </is>
      </c>
      <c r="G1" t="inlineStr">
        <is>
          <t>PR</t>
        </is>
      </c>
      <c r="H1" t="inlineStr">
        <is>
          <t>VALORACION</t>
        </is>
      </c>
      <c r="I1" t="inlineStr">
        <is>
          <t>GRADO</t>
        </is>
      </c>
      <c r="J1" t="inlineStr">
        <is>
          <t>TURNO</t>
        </is>
      </c>
      <c r="K1" t="inlineStr">
        <is>
          <t>NF</t>
        </is>
      </c>
      <c r="L1">
        <f>+'[2]Datos '!G14</f>
        <v/>
      </c>
      <c r="N1">
        <f>+GETPIVOTDATA("Cantidad de veces",$N$48)</f>
        <v/>
      </c>
      <c r="O1">
        <f>+GETPIVOTDATA("Cantidad de veces",$P$3)</f>
        <v/>
      </c>
    </row>
    <row r="2">
      <c r="A2" s="8" t="inlineStr">
        <is>
          <t>Académica</t>
        </is>
      </c>
      <c r="B2" s="9">
        <f>+CONCATENATE(LEFT(D2,3),"-",C2)</f>
        <v/>
      </c>
      <c r="C2" s="9" t="inlineStr">
        <is>
          <t>02. Presenta lagunas en conocimientos previos.</t>
        </is>
      </c>
      <c r="D2" s="10" t="inlineStr">
        <is>
          <t>Alerta/Mejora</t>
        </is>
      </c>
      <c r="E2" s="11" t="n">
        <v>12</v>
      </c>
      <c r="F2">
        <f>VLOOKUP(G2, $L$3:$N$7, 3, 1)</f>
        <v/>
      </c>
      <c r="G2">
        <f>+L$1-E2</f>
        <v/>
      </c>
      <c r="H2">
        <f>VLOOKUP(F2, REGLA1, 2, FALSE)</f>
        <v/>
      </c>
      <c r="I2" t="inlineStr">
        <is>
          <t>SEPTIMO</t>
        </is>
      </c>
      <c r="J2" t="inlineStr">
        <is>
          <t>TT</t>
        </is>
      </c>
      <c r="K2" s="19">
        <f>ROUND((COUNTIF(F2, N$3) / 50) * $L$1, 0)</f>
        <v/>
      </c>
    </row>
    <row r="3">
      <c r="A3" s="8" t="inlineStr">
        <is>
          <t>Académica</t>
        </is>
      </c>
      <c r="B3" s="9">
        <f>+CONCATENATE(LEFT(D3,3),"-",C3)</f>
        <v/>
      </c>
      <c r="C3" s="9" t="inlineStr">
        <is>
          <t>04. Se limita a memorizar sin comprender.</t>
        </is>
      </c>
      <c r="D3" s="10" t="inlineStr">
        <is>
          <t>Alerta/Mejora</t>
        </is>
      </c>
      <c r="E3" s="11" t="n">
        <v>8</v>
      </c>
      <c r="F3">
        <f>VLOOKUP(G3, $L$3:$N$7, 3, 1)</f>
        <v/>
      </c>
      <c r="G3">
        <f>+L$1-E3</f>
        <v/>
      </c>
      <c r="H3">
        <f>VLOOKUP(F3, REGLA1, 2, FALSE)</f>
        <v/>
      </c>
      <c r="I3" t="inlineStr">
        <is>
          <t>SEPTIMO</t>
        </is>
      </c>
      <c r="J3" t="inlineStr">
        <is>
          <t>TT</t>
        </is>
      </c>
      <c r="K3" s="19">
        <f>ROUND((COUNTIF(F3, N$3) / 50) * $L$1, 0)</f>
        <v/>
      </c>
      <c r="L3" s="12" t="n">
        <v>1</v>
      </c>
      <c r="M3" s="12" t="n">
        <v>8</v>
      </c>
      <c r="N3" s="13" t="n">
        <v>1</v>
      </c>
      <c r="P3" s="1" t="inlineStr">
        <is>
          <t>Promedio de Cantidad de veces</t>
        </is>
      </c>
      <c r="Q3" s="1" t="inlineStr">
        <is>
          <t>Etiquetas de columna</t>
        </is>
      </c>
    </row>
    <row r="4">
      <c r="A4" s="8" t="inlineStr">
        <is>
          <t>Académica</t>
        </is>
      </c>
      <c r="B4" s="9">
        <f>+CONCATENATE(LEFT(D4,3),"-",C4)</f>
        <v/>
      </c>
      <c r="C4" s="9" t="inlineStr">
        <is>
          <t>06. Entrega tareas incompletas o descuidadas.</t>
        </is>
      </c>
      <c r="D4" s="10" t="inlineStr">
        <is>
          <t>Alerta/Mejora</t>
        </is>
      </c>
      <c r="E4" s="11" t="n">
        <v>3</v>
      </c>
      <c r="F4">
        <f>VLOOKUP(G4, $L$3:$N$7, 3, 1)</f>
        <v/>
      </c>
      <c r="G4">
        <f>+L$1-E4</f>
        <v/>
      </c>
      <c r="H4">
        <f>VLOOKUP(F4, REGLA1, 2, FALSE)</f>
        <v/>
      </c>
      <c r="I4" t="inlineStr">
        <is>
          <t>SEPTIMO</t>
        </is>
      </c>
      <c r="J4" t="inlineStr">
        <is>
          <t>TT</t>
        </is>
      </c>
      <c r="K4" s="19">
        <f>ROUND((COUNTIF(F4, N$3) / 50) * $L$1, 0)</f>
        <v/>
      </c>
      <c r="L4" s="12" t="n"/>
      <c r="M4" s="12" t="n">
        <v>9</v>
      </c>
      <c r="N4" s="13" t="n">
        <v>2</v>
      </c>
      <c r="P4" s="1" t="inlineStr">
        <is>
          <t>Etiquetas de fila</t>
        </is>
      </c>
      <c r="Q4" t="inlineStr">
        <is>
          <t>Alerta/Mejora</t>
        </is>
      </c>
      <c r="R4" t="inlineStr">
        <is>
          <t>Fortaleza/Logro</t>
        </is>
      </c>
      <c r="S4" t="inlineStr">
        <is>
          <t>Total general</t>
        </is>
      </c>
    </row>
    <row r="5">
      <c r="A5" s="8" t="inlineStr">
        <is>
          <t>Académica</t>
        </is>
      </c>
      <c r="B5" s="9">
        <f>+CONCATENATE(LEFT(D5,3),"-",C5)</f>
        <v/>
      </c>
      <c r="C5" s="9" t="inlineStr">
        <is>
          <t>08. Se bloquea ante desafíos matemáticos.</t>
        </is>
      </c>
      <c r="D5" s="10" t="inlineStr">
        <is>
          <t>Alerta/Mejora</t>
        </is>
      </c>
      <c r="E5" s="11" t="n">
        <v>7</v>
      </c>
      <c r="F5">
        <f>VLOOKUP(G5, $L$3:$N$7, 3, 1)</f>
        <v/>
      </c>
      <c r="G5">
        <f>+L$1-E5</f>
        <v/>
      </c>
      <c r="H5">
        <f>VLOOKUP(F5, REGLA1, 2, FALSE)</f>
        <v/>
      </c>
      <c r="I5" t="inlineStr">
        <is>
          <t>SEPTIMO</t>
        </is>
      </c>
      <c r="J5" t="inlineStr">
        <is>
          <t>TT</t>
        </is>
      </c>
      <c r="K5" s="19">
        <f>ROUND((COUNTIF(F5, N$3) / 50) * $L$1, 0)</f>
        <v/>
      </c>
      <c r="L5" s="12" t="n">
        <v>10</v>
      </c>
      <c r="M5" s="12" t="n">
        <v>11</v>
      </c>
      <c r="N5" s="13" t="n">
        <v>3</v>
      </c>
      <c r="P5" s="3" t="inlineStr">
        <is>
          <t>Académica</t>
        </is>
      </c>
      <c r="Q5" t="n">
        <v>2.375</v>
      </c>
      <c r="R5" t="n">
        <v>12.375</v>
      </c>
      <c r="S5" t="n">
        <v>7.375</v>
      </c>
    </row>
    <row r="6">
      <c r="A6" s="8" t="inlineStr">
        <is>
          <t>Académica</t>
        </is>
      </c>
      <c r="B6" s="9">
        <f>+CONCATENATE(LEFT(D6,3),"-",C6)</f>
        <v/>
      </c>
      <c r="C6" s="9" t="inlineStr">
        <is>
          <t>10. Tiene dificultades de expresión oral/escrita.</t>
        </is>
      </c>
      <c r="D6" s="10" t="inlineStr">
        <is>
          <t>Alerta/Mejora</t>
        </is>
      </c>
      <c r="E6" s="11" t="n">
        <v>2</v>
      </c>
      <c r="F6">
        <f>VLOOKUP(G6, $L$3:$N$7, 3, 1)</f>
        <v/>
      </c>
      <c r="G6">
        <f>+L$1-E6</f>
        <v/>
      </c>
      <c r="H6">
        <f>VLOOKUP(F6, REGLA1, 2, FALSE)</f>
        <v/>
      </c>
      <c r="I6" t="inlineStr">
        <is>
          <t>SEPTIMO</t>
        </is>
      </c>
      <c r="J6" t="inlineStr">
        <is>
          <t>TT</t>
        </is>
      </c>
      <c r="K6" s="19">
        <f>ROUND((COUNTIF(F6, N$3) / 50) * $L$1, 0)</f>
        <v/>
      </c>
      <c r="L6" s="12" t="n">
        <v>12</v>
      </c>
      <c r="M6" s="12" t="n">
        <v>13</v>
      </c>
      <c r="N6" s="13" t="n">
        <v>4</v>
      </c>
      <c r="P6" s="3" t="inlineStr">
        <is>
          <t>Actitudinal</t>
        </is>
      </c>
      <c r="Q6" t="n">
        <v>0.6666666666666666</v>
      </c>
      <c r="R6" t="n">
        <v>11.33333333333333</v>
      </c>
      <c r="S6" t="n">
        <v>6</v>
      </c>
    </row>
    <row r="7">
      <c r="A7" s="8" t="inlineStr">
        <is>
          <t>Académica</t>
        </is>
      </c>
      <c r="B7" s="9">
        <f>+CONCATENATE(LEFT(D7,3),"-",C7)</f>
        <v/>
      </c>
      <c r="C7" s="9" t="inlineStr">
        <is>
          <t>12. Muestra rechazo o desinterés por la lectura.</t>
        </is>
      </c>
      <c r="D7" s="10" t="inlineStr">
        <is>
          <t>Alerta/Mejora</t>
        </is>
      </c>
      <c r="E7" s="11" t="n">
        <v>3</v>
      </c>
      <c r="F7">
        <f>VLOOKUP(G7, $L$3:$N$7, 3, 1)</f>
        <v/>
      </c>
      <c r="G7">
        <f>+L$1-E7</f>
        <v/>
      </c>
      <c r="H7">
        <f>VLOOKUP(F7, REGLA1, 2, FALSE)</f>
        <v/>
      </c>
      <c r="I7" t="inlineStr">
        <is>
          <t>SEPTIMO</t>
        </is>
      </c>
      <c r="J7" t="inlineStr">
        <is>
          <t>TT</t>
        </is>
      </c>
      <c r="K7" s="19">
        <f>ROUND((COUNTIF(F7, N$3) / 50) * $L$1, 0)</f>
        <v/>
      </c>
      <c r="L7" s="12" t="n"/>
      <c r="M7" s="12" t="n">
        <v>14</v>
      </c>
      <c r="N7" s="13" t="n">
        <v>5</v>
      </c>
      <c r="P7" s="3" t="inlineStr">
        <is>
          <t>Conductual</t>
        </is>
      </c>
      <c r="Q7" t="n">
        <v>0.5</v>
      </c>
      <c r="R7" t="n">
        <v>13.125</v>
      </c>
      <c r="S7" t="n">
        <v>6.8125</v>
      </c>
    </row>
    <row r="8">
      <c r="A8" s="8" t="inlineStr">
        <is>
          <t>Académica</t>
        </is>
      </c>
      <c r="B8" s="9">
        <f>+CONCATENATE(LEFT(D8,3),"-",C8)</f>
        <v/>
      </c>
      <c r="C8" s="9" t="inlineStr">
        <is>
          <t>14. Requiere supervisión constante para avanzar.</t>
        </is>
      </c>
      <c r="D8" s="10" t="inlineStr">
        <is>
          <t>Alerta/Mejora</t>
        </is>
      </c>
      <c r="E8" s="11" t="n">
        <v>3</v>
      </c>
      <c r="F8">
        <f>VLOOKUP(G8, $L$3:$N$7, 3, 1)</f>
        <v/>
      </c>
      <c r="G8">
        <f>+L$1-E8</f>
        <v/>
      </c>
      <c r="H8">
        <f>VLOOKUP(F8, REGLA1, 2, FALSE)</f>
        <v/>
      </c>
      <c r="I8" t="inlineStr">
        <is>
          <t>SEPTIMO</t>
        </is>
      </c>
      <c r="J8" t="inlineStr">
        <is>
          <t>TT</t>
        </is>
      </c>
      <c r="K8" s="19">
        <f>ROUND((COUNTIF(F8, N$3) / 50) * $L$1, 0)</f>
        <v/>
      </c>
      <c r="P8" s="3" t="inlineStr">
        <is>
          <t>Socio-Emocional</t>
        </is>
      </c>
      <c r="Q8" t="n">
        <v>1.5</v>
      </c>
      <c r="R8" t="n">
        <v>12</v>
      </c>
      <c r="S8" t="n">
        <v>6.75</v>
      </c>
    </row>
    <row r="9">
      <c r="A9" s="8" t="inlineStr">
        <is>
          <t>Académica</t>
        </is>
      </c>
      <c r="B9" s="9">
        <f>+CONCATENATE(LEFT(D9,3),"-",C9)</f>
        <v/>
      </c>
      <c r="C9" s="9" t="inlineStr">
        <is>
          <t>16. Muestra apatía por temas nuevos.</t>
        </is>
      </c>
      <c r="D9" s="10" t="inlineStr">
        <is>
          <t>Alerta/Mejora</t>
        </is>
      </c>
      <c r="E9" s="11" t="n">
        <v>0</v>
      </c>
      <c r="F9">
        <f>VLOOKUP(G9, $L$3:$N$7, 3, 1)</f>
        <v/>
      </c>
      <c r="G9">
        <f>+L$1-E9</f>
        <v/>
      </c>
      <c r="H9">
        <f>VLOOKUP(F9, REGLA1, 2, FALSE)</f>
        <v/>
      </c>
      <c r="I9" t="inlineStr">
        <is>
          <t>SEPTIMO</t>
        </is>
      </c>
      <c r="J9" t="inlineStr">
        <is>
          <t>TT</t>
        </is>
      </c>
      <c r="K9" s="19">
        <f>ROUND((COUNTIF(F9, N$3) / 50) * $L$1, 0)</f>
        <v/>
      </c>
      <c r="P9" s="3" t="inlineStr">
        <is>
          <t>Total general</t>
        </is>
      </c>
      <c r="Q9" t="n">
        <v>1.36</v>
      </c>
      <c r="R9" t="n">
        <v>12.4</v>
      </c>
      <c r="S9" t="n">
        <v>6.88</v>
      </c>
    </row>
    <row r="10">
      <c r="A10" s="8" t="inlineStr">
        <is>
          <t>Conductual</t>
        </is>
      </c>
      <c r="B10" s="9">
        <f>+CONCATENATE(LEFT(D10,3),"-",C10)</f>
        <v/>
      </c>
      <c r="C10" s="9" t="inlineStr">
        <is>
          <t>18. Desafía activamente la autoridad.</t>
        </is>
      </c>
      <c r="D10" s="10" t="inlineStr">
        <is>
          <t>Alerta/Mejora</t>
        </is>
      </c>
      <c r="E10" s="11" t="n">
        <v>0</v>
      </c>
      <c r="F10">
        <f>VLOOKUP(G10, $L$3:$N$7, 3, 1)</f>
        <v/>
      </c>
      <c r="G10">
        <f>+L$1-E10</f>
        <v/>
      </c>
      <c r="H10">
        <f>VLOOKUP(F10, REGLA1, 2, FALSE)</f>
        <v/>
      </c>
      <c r="I10" t="inlineStr">
        <is>
          <t>SEPTIMO</t>
        </is>
      </c>
      <c r="J10" t="inlineStr">
        <is>
          <t>TT</t>
        </is>
      </c>
      <c r="K10" s="19">
        <f>ROUND((COUNTIF(F10, N$3) / 50) * $L$1, 0)</f>
        <v/>
      </c>
    </row>
    <row r="11">
      <c r="A11" s="8" t="inlineStr">
        <is>
          <t>Conductual</t>
        </is>
      </c>
      <c r="B11" s="9">
        <f>+CONCATENATE(LEFT(D11,3),"-",C11)</f>
        <v/>
      </c>
      <c r="C11" s="9" t="inlineStr">
        <is>
          <t>20. Presenta retardos o inasistencias frecuentes.</t>
        </is>
      </c>
      <c r="D11" s="10" t="inlineStr">
        <is>
          <t>Alerta/Mejora</t>
        </is>
      </c>
      <c r="E11" s="11" t="n">
        <v>2</v>
      </c>
      <c r="F11">
        <f>VLOOKUP(G11, $L$3:$N$7, 3, 1)</f>
        <v/>
      </c>
      <c r="G11">
        <f>+L$1-E11</f>
        <v/>
      </c>
      <c r="H11">
        <f>VLOOKUP(F11, REGLA1, 2, FALSE)</f>
        <v/>
      </c>
      <c r="I11" t="inlineStr">
        <is>
          <t>SEPTIMO</t>
        </is>
      </c>
      <c r="J11" t="inlineStr">
        <is>
          <t>TT</t>
        </is>
      </c>
      <c r="K11" s="19">
        <f>ROUND((COUNTIF(F11, N$3) / 50) * $L$1, 0)</f>
        <v/>
      </c>
    </row>
    <row r="12">
      <c r="A12" s="8" t="inlineStr">
        <is>
          <t>Conductual</t>
        </is>
      </c>
      <c r="B12" s="9">
        <f>+CONCATENATE(LEFT(D12,3),"-",C12)</f>
        <v/>
      </c>
      <c r="C12" s="9" t="inlineStr">
        <is>
          <t>22. Daña el mobiliario o materiales escolares.</t>
        </is>
      </c>
      <c r="D12" s="10" t="inlineStr">
        <is>
          <t>Alerta/Mejora</t>
        </is>
      </c>
      <c r="E12" s="11" t="n">
        <v>0</v>
      </c>
      <c r="F12">
        <f>VLOOKUP(G12, $L$3:$N$7, 3, 1)</f>
        <v/>
      </c>
      <c r="G12">
        <f>+L$1-E12</f>
        <v/>
      </c>
      <c r="H12">
        <f>VLOOKUP(F12, REGLA1, 2, FALSE)</f>
        <v/>
      </c>
      <c r="I12" t="inlineStr">
        <is>
          <t>SEPTIMO</t>
        </is>
      </c>
      <c r="J12" t="inlineStr">
        <is>
          <t>TT</t>
        </is>
      </c>
      <c r="K12" s="19">
        <f>ROUND((COUNTIF(F12, N$3) / 50) * $L$1, 0)</f>
        <v/>
      </c>
    </row>
    <row r="13">
      <c r="A13" s="8" t="inlineStr">
        <is>
          <t>Conductual</t>
        </is>
      </c>
      <c r="B13" s="9">
        <f>+CONCATENATE(LEFT(D13,3),"-",C13)</f>
        <v/>
      </c>
      <c r="C13" s="9" t="inlineStr">
        <is>
          <t>24. Interrumpe constantemente el flujo de clase.</t>
        </is>
      </c>
      <c r="D13" s="10" t="inlineStr">
        <is>
          <t>Alerta/Mejora</t>
        </is>
      </c>
      <c r="E13" s="11" t="n">
        <v>2</v>
      </c>
      <c r="F13">
        <f>VLOOKUP(G13, $L$3:$N$7, 3, 1)</f>
        <v/>
      </c>
      <c r="G13">
        <f>+L$1-E13</f>
        <v/>
      </c>
      <c r="H13">
        <f>VLOOKUP(F13, REGLA1, 2, FALSE)</f>
        <v/>
      </c>
      <c r="I13" t="inlineStr">
        <is>
          <t>SEPTIMO</t>
        </is>
      </c>
      <c r="J13" t="inlineStr">
        <is>
          <t>TT</t>
        </is>
      </c>
      <c r="K13" s="19">
        <f>ROUND((COUNTIF(F13, N$3) / 50) * $L$1, 0)</f>
        <v/>
      </c>
    </row>
    <row r="14">
      <c r="A14" s="8" t="inlineStr">
        <is>
          <t>Conductual</t>
        </is>
      </c>
      <c r="B14" s="9">
        <f>+CONCATENATE(LEFT(D14,3),"-",C14)</f>
        <v/>
      </c>
      <c r="C14" s="9" t="inlineStr">
        <is>
          <t>26. Emplea lenguaje soez o despectivo.</t>
        </is>
      </c>
      <c r="D14" s="10" t="inlineStr">
        <is>
          <t>Alerta/Mejora</t>
        </is>
      </c>
      <c r="E14" s="11" t="n">
        <v>0</v>
      </c>
      <c r="F14">
        <f>VLOOKUP(G14, $L$3:$N$7, 3, 1)</f>
        <v/>
      </c>
      <c r="G14">
        <f>+L$1-E14</f>
        <v/>
      </c>
      <c r="H14">
        <f>VLOOKUP(F14, REGLA1, 2, FALSE)</f>
        <v/>
      </c>
      <c r="I14" t="inlineStr">
        <is>
          <t>SEPTIMO</t>
        </is>
      </c>
      <c r="J14" t="inlineStr">
        <is>
          <t>TT</t>
        </is>
      </c>
      <c r="K14" s="19">
        <f>ROUND((COUNTIF(F14, N$3) / 50) * $L$1, 0)</f>
        <v/>
      </c>
    </row>
    <row r="15">
      <c r="A15" s="8" t="inlineStr">
        <is>
          <t>Conductual</t>
        </is>
      </c>
      <c r="B15" s="9">
        <f>+CONCATENATE(LEFT(D15,3),"-",C15)</f>
        <v/>
      </c>
      <c r="C15" s="9" t="inlineStr">
        <is>
          <t>28. Miente o culpa a otros por sus actos.</t>
        </is>
      </c>
      <c r="D15" s="10" t="inlineStr">
        <is>
          <t>Alerta/Mejora</t>
        </is>
      </c>
      <c r="E15" s="11" t="n">
        <v>0</v>
      </c>
      <c r="F15">
        <f>VLOOKUP(G15, $L$3:$N$7, 3, 1)</f>
        <v/>
      </c>
      <c r="G15">
        <f>+L$1-E15</f>
        <v/>
      </c>
      <c r="H15">
        <f>VLOOKUP(F15, REGLA1, 2, FALSE)</f>
        <v/>
      </c>
      <c r="I15" t="inlineStr">
        <is>
          <t>SEPTIMO</t>
        </is>
      </c>
      <c r="J15" t="inlineStr">
        <is>
          <t>TT</t>
        </is>
      </c>
      <c r="K15" s="19">
        <f>ROUND((COUNTIF(F15, N$3) / 50) * $L$1, 0)</f>
        <v/>
      </c>
    </row>
    <row r="16">
      <c r="A16" s="8" t="inlineStr">
        <is>
          <t>Conductual</t>
        </is>
      </c>
      <c r="B16" s="9">
        <f>+CONCATENATE(LEFT(D16,3),"-",C16)</f>
        <v/>
      </c>
      <c r="C16" s="9" t="inlineStr">
        <is>
          <t>30. Se distrae con dispositivos electrónicos.</t>
        </is>
      </c>
      <c r="D16" s="10" t="inlineStr">
        <is>
          <t>Alerta/Mejora</t>
        </is>
      </c>
      <c r="E16" s="11" t="n">
        <v>0</v>
      </c>
      <c r="F16">
        <f>VLOOKUP(G16, $L$3:$N$7, 3, 1)</f>
        <v/>
      </c>
      <c r="G16">
        <f>+L$1-E16</f>
        <v/>
      </c>
      <c r="H16">
        <f>VLOOKUP(F16, REGLA1, 2, FALSE)</f>
        <v/>
      </c>
      <c r="I16" t="inlineStr">
        <is>
          <t>SEPTIMO</t>
        </is>
      </c>
      <c r="J16" t="inlineStr">
        <is>
          <t>TT</t>
        </is>
      </c>
      <c r="K16" s="19">
        <f>ROUND((COUNTIF(F16, N$3) / 50) * $L$1, 0)</f>
        <v/>
      </c>
    </row>
    <row r="17">
      <c r="A17" s="8" t="inlineStr">
        <is>
          <t>Conductual</t>
        </is>
      </c>
      <c r="B17" s="9">
        <f>+CONCATENATE(LEFT(D17,3),"-",C17)</f>
        <v/>
      </c>
      <c r="C17" s="9" t="inlineStr">
        <is>
          <t>32. Fomenta el desorden o el caos en el grupo.</t>
        </is>
      </c>
      <c r="D17" s="10" t="inlineStr">
        <is>
          <t>Alerta/Mejora</t>
        </is>
      </c>
      <c r="E17" s="11" t="n">
        <v>0</v>
      </c>
      <c r="F17">
        <f>VLOOKUP(G17, $L$3:$N$7, 3, 1)</f>
        <v/>
      </c>
      <c r="G17">
        <f>+L$1-E17</f>
        <v/>
      </c>
      <c r="H17">
        <f>VLOOKUP(F17, REGLA1, 2, FALSE)</f>
        <v/>
      </c>
      <c r="I17" t="inlineStr">
        <is>
          <t>SEPTIMO</t>
        </is>
      </c>
      <c r="J17" t="inlineStr">
        <is>
          <t>TT</t>
        </is>
      </c>
      <c r="K17" s="19">
        <f>ROUND((COUNTIF(F17, N$3) / 50) * $L$1, 0)</f>
        <v/>
      </c>
    </row>
    <row r="18">
      <c r="A18" s="8" t="inlineStr">
        <is>
          <t>Socio-Emocional</t>
        </is>
      </c>
      <c r="B18" s="9">
        <f>+CONCATENATE(LEFT(D18,3),"-",C18)</f>
        <v/>
      </c>
      <c r="C18" s="9" t="inlineStr">
        <is>
          <t>34. Se rinde fácilmente ante la frustración.</t>
        </is>
      </c>
      <c r="D18" s="10" t="inlineStr">
        <is>
          <t>Alerta/Mejora</t>
        </is>
      </c>
      <c r="E18" s="11" t="n">
        <v>2</v>
      </c>
      <c r="F18">
        <f>VLOOKUP(G18, $L$3:$N$7, 3, 1)</f>
        <v/>
      </c>
      <c r="G18">
        <f>+L$1-E18</f>
        <v/>
      </c>
      <c r="H18">
        <f>VLOOKUP(F18, REGLA1, 2, FALSE)</f>
        <v/>
      </c>
      <c r="I18" t="inlineStr">
        <is>
          <t>SEPTIMO</t>
        </is>
      </c>
      <c r="J18" t="inlineStr">
        <is>
          <t>TT</t>
        </is>
      </c>
      <c r="K18" s="19">
        <f>ROUND((COUNTIF(F18, N$3) / 50) * $L$1, 0)</f>
        <v/>
      </c>
    </row>
    <row r="19">
      <c r="A19" s="8" t="inlineStr">
        <is>
          <t>Socio-Emocional</t>
        </is>
      </c>
      <c r="B19" s="9">
        <f>+CONCATENATE(LEFT(D19,3),"-",C19)</f>
        <v/>
      </c>
      <c r="C19" s="9" t="inlineStr">
        <is>
          <t>36. Trabaja de forma aislada o es individualista.</t>
        </is>
      </c>
      <c r="D19" s="10" t="inlineStr">
        <is>
          <t>Alerta/Mejora</t>
        </is>
      </c>
      <c r="E19" s="11" t="n">
        <v>1</v>
      </c>
      <c r="F19">
        <f>VLOOKUP(G19, $L$3:$N$7, 3, 1)</f>
        <v/>
      </c>
      <c r="G19">
        <f>+L$1-E19</f>
        <v/>
      </c>
      <c r="H19">
        <f>VLOOKUP(F19, REGLA1, 2, FALSE)</f>
        <v/>
      </c>
      <c r="I19" t="inlineStr">
        <is>
          <t>SEPTIMO</t>
        </is>
      </c>
      <c r="J19" t="inlineStr">
        <is>
          <t>TT</t>
        </is>
      </c>
      <c r="K19" s="19">
        <f>ROUND((COUNTIF(F19, N$3) / 50) * $L$1, 0)</f>
        <v/>
      </c>
    </row>
    <row r="20">
      <c r="A20" s="8" t="inlineStr">
        <is>
          <t>Socio-Emocional</t>
        </is>
      </c>
      <c r="B20" s="9">
        <f>+CONCATENATE(LEFT(D20,3),"-",C20)</f>
        <v/>
      </c>
      <c r="C20" s="9" t="inlineStr">
        <is>
          <t>38. Ignora o se burla de los sentimientos de otros.</t>
        </is>
      </c>
      <c r="D20" s="10" t="inlineStr">
        <is>
          <t>Alerta/Mejora</t>
        </is>
      </c>
      <c r="E20" s="11" t="n">
        <v>3</v>
      </c>
      <c r="F20">
        <f>VLOOKUP(G20, $L$3:$N$7, 3, 1)</f>
        <v/>
      </c>
      <c r="G20">
        <f>+L$1-E20</f>
        <v/>
      </c>
      <c r="H20">
        <f>VLOOKUP(F20, REGLA1, 2, FALSE)</f>
        <v/>
      </c>
      <c r="I20" t="inlineStr">
        <is>
          <t>SEPTIMO</t>
        </is>
      </c>
      <c r="J20" t="inlineStr">
        <is>
          <t>TT</t>
        </is>
      </c>
      <c r="K20" s="19">
        <f>ROUND((COUNTIF(F20, N$3) / 50) * $L$1, 0)</f>
        <v/>
      </c>
    </row>
    <row r="21">
      <c r="A21" s="8" t="inlineStr">
        <is>
          <t>Socio-Emocional</t>
        </is>
      </c>
      <c r="B21" s="9">
        <f>+CONCATENATE(LEFT(D21,3),"-",C21)</f>
        <v/>
      </c>
      <c r="C21" s="9" t="inlineStr">
        <is>
          <t>40. Ejerce presión negativa o bullying.</t>
        </is>
      </c>
      <c r="D21" s="10" t="inlineStr">
        <is>
          <t>Alerta/Mejora</t>
        </is>
      </c>
      <c r="E21" s="11" t="n">
        <v>1</v>
      </c>
      <c r="F21">
        <f>VLOOKUP(G21, $L$3:$N$7, 3, 1)</f>
        <v/>
      </c>
      <c r="G21">
        <f>+L$1-E21</f>
        <v/>
      </c>
      <c r="H21">
        <f>VLOOKUP(F21, REGLA1, 2, FALSE)</f>
        <v/>
      </c>
      <c r="I21" t="inlineStr">
        <is>
          <t>SEPTIMO</t>
        </is>
      </c>
      <c r="J21" t="inlineStr">
        <is>
          <t>TT</t>
        </is>
      </c>
      <c r="K21" s="19">
        <f>ROUND((COUNTIF(F21, N$3) / 50) * $L$1, 0)</f>
        <v/>
      </c>
    </row>
    <row r="22">
      <c r="A22" s="8" t="inlineStr">
        <is>
          <t>Socio-Emocional</t>
        </is>
      </c>
      <c r="B22" s="9">
        <f>+CONCATENATE(LEFT(D22,3),"-",C22)</f>
        <v/>
      </c>
      <c r="C22" s="9" t="inlineStr">
        <is>
          <t>42. Reacciona de forma agresiva o impulsiva.</t>
        </is>
      </c>
      <c r="D22" s="10" t="inlineStr">
        <is>
          <t>Alerta/Mejora</t>
        </is>
      </c>
      <c r="E22" s="11" t="n">
        <v>1</v>
      </c>
      <c r="F22">
        <f>VLOOKUP(G22, $L$3:$N$7, 3, 1)</f>
        <v/>
      </c>
      <c r="G22">
        <f>+L$1-E22</f>
        <v/>
      </c>
      <c r="H22">
        <f>VLOOKUP(F22, REGLA1, 2, FALSE)</f>
        <v/>
      </c>
      <c r="I22" t="inlineStr">
        <is>
          <t>SEPTIMO</t>
        </is>
      </c>
      <c r="J22" t="inlineStr">
        <is>
          <t>TT</t>
        </is>
      </c>
      <c r="K22" s="19">
        <f>ROUND((COUNTIF(F22, N$3) / 50) * $L$1, 0)</f>
        <v/>
      </c>
    </row>
    <row r="23">
      <c r="A23" s="8" t="inlineStr">
        <is>
          <t>Socio-Emocional</t>
        </is>
      </c>
      <c r="B23" s="9">
        <f>+CONCATENATE(LEFT(D23,3),"-",C23)</f>
        <v/>
      </c>
      <c r="C23" s="9" t="inlineStr">
        <is>
          <t>44. Expresa inseguridad constante ("no puedo").</t>
        </is>
      </c>
      <c r="D23" s="10" t="inlineStr">
        <is>
          <t>Alerta/Mejora</t>
        </is>
      </c>
      <c r="E23" s="11" t="n">
        <v>1</v>
      </c>
      <c r="F23">
        <f>VLOOKUP(G23, $L$3:$N$7, 3, 1)</f>
        <v/>
      </c>
      <c r="G23">
        <f>+L$1-E23</f>
        <v/>
      </c>
      <c r="H23">
        <f>VLOOKUP(F23, REGLA1, 2, FALSE)</f>
        <v/>
      </c>
      <c r="I23" t="inlineStr">
        <is>
          <t>SEPTIMO</t>
        </is>
      </c>
      <c r="J23" t="inlineStr">
        <is>
          <t>TT</t>
        </is>
      </c>
      <c r="K23" s="19">
        <f>ROUND((COUNTIF(F23, N$3) / 50) * $L$1, 0)</f>
        <v/>
      </c>
    </row>
    <row r="24">
      <c r="A24" s="8" t="inlineStr">
        <is>
          <t>Actitudinal</t>
        </is>
      </c>
      <c r="B24" s="9">
        <f>+CONCATENATE(LEFT(D24,3),"-",C24)</f>
        <v/>
      </c>
      <c r="C24" s="9" t="inlineStr">
        <is>
          <t>46. Requiere estímulos externos para trabajar.</t>
        </is>
      </c>
      <c r="D24" s="10" t="inlineStr">
        <is>
          <t>Alerta/Mejora</t>
        </is>
      </c>
      <c r="E24" s="11" t="n">
        <v>2</v>
      </c>
      <c r="F24">
        <f>VLOOKUP(G24, $L$3:$N$7, 3, 1)</f>
        <v/>
      </c>
      <c r="G24">
        <f>+L$1-E24</f>
        <v/>
      </c>
      <c r="H24">
        <f>VLOOKUP(F24, REGLA1, 2, FALSE)</f>
        <v/>
      </c>
      <c r="I24" t="inlineStr">
        <is>
          <t>SEPTIMO</t>
        </is>
      </c>
      <c r="J24" t="inlineStr">
        <is>
          <t>TT</t>
        </is>
      </c>
      <c r="K24" s="19">
        <f>ROUND((COUNTIF(F24, N$3) / 50) * $L$1, 0)</f>
        <v/>
      </c>
    </row>
    <row r="25">
      <c r="A25" s="8" t="inlineStr">
        <is>
          <t>Actitudinal</t>
        </is>
      </c>
      <c r="B25" s="9">
        <f>+CONCATENATE(LEFT(D25,3),"-",C25)</f>
        <v/>
      </c>
      <c r="C25" s="9" t="inlineStr">
        <is>
          <t>48. Abandona proyectos a mitad de camino.</t>
        </is>
      </c>
      <c r="D25" s="10" t="inlineStr">
        <is>
          <t>Alerta/Mejora</t>
        </is>
      </c>
      <c r="E25" s="11" t="n">
        <v>0</v>
      </c>
      <c r="F25">
        <f>VLOOKUP(G25, $L$3:$N$7, 3, 1)</f>
        <v/>
      </c>
      <c r="G25">
        <f>+L$1-E25</f>
        <v/>
      </c>
      <c r="H25">
        <f>VLOOKUP(F25, REGLA1, 2, FALSE)</f>
        <v/>
      </c>
      <c r="I25" t="inlineStr">
        <is>
          <t>SEPTIMO</t>
        </is>
      </c>
      <c r="J25" t="inlineStr">
        <is>
          <t>TT</t>
        </is>
      </c>
      <c r="K25" s="19">
        <f>ROUND((COUNTIF(F25, N$3) / 50) * $L$1, 0)</f>
        <v/>
      </c>
    </row>
    <row r="26">
      <c r="A26" s="8" t="inlineStr">
        <is>
          <t>Actitudinal</t>
        </is>
      </c>
      <c r="B26" s="9">
        <f>+CONCATENATE(LEFT(D26,3),"-",C26)</f>
        <v/>
      </c>
      <c r="C26" s="9" t="inlineStr">
        <is>
          <t>50. Se muestra a la defensiva ante críticas.</t>
        </is>
      </c>
      <c r="D26" s="10" t="inlineStr">
        <is>
          <t>Alerta/Mejora</t>
        </is>
      </c>
      <c r="E26" s="11" t="n">
        <v>0</v>
      </c>
      <c r="F26">
        <f>VLOOKUP(G26, $L$3:$N$7, 3, 1)</f>
        <v/>
      </c>
      <c r="G26">
        <f>+L$1-E26</f>
        <v/>
      </c>
      <c r="H26">
        <f>VLOOKUP(F26, REGLA1, 2, FALSE)</f>
        <v/>
      </c>
      <c r="I26" t="inlineStr">
        <is>
          <t>SEPTIMO</t>
        </is>
      </c>
      <c r="J26" t="inlineStr">
        <is>
          <t>TT</t>
        </is>
      </c>
      <c r="K26" s="19">
        <f>ROUND((COUNTIF(F26, N$3) / 50) * $L$1, 0)</f>
        <v/>
      </c>
    </row>
    <row r="27">
      <c r="A27" s="15" t="inlineStr">
        <is>
          <t>Académica</t>
        </is>
      </c>
      <c r="B27" s="9">
        <f>+CONCATENATE(LEFT(D27,3),"-",C27)</f>
        <v/>
      </c>
      <c r="C27" s="16" t="inlineStr">
        <is>
          <t>01. Domina los conceptos clave del grado.</t>
        </is>
      </c>
      <c r="D27" s="17" t="inlineStr">
        <is>
          <t>Fortaleza/Logro</t>
        </is>
      </c>
      <c r="E27" s="11" t="n">
        <v>12</v>
      </c>
      <c r="F27">
        <f>VLOOKUP(G27, $L$3:$N$7, 3, 1)</f>
        <v/>
      </c>
      <c r="G27">
        <f>+E27</f>
        <v/>
      </c>
      <c r="H27">
        <f>VLOOKUP(F27, REGLA1, 2, FALSE)</f>
        <v/>
      </c>
      <c r="I27" t="inlineStr">
        <is>
          <t>SEPTIMO</t>
        </is>
      </c>
      <c r="J27" t="inlineStr">
        <is>
          <t>TT</t>
        </is>
      </c>
      <c r="K27" s="19">
        <f>ROUND((COUNTIF(F27, N$3) / 50) * $L$1, 0)</f>
        <v/>
      </c>
    </row>
    <row r="28">
      <c r="A28" s="15" t="inlineStr">
        <is>
          <t>Académica</t>
        </is>
      </c>
      <c r="B28" s="9">
        <f>+CONCATENATE(LEFT(D28,3),"-",C28)</f>
        <v/>
      </c>
      <c r="C28" s="16" t="inlineStr">
        <is>
          <t>03. Posee un pensamiento crítico y analítico.</t>
        </is>
      </c>
      <c r="D28" s="17" t="inlineStr">
        <is>
          <t>Fortaleza/Logro</t>
        </is>
      </c>
      <c r="E28" s="11" t="n">
        <v>14</v>
      </c>
      <c r="F28">
        <f>VLOOKUP(G28, $L$3:$N$7, 3, 1)</f>
        <v/>
      </c>
      <c r="G28">
        <f>+E28</f>
        <v/>
      </c>
      <c r="H28">
        <f>VLOOKUP(F28, REGLA1, 2, FALSE)</f>
        <v/>
      </c>
      <c r="I28" t="inlineStr">
        <is>
          <t>SEPTIMO</t>
        </is>
      </c>
      <c r="J28" t="inlineStr">
        <is>
          <t>TT</t>
        </is>
      </c>
      <c r="K28" s="19">
        <f>ROUND((COUNTIF(F28, N$3) / 50) * $L$1, 0)</f>
        <v/>
      </c>
    </row>
    <row r="29">
      <c r="A29" s="15" t="inlineStr">
        <is>
          <t>Académica</t>
        </is>
      </c>
      <c r="B29" s="9">
        <f>+CONCATENATE(LEFT(D29,3),"-",C29)</f>
        <v/>
      </c>
      <c r="C29" s="16" t="inlineStr">
        <is>
          <t>05. Entrega trabajos con alta calidad y orden.</t>
        </is>
      </c>
      <c r="D29" s="17" t="inlineStr">
        <is>
          <t>Fortaleza/Logro</t>
        </is>
      </c>
      <c r="E29" s="11" t="n">
        <v>12</v>
      </c>
      <c r="F29">
        <f>VLOOKUP(G29, $L$3:$N$7, 3, 1)</f>
        <v/>
      </c>
      <c r="G29">
        <f>+E29</f>
        <v/>
      </c>
      <c r="H29">
        <f>VLOOKUP(F29, REGLA1, 2, FALSE)</f>
        <v/>
      </c>
      <c r="I29" t="inlineStr">
        <is>
          <t>SEPTIMO</t>
        </is>
      </c>
      <c r="J29" t="inlineStr">
        <is>
          <t>TT</t>
        </is>
      </c>
      <c r="K29" s="19">
        <f>ROUND((COUNTIF(F29, N$3) / 50) * $L$1, 0)</f>
        <v/>
      </c>
    </row>
    <row r="30">
      <c r="A30" s="15" t="inlineStr">
        <is>
          <t>Académica</t>
        </is>
      </c>
      <c r="B30" s="9">
        <f>+CONCATENATE(LEFT(D30,3),"-",C30)</f>
        <v/>
      </c>
      <c r="C30" s="16" t="inlineStr">
        <is>
          <t>07. Resuelve problemas lógicos con fluidez.</t>
        </is>
      </c>
      <c r="D30" s="17" t="inlineStr">
        <is>
          <t>Fortaleza/Logro</t>
        </is>
      </c>
      <c r="E30" s="11" t="n">
        <v>12</v>
      </c>
      <c r="F30">
        <f>VLOOKUP(G30, $L$3:$N$7, 3, 1)</f>
        <v/>
      </c>
      <c r="G30">
        <f>+E30</f>
        <v/>
      </c>
      <c r="H30">
        <f>VLOOKUP(F30, REGLA1, 2, FALSE)</f>
        <v/>
      </c>
      <c r="I30" t="inlineStr">
        <is>
          <t>SEPTIMO</t>
        </is>
      </c>
      <c r="J30" t="inlineStr">
        <is>
          <t>TT</t>
        </is>
      </c>
      <c r="K30" s="19">
        <f>ROUND((COUNTIF(F30, N$3) / 50) * $L$1, 0)</f>
        <v/>
      </c>
    </row>
    <row r="31">
      <c r="A31" s="15" t="inlineStr">
        <is>
          <t>Académica</t>
        </is>
      </c>
      <c r="B31" s="9">
        <f>+CONCATENATE(LEFT(D31,3),"-",C31)</f>
        <v/>
      </c>
      <c r="C31" s="16" t="inlineStr">
        <is>
          <t>09. Utiliza vocabulario técnico preciso.</t>
        </is>
      </c>
      <c r="D31" s="17" t="inlineStr">
        <is>
          <t>Fortaleza/Logro</t>
        </is>
      </c>
      <c r="E31" s="11" t="n">
        <v>12</v>
      </c>
      <c r="F31">
        <f>VLOOKUP(G31, $L$3:$N$7, 3, 1)</f>
        <v/>
      </c>
      <c r="G31">
        <f>+E31</f>
        <v/>
      </c>
      <c r="H31">
        <f>VLOOKUP(F31, REGLA1, 2, FALSE)</f>
        <v/>
      </c>
      <c r="I31" t="inlineStr">
        <is>
          <t>SEPTIMO</t>
        </is>
      </c>
      <c r="J31" t="inlineStr">
        <is>
          <t>TT</t>
        </is>
      </c>
      <c r="K31" s="19">
        <f>ROUND((COUNTIF(F31, N$3) / 50) * $L$1, 0)</f>
        <v/>
      </c>
    </row>
    <row r="32">
      <c r="A32" s="15" t="inlineStr">
        <is>
          <t>Académica</t>
        </is>
      </c>
      <c r="B32" s="9">
        <f>+CONCATENATE(LEFT(D32,3),"-",C32)</f>
        <v/>
      </c>
      <c r="C32" s="16" t="inlineStr">
        <is>
          <t>11. Posee excelentes hábitos de lectura.</t>
        </is>
      </c>
      <c r="D32" s="17" t="inlineStr">
        <is>
          <t>Fortaleza/Logro</t>
        </is>
      </c>
      <c r="E32" s="11" t="n">
        <v>11</v>
      </c>
      <c r="F32">
        <f>VLOOKUP(G32, $L$3:$N$7, 3, 1)</f>
        <v/>
      </c>
      <c r="G32">
        <f>+E32</f>
        <v/>
      </c>
      <c r="H32">
        <f>VLOOKUP(F32, REGLA1, 2, FALSE)</f>
        <v/>
      </c>
      <c r="I32" t="inlineStr">
        <is>
          <t>SEPTIMO</t>
        </is>
      </c>
      <c r="J32" t="inlineStr">
        <is>
          <t>TT</t>
        </is>
      </c>
      <c r="K32" s="19">
        <f>ROUND((COUNTIF(F32, N$3) / 50) * $L$1, 0)</f>
        <v/>
      </c>
    </row>
    <row r="33">
      <c r="A33" s="15" t="inlineStr">
        <is>
          <t>Académica</t>
        </is>
      </c>
      <c r="B33" s="9">
        <f>+CONCATENATE(LEFT(D33,3),"-",C33)</f>
        <v/>
      </c>
      <c r="C33" s="16" t="inlineStr">
        <is>
          <t>13. Es autónomo en la realización de tareas.</t>
        </is>
      </c>
      <c r="D33" s="17" t="inlineStr">
        <is>
          <t>Fortaleza/Logro</t>
        </is>
      </c>
      <c r="E33" s="11" t="n">
        <v>14</v>
      </c>
      <c r="F33">
        <f>VLOOKUP(G33, $L$3:$N$7, 3, 1)</f>
        <v/>
      </c>
      <c r="G33">
        <f>+E33</f>
        <v/>
      </c>
      <c r="H33">
        <f>VLOOKUP(F33, REGLA1, 2, FALSE)</f>
        <v/>
      </c>
      <c r="I33" t="inlineStr">
        <is>
          <t>SEPTIMO</t>
        </is>
      </c>
      <c r="J33" t="inlineStr">
        <is>
          <t>TT</t>
        </is>
      </c>
      <c r="K33" s="19">
        <f>ROUND((COUNTIF(F33, N$3) / 50) * $L$1, 0)</f>
        <v/>
      </c>
    </row>
    <row r="34">
      <c r="A34" s="15" t="inlineStr">
        <is>
          <t>Académica</t>
        </is>
      </c>
      <c r="B34" s="9">
        <f>+CONCATENATE(LEFT(D34,3),"-",C34)</f>
        <v/>
      </c>
      <c r="C34" s="16" t="inlineStr">
        <is>
          <t>15. Investiga más allá de lo solicitado.</t>
        </is>
      </c>
      <c r="D34" s="17" t="inlineStr">
        <is>
          <t>Fortaleza/Logro</t>
        </is>
      </c>
      <c r="E34" s="11" t="n">
        <v>12</v>
      </c>
      <c r="F34">
        <f>VLOOKUP(G34, $L$3:$N$7, 3, 1)</f>
        <v/>
      </c>
      <c r="G34">
        <f>+E34</f>
        <v/>
      </c>
      <c r="H34">
        <f>VLOOKUP(F34, REGLA1, 2, FALSE)</f>
        <v/>
      </c>
      <c r="I34" t="inlineStr">
        <is>
          <t>SEPTIMO</t>
        </is>
      </c>
      <c r="J34" t="inlineStr">
        <is>
          <t>TT</t>
        </is>
      </c>
      <c r="K34" s="19">
        <f>ROUND((COUNTIF(F34, N$3) / 50) * $L$1, 0)</f>
        <v/>
      </c>
    </row>
    <row r="35">
      <c r="A35" s="15" t="inlineStr">
        <is>
          <t>Conductual</t>
        </is>
      </c>
      <c r="B35" s="9">
        <f>+CONCATENATE(LEFT(D35,3),"-",C35)</f>
        <v/>
      </c>
      <c r="C35" s="16" t="inlineStr">
        <is>
          <t>17. Respeta las normas de convivencia.</t>
        </is>
      </c>
      <c r="D35" s="17" t="inlineStr">
        <is>
          <t>Fortaleza/Logro</t>
        </is>
      </c>
      <c r="E35" s="11" t="n">
        <v>14</v>
      </c>
      <c r="F35">
        <f>VLOOKUP(G35, $L$3:$N$7, 3, 1)</f>
        <v/>
      </c>
      <c r="G35">
        <f>+E35</f>
        <v/>
      </c>
      <c r="H35">
        <f>VLOOKUP(F35, REGLA1, 2, FALSE)</f>
        <v/>
      </c>
      <c r="I35" t="inlineStr">
        <is>
          <t>SEPTIMO</t>
        </is>
      </c>
      <c r="J35" t="inlineStr">
        <is>
          <t>TT</t>
        </is>
      </c>
      <c r="K35" s="19">
        <f>ROUND((COUNTIF(F35, N$3) / 50) * $L$1, 0)</f>
        <v/>
      </c>
    </row>
    <row r="36">
      <c r="A36" s="15" t="inlineStr">
        <is>
          <t>Conductual</t>
        </is>
      </c>
      <c r="B36" s="9">
        <f>+CONCATENATE(LEFT(D36,3),"-",C36)</f>
        <v/>
      </c>
      <c r="C36" s="16" t="inlineStr">
        <is>
          <t>19. Es puntual en todas sus obligaciones.</t>
        </is>
      </c>
      <c r="D36" s="17" t="inlineStr">
        <is>
          <t>Fortaleza/Logro</t>
        </is>
      </c>
      <c r="E36" s="11" t="n">
        <v>12</v>
      </c>
      <c r="F36">
        <f>VLOOKUP(G36, $L$3:$N$7, 3, 1)</f>
        <v/>
      </c>
      <c r="G36">
        <f>+E36</f>
        <v/>
      </c>
      <c r="H36">
        <f>VLOOKUP(F36, REGLA1, 2, FALSE)</f>
        <v/>
      </c>
      <c r="I36" t="inlineStr">
        <is>
          <t>SEPTIMO</t>
        </is>
      </c>
      <c r="J36" t="inlineStr">
        <is>
          <t>TT</t>
        </is>
      </c>
      <c r="K36" s="19">
        <f>ROUND((COUNTIF(F36, N$3) / 50) * $L$1, 0)</f>
        <v/>
      </c>
    </row>
    <row r="37">
      <c r="A37" s="15" t="inlineStr">
        <is>
          <t>Conductual</t>
        </is>
      </c>
      <c r="B37" s="9">
        <f>+CONCATENATE(LEFT(D37,3),"-",C37)</f>
        <v/>
      </c>
      <c r="C37" s="16" t="inlineStr">
        <is>
          <t>21. Cuida el material propio y ajeno.</t>
        </is>
      </c>
      <c r="D37" s="17" t="inlineStr">
        <is>
          <t>Fortaleza/Logro</t>
        </is>
      </c>
      <c r="E37" s="11" t="n">
        <v>14</v>
      </c>
      <c r="F37">
        <f>VLOOKUP(G37, $L$3:$N$7, 3, 1)</f>
        <v/>
      </c>
      <c r="G37">
        <f>+E37</f>
        <v/>
      </c>
      <c r="H37">
        <f>VLOOKUP(F37, REGLA1, 2, FALSE)</f>
        <v/>
      </c>
      <c r="I37" t="inlineStr">
        <is>
          <t>SEPTIMO</t>
        </is>
      </c>
      <c r="J37" t="inlineStr">
        <is>
          <t>TT</t>
        </is>
      </c>
      <c r="K37" s="19">
        <f>ROUND((COUNTIF(F37, N$3) / 50) * $L$1, 0)</f>
        <v/>
      </c>
    </row>
    <row r="38">
      <c r="A38" s="15" t="inlineStr">
        <is>
          <t>Conductual</t>
        </is>
      </c>
      <c r="B38" s="9">
        <f>+CONCATENATE(LEFT(D38,3),"-",C38)</f>
        <v/>
      </c>
      <c r="C38" s="16" t="inlineStr">
        <is>
          <t>23. Escucha con atención y no interrumpe.</t>
        </is>
      </c>
      <c r="D38" s="17" t="inlineStr">
        <is>
          <t>Fortaleza/Logro</t>
        </is>
      </c>
      <c r="E38" s="11" t="n">
        <v>14</v>
      </c>
      <c r="F38">
        <f>VLOOKUP(G38, $L$3:$N$7, 3, 1)</f>
        <v/>
      </c>
      <c r="G38">
        <f>+E38</f>
        <v/>
      </c>
      <c r="H38">
        <f>VLOOKUP(F38, REGLA1, 2, FALSE)</f>
        <v/>
      </c>
      <c r="I38" t="inlineStr">
        <is>
          <t>SEPTIMO</t>
        </is>
      </c>
      <c r="J38" t="inlineStr">
        <is>
          <t>TT</t>
        </is>
      </c>
      <c r="K38" s="19">
        <f>ROUND((COUNTIF(F38, N$3) / 50) * $L$1, 0)</f>
        <v/>
      </c>
    </row>
    <row r="39">
      <c r="A39" s="15" t="inlineStr">
        <is>
          <t>Conductual</t>
        </is>
      </c>
      <c r="B39" s="9">
        <f>+CONCATENATE(LEFT(D39,3),"-",C39)</f>
        <v/>
      </c>
      <c r="C39" s="16" t="inlineStr">
        <is>
          <t>25. Utiliza el lenguaje de forma respetuosa.</t>
        </is>
      </c>
      <c r="D39" s="17" t="inlineStr">
        <is>
          <t>Fortaleza/Logro</t>
        </is>
      </c>
      <c r="E39" s="11" t="n">
        <v>14</v>
      </c>
      <c r="F39">
        <f>VLOOKUP(G39, $L$3:$N$7, 3, 1)</f>
        <v/>
      </c>
      <c r="G39">
        <f>+E39</f>
        <v/>
      </c>
      <c r="H39">
        <f>VLOOKUP(F39, REGLA1, 2, FALSE)</f>
        <v/>
      </c>
      <c r="I39" t="inlineStr">
        <is>
          <t>SEPTIMO</t>
        </is>
      </c>
      <c r="J39" t="inlineStr">
        <is>
          <t>TT</t>
        </is>
      </c>
      <c r="K39" s="19">
        <f>ROUND((COUNTIF(F39, N$3) / 50) * $L$1, 0)</f>
        <v/>
      </c>
    </row>
    <row r="40">
      <c r="A40" s="15" t="inlineStr">
        <is>
          <t>Conductual</t>
        </is>
      </c>
      <c r="B40" s="9">
        <f>+CONCATENATE(LEFT(D40,3),"-",C40)</f>
        <v/>
      </c>
      <c r="C40" s="16" t="inlineStr">
        <is>
          <t>27. Reconoce sus errores honestamente.</t>
        </is>
      </c>
      <c r="D40" s="17" t="inlineStr">
        <is>
          <t>Fortaleza/Logro</t>
        </is>
      </c>
      <c r="E40" s="11" t="n">
        <v>14</v>
      </c>
      <c r="F40">
        <f>VLOOKUP(G40, $L$3:$N$7, 3, 1)</f>
        <v/>
      </c>
      <c r="G40">
        <f>+E40</f>
        <v/>
      </c>
      <c r="H40">
        <f>VLOOKUP(F40, REGLA1, 2, FALSE)</f>
        <v/>
      </c>
      <c r="I40" t="inlineStr">
        <is>
          <t>SEPTIMO</t>
        </is>
      </c>
      <c r="J40" t="inlineStr">
        <is>
          <t>TT</t>
        </is>
      </c>
      <c r="K40" s="19">
        <f>ROUND((COUNTIF(F40, N$3) / 50) * $L$1, 0)</f>
        <v/>
      </c>
      <c r="N40" s="1" t="inlineStr">
        <is>
          <t>Suma de Cantidad de veces</t>
        </is>
      </c>
      <c r="O40" s="1" t="inlineStr">
        <is>
          <t>Etiquetas de columna</t>
        </is>
      </c>
    </row>
    <row r="41">
      <c r="A41" s="15" t="inlineStr">
        <is>
          <t>Conductual</t>
        </is>
      </c>
      <c r="B41" s="9">
        <f>+CONCATENATE(LEFT(D41,3),"-",C41)</f>
        <v/>
      </c>
      <c r="C41" s="16" t="inlineStr">
        <is>
          <t>29. Usa la tecnología con fines educativos.</t>
        </is>
      </c>
      <c r="D41" s="17" t="inlineStr">
        <is>
          <t>Fortaleza/Logro</t>
        </is>
      </c>
      <c r="E41" s="11" t="n">
        <v>12</v>
      </c>
      <c r="F41">
        <f>VLOOKUP(G41, $L$3:$N$7, 3, 1)</f>
        <v/>
      </c>
      <c r="G41">
        <f>+E41</f>
        <v/>
      </c>
      <c r="H41">
        <f>VLOOKUP(F41, REGLA1, 2, FALSE)</f>
        <v/>
      </c>
      <c r="I41" t="inlineStr">
        <is>
          <t>SEPTIMO</t>
        </is>
      </c>
      <c r="J41" t="inlineStr">
        <is>
          <t>TT</t>
        </is>
      </c>
      <c r="K41" s="19">
        <f>ROUND((COUNTIF(F41, N$3) / 50) * $L$1, 0)</f>
        <v/>
      </c>
      <c r="N41" s="1" t="inlineStr">
        <is>
          <t>Etiquetas de fila</t>
        </is>
      </c>
      <c r="O41" t="inlineStr">
        <is>
          <t>Alerta/Mejora</t>
        </is>
      </c>
      <c r="P41" t="inlineStr">
        <is>
          <t>Fortaleza/Logro</t>
        </is>
      </c>
      <c r="Q41" t="inlineStr">
        <is>
          <t>Total general</t>
        </is>
      </c>
    </row>
    <row r="42">
      <c r="A42" s="15" t="inlineStr">
        <is>
          <t>Conductual</t>
        </is>
      </c>
      <c r="B42" s="9">
        <f>+CONCATENATE(LEFT(D42,3),"-",C42)</f>
        <v/>
      </c>
      <c r="C42" s="16" t="inlineStr">
        <is>
          <t>31. Mantiene el orden en espacios comunes.</t>
        </is>
      </c>
      <c r="D42" s="17" t="inlineStr">
        <is>
          <t>Fortaleza/Logro</t>
        </is>
      </c>
      <c r="E42" s="11" t="n">
        <v>11</v>
      </c>
      <c r="F42">
        <f>VLOOKUP(G42, $L$3:$N$7, 3, 1)</f>
        <v/>
      </c>
      <c r="G42">
        <f>+E42</f>
        <v/>
      </c>
      <c r="H42">
        <f>VLOOKUP(F42, REGLA1, 2, FALSE)</f>
        <v/>
      </c>
      <c r="I42" t="inlineStr">
        <is>
          <t>SEPTIMO</t>
        </is>
      </c>
      <c r="J42" t="inlineStr">
        <is>
          <t>TT</t>
        </is>
      </c>
      <c r="K42" s="19">
        <f>ROUND((COUNTIF(F42, N$3) / 50) * $L$1, 0)</f>
        <v/>
      </c>
      <c r="N42" s="3" t="inlineStr">
        <is>
          <t>Académica</t>
        </is>
      </c>
      <c r="O42" t="n">
        <v>19</v>
      </c>
      <c r="P42" t="n">
        <v>99</v>
      </c>
      <c r="Q42" t="n">
        <v>118</v>
      </c>
    </row>
    <row r="43">
      <c r="A43" s="15" t="inlineStr">
        <is>
          <t>Socio-Emocional</t>
        </is>
      </c>
      <c r="B43" s="9">
        <f>+CONCATENATE(LEFT(D43,3),"-",C43)</f>
        <v/>
      </c>
      <c r="C43" s="16" t="inlineStr">
        <is>
          <t>33. Muestra resiliencia ante el fracaso.</t>
        </is>
      </c>
      <c r="D43" s="17" t="inlineStr">
        <is>
          <t>Fortaleza/Logro</t>
        </is>
      </c>
      <c r="E43" s="11" t="n">
        <v>12</v>
      </c>
      <c r="F43">
        <f>VLOOKUP(G43, $L$3:$N$7, 3, 1)</f>
        <v/>
      </c>
      <c r="G43">
        <f>+E43</f>
        <v/>
      </c>
      <c r="H43">
        <f>VLOOKUP(F43, REGLA1, 2, FALSE)</f>
        <v/>
      </c>
      <c r="I43" t="inlineStr">
        <is>
          <t>SEPTIMO</t>
        </is>
      </c>
      <c r="J43" t="inlineStr">
        <is>
          <t>TT</t>
        </is>
      </c>
      <c r="K43" s="19">
        <f>ROUND((COUNTIF(F43, N$3) / 50) * $L$1, 0)</f>
        <v/>
      </c>
      <c r="N43" s="3" t="inlineStr">
        <is>
          <t>Actitudinal</t>
        </is>
      </c>
      <c r="O43" t="n">
        <v>2</v>
      </c>
      <c r="P43" t="n">
        <v>34</v>
      </c>
      <c r="Q43" t="n">
        <v>36</v>
      </c>
    </row>
    <row r="44">
      <c r="A44" s="15" t="inlineStr">
        <is>
          <t>Socio-Emocional</t>
        </is>
      </c>
      <c r="B44" s="9">
        <f>+CONCATENATE(LEFT(D44,3),"-",C44)</f>
        <v/>
      </c>
      <c r="C44" s="16" t="inlineStr">
        <is>
          <t>35. Trabaja de forma colaborativa y equitativa.</t>
        </is>
      </c>
      <c r="D44" s="17" t="inlineStr">
        <is>
          <t>Fortaleza/Logro</t>
        </is>
      </c>
      <c r="E44" s="11" t="n">
        <v>12</v>
      </c>
      <c r="F44">
        <f>VLOOKUP(G44, $L$3:$N$7, 3, 1)</f>
        <v/>
      </c>
      <c r="G44">
        <f>+E44</f>
        <v/>
      </c>
      <c r="H44">
        <f>VLOOKUP(F44, REGLA1, 2, FALSE)</f>
        <v/>
      </c>
      <c r="I44" t="inlineStr">
        <is>
          <t>SEPTIMO</t>
        </is>
      </c>
      <c r="J44" t="inlineStr">
        <is>
          <t>TT</t>
        </is>
      </c>
      <c r="K44" s="19">
        <f>ROUND((COUNTIF(F44, N$3) / 50) * $L$1, 0)</f>
        <v/>
      </c>
      <c r="N44" s="3" t="inlineStr">
        <is>
          <t>Conductual</t>
        </is>
      </c>
      <c r="O44" t="n">
        <v>4</v>
      </c>
      <c r="P44" t="n">
        <v>105</v>
      </c>
      <c r="Q44" t="n">
        <v>109</v>
      </c>
    </row>
    <row r="45">
      <c r="A45" s="15" t="inlineStr">
        <is>
          <t>Socio-Emocional</t>
        </is>
      </c>
      <c r="B45" s="9">
        <f>+CONCATENATE(LEFT(D45,3),"-",C45)</f>
        <v/>
      </c>
      <c r="C45" s="16" t="inlineStr">
        <is>
          <t>37. Es empático con las necesidades ajenas.</t>
        </is>
      </c>
      <c r="D45" s="17" t="inlineStr">
        <is>
          <t>Fortaleza/Logro</t>
        </is>
      </c>
      <c r="E45" s="11" t="n">
        <v>12</v>
      </c>
      <c r="F45">
        <f>VLOOKUP(G45, $L$3:$N$7, 3, 1)</f>
        <v/>
      </c>
      <c r="G45">
        <f>+E45</f>
        <v/>
      </c>
      <c r="H45">
        <f>VLOOKUP(F45, REGLA1, 2, FALSE)</f>
        <v/>
      </c>
      <c r="I45" t="inlineStr">
        <is>
          <t>SEPTIMO</t>
        </is>
      </c>
      <c r="J45" t="inlineStr">
        <is>
          <t>TT</t>
        </is>
      </c>
      <c r="K45" s="19">
        <f>ROUND((COUNTIF(F45, N$3) / 50) * $L$1, 0)</f>
        <v/>
      </c>
      <c r="N45" s="3" t="inlineStr">
        <is>
          <t>Socio-Emocional</t>
        </is>
      </c>
      <c r="O45" t="n">
        <v>9</v>
      </c>
      <c r="P45" t="n">
        <v>72</v>
      </c>
      <c r="Q45" t="n">
        <v>81</v>
      </c>
    </row>
    <row r="46">
      <c r="A46" s="15" t="inlineStr">
        <is>
          <t>Socio-Emocional</t>
        </is>
      </c>
      <c r="B46" s="9">
        <f>+CONCATENATE(LEFT(D46,3),"-",C46)</f>
        <v/>
      </c>
      <c r="C46" s="16" t="inlineStr">
        <is>
          <t>39. Posee un liderazgo positivo y ético.</t>
        </is>
      </c>
      <c r="D46" s="17" t="inlineStr">
        <is>
          <t>Fortaleza/Logro</t>
        </is>
      </c>
      <c r="E46" s="11" t="n">
        <v>12</v>
      </c>
      <c r="F46">
        <f>VLOOKUP(G46, $L$3:$N$7, 3, 1)</f>
        <v/>
      </c>
      <c r="G46">
        <f>+E46</f>
        <v/>
      </c>
      <c r="H46">
        <f>VLOOKUP(F46, REGLA1, 2, FALSE)</f>
        <v/>
      </c>
      <c r="I46" t="inlineStr">
        <is>
          <t>SEPTIMO</t>
        </is>
      </c>
      <c r="J46" t="inlineStr">
        <is>
          <t>TT</t>
        </is>
      </c>
      <c r="K46" s="19">
        <f>ROUND((COUNTIF(F46, N$3) / 50) * $L$1, 0)</f>
        <v/>
      </c>
      <c r="N46" s="3" t="inlineStr">
        <is>
          <t>Total general</t>
        </is>
      </c>
      <c r="O46" t="n">
        <v>34</v>
      </c>
      <c r="P46" t="n">
        <v>310</v>
      </c>
      <c r="Q46" t="n">
        <v>344</v>
      </c>
    </row>
    <row r="47">
      <c r="A47" s="15" t="inlineStr">
        <is>
          <t>Socio-Emocional</t>
        </is>
      </c>
      <c r="B47" s="9">
        <f>+CONCATENATE(LEFT(D47,3),"-",C47)</f>
        <v/>
      </c>
      <c r="C47" s="16" t="inlineStr">
        <is>
          <t>41. Se comunica de manera asertiva.</t>
        </is>
      </c>
      <c r="D47" s="17" t="inlineStr">
        <is>
          <t>Fortaleza/Logro</t>
        </is>
      </c>
      <c r="E47" s="11" t="n">
        <v>12</v>
      </c>
      <c r="F47">
        <f>VLOOKUP(G47, $L$3:$N$7, 3, 1)</f>
        <v/>
      </c>
      <c r="G47">
        <f>+E47</f>
        <v/>
      </c>
      <c r="H47">
        <f>VLOOKUP(F47, REGLA1, 2, FALSE)</f>
        <v/>
      </c>
      <c r="I47" t="inlineStr">
        <is>
          <t>SEPTIMO</t>
        </is>
      </c>
      <c r="J47" t="inlineStr">
        <is>
          <t>TT</t>
        </is>
      </c>
      <c r="K47" s="19">
        <f>ROUND((COUNTIF(F47, N$3) / 50) * $L$1, 0)</f>
        <v/>
      </c>
    </row>
    <row r="48">
      <c r="A48" s="15" t="inlineStr">
        <is>
          <t>Socio-Emocional</t>
        </is>
      </c>
      <c r="B48" s="9">
        <f>+CONCATENATE(LEFT(D48,3),"-",C48)</f>
        <v/>
      </c>
      <c r="C48" s="16" t="inlineStr">
        <is>
          <t>43. Tiene una autoestima académica sólida.</t>
        </is>
      </c>
      <c r="D48" s="17" t="inlineStr">
        <is>
          <t>Fortaleza/Logro</t>
        </is>
      </c>
      <c r="E48" s="11" t="n">
        <v>12</v>
      </c>
      <c r="F48">
        <f>VLOOKUP(G48, $L$3:$N$7, 3, 1)</f>
        <v/>
      </c>
      <c r="G48">
        <f>+E48</f>
        <v/>
      </c>
      <c r="H48">
        <f>VLOOKUP(F48, REGLA1, 2, FALSE)</f>
        <v/>
      </c>
      <c r="I48" t="inlineStr">
        <is>
          <t>SEPTIMO</t>
        </is>
      </c>
      <c r="J48" t="inlineStr">
        <is>
          <t>TT</t>
        </is>
      </c>
      <c r="K48" s="19">
        <f>ROUND((COUNTIF(F48, N$3) / 50) * $L$1, 0)</f>
        <v/>
      </c>
      <c r="O48" s="1" t="inlineStr">
        <is>
          <t>Etiquetas de columna</t>
        </is>
      </c>
    </row>
    <row r="49">
      <c r="A49" s="15" t="inlineStr">
        <is>
          <t>Actitudinal</t>
        </is>
      </c>
      <c r="B49" s="9">
        <f>+CONCATENATE(LEFT(D49,3),"-",C49)</f>
        <v/>
      </c>
      <c r="C49" s="16" t="inlineStr">
        <is>
          <t>45. Muestra curiosidad e iniciativa propia.</t>
        </is>
      </c>
      <c r="D49" s="17" t="inlineStr">
        <is>
          <t>Fortaleza/Logro</t>
        </is>
      </c>
      <c r="E49" s="11" t="n">
        <v>12</v>
      </c>
      <c r="F49">
        <f>VLOOKUP(G49, $L$3:$N$7, 3, 1)</f>
        <v/>
      </c>
      <c r="G49">
        <f>+E49</f>
        <v/>
      </c>
      <c r="H49">
        <f>VLOOKUP(F49, REGLA1, 2, FALSE)</f>
        <v/>
      </c>
      <c r="I49" t="inlineStr">
        <is>
          <t>SEPTIMO</t>
        </is>
      </c>
      <c r="J49" t="inlineStr">
        <is>
          <t>TT</t>
        </is>
      </c>
      <c r="K49" s="19">
        <f>ROUND((COUNTIF(F49, N$3) / 50) * $L$1, 0)</f>
        <v/>
      </c>
      <c r="O49" t="inlineStr">
        <is>
          <t>Alerta/Mejora</t>
        </is>
      </c>
      <c r="P49" t="inlineStr">
        <is>
          <t>Fortaleza/Logro</t>
        </is>
      </c>
      <c r="Q49" t="inlineStr">
        <is>
          <t>(en blanco)</t>
        </is>
      </c>
      <c r="R49" t="inlineStr">
        <is>
          <t>Total general</t>
        </is>
      </c>
    </row>
    <row r="50">
      <c r="A50" s="15" t="inlineStr">
        <is>
          <t>Actitudinal</t>
        </is>
      </c>
      <c r="B50" s="9">
        <f>+CONCATENATE(LEFT(D50,3),"-",C50)</f>
        <v/>
      </c>
      <c r="C50" s="16" t="inlineStr">
        <is>
          <t>47. Es persistente en tareas complejas.</t>
        </is>
      </c>
      <c r="D50" s="17" t="inlineStr">
        <is>
          <t>Fortaleza/Logro</t>
        </is>
      </c>
      <c r="E50" s="11" t="n">
        <v>10</v>
      </c>
      <c r="F50">
        <f>VLOOKUP(G50, $L$3:$N$7, 3, 1)</f>
        <v/>
      </c>
      <c r="G50">
        <f>+E50</f>
        <v/>
      </c>
      <c r="H50">
        <f>VLOOKUP(F50, REGLA1, 2, FALSE)</f>
        <v/>
      </c>
      <c r="I50" t="inlineStr">
        <is>
          <t>SEPTIMO</t>
        </is>
      </c>
      <c r="J50" t="inlineStr">
        <is>
          <t>TT</t>
        </is>
      </c>
      <c r="K50" s="19">
        <f>ROUND((COUNTIF(F50, N$3) / 50) * $L$1, 0)</f>
        <v/>
      </c>
      <c r="N50" t="inlineStr">
        <is>
          <t>Suma de Cantidad de veces</t>
        </is>
      </c>
      <c r="O50" t="n">
        <v>34</v>
      </c>
      <c r="P50" t="n">
        <v>310</v>
      </c>
      <c r="R50" t="n">
        <v>344</v>
      </c>
    </row>
    <row r="51">
      <c r="A51" s="15" t="inlineStr">
        <is>
          <t>Actitudinal</t>
        </is>
      </c>
      <c r="B51" s="9">
        <f>+CONCATENATE(LEFT(D51,3),"-",C51)</f>
        <v/>
      </c>
      <c r="C51" s="16" t="inlineStr">
        <is>
          <t>49. Acepta retroalimentación constructiva.</t>
        </is>
      </c>
      <c r="D51" s="17" t="inlineStr">
        <is>
          <t>Fortaleza/Logro</t>
        </is>
      </c>
      <c r="E51" s="11" t="n">
        <v>12</v>
      </c>
      <c r="F51">
        <f>VLOOKUP(G51, $L$3:$N$7, 3, 1)</f>
        <v/>
      </c>
      <c r="G51">
        <f>+E51</f>
        <v/>
      </c>
      <c r="H51">
        <f>VLOOKUP(F51, REGLA1, 2, FALSE)</f>
        <v/>
      </c>
      <c r="I51" t="inlineStr">
        <is>
          <t>SEPTIMO</t>
        </is>
      </c>
      <c r="J51" t="inlineStr">
        <is>
          <t>TT</t>
        </is>
      </c>
      <c r="K51" s="19">
        <f>ROUND((COUNTIF(F51, N$3) / 50) * $L$1, 0)</f>
        <v/>
      </c>
    </row>
    <row r="52"/>
    <row r="53"/>
    <row r="54">
      <c r="N54" t="inlineStr">
        <is>
          <t xml:space="preserve">Nota </t>
        </is>
      </c>
      <c r="O54" t="inlineStr">
        <is>
          <t>Cantidad de alumnos</t>
        </is>
      </c>
      <c r="Q54" t="inlineStr">
        <is>
          <t>% de Alumnos</t>
        </is>
      </c>
    </row>
    <row r="55">
      <c r="N55" t="n">
        <v>1</v>
      </c>
      <c r="O55">
        <f>ROUND((COUNTIF($F$2:$F$51, N55) / 50) * $L$1, 0)</f>
        <v/>
      </c>
      <c r="Q55" s="18">
        <f>+O55/O$60</f>
        <v/>
      </c>
      <c r="S55" t="inlineStr">
        <is>
          <t xml:space="preserve">Muy bueno </t>
        </is>
      </c>
      <c r="T55">
        <f>+O59+O58</f>
        <v/>
      </c>
      <c r="U55" s="18">
        <f>+T55/O$60</f>
        <v/>
      </c>
    </row>
    <row r="56">
      <c r="N56" t="n">
        <v>2</v>
      </c>
      <c r="O56">
        <f>ROUND((COUNTIF($F$2:$F$51, N56) / 50) * $L$1, 0)</f>
        <v/>
      </c>
      <c r="Q56" s="18">
        <f>+O56/O$60</f>
        <v/>
      </c>
      <c r="S56" t="inlineStr">
        <is>
          <t>Bueno</t>
        </is>
      </c>
      <c r="T56">
        <f>+O57</f>
        <v/>
      </c>
      <c r="U56" s="18">
        <f>+T56/O$60</f>
        <v/>
      </c>
    </row>
    <row r="57">
      <c r="N57" t="n">
        <v>3</v>
      </c>
      <c r="O57">
        <f>ROUND((COUNTIF($F$2:$F$51, N57) / 50) * $L$1, 0)</f>
        <v/>
      </c>
      <c r="Q57" s="18">
        <f>+O57/O$60</f>
        <v/>
      </c>
      <c r="S57" t="inlineStr">
        <is>
          <t>A mejorar</t>
        </is>
      </c>
      <c r="T57">
        <f>+O55+O56</f>
        <v/>
      </c>
      <c r="U57" s="18">
        <f>+T57/O$60</f>
        <v/>
      </c>
    </row>
    <row r="58">
      <c r="N58" t="n">
        <v>4</v>
      </c>
      <c r="O58">
        <f>ROUND((COUNTIF($F$2:$F$51, N58) / 50) * $L$1, 0)</f>
        <v/>
      </c>
      <c r="Q58" s="18">
        <f>+O58/O$60</f>
        <v/>
      </c>
    </row>
    <row r="59">
      <c r="N59" t="n">
        <v>5</v>
      </c>
      <c r="O59">
        <f>ROUND((COUNTIF($F$2:$F$51, N59) / 50) * $L$1, 0)</f>
        <v/>
      </c>
      <c r="Q59" s="18">
        <f>+O59/O$60</f>
        <v/>
      </c>
    </row>
    <row r="60">
      <c r="O60">
        <f>SUM(O55:O59)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cols>
    <col width="18.28515625" customWidth="1" min="1" max="1"/>
    <col width="58.42578125" customWidth="1" min="2" max="2"/>
    <col width="60.140625" customWidth="1" min="3" max="3"/>
    <col width="20.140625" customWidth="1" min="4" max="4"/>
    <col width="17.140625" customWidth="1" min="5" max="5"/>
    <col width="6.85546875" customWidth="1" min="6" max="6"/>
    <col width="3.7109375" customWidth="1" min="7" max="7"/>
    <col width="29" customWidth="1" min="8" max="8"/>
    <col width="8.28515625" customWidth="1" min="9" max="9"/>
    <col width="7.28515625" customWidth="1" min="10" max="10"/>
    <col width="11" customWidth="1" min="11" max="11"/>
    <col width="3.7109375" customWidth="1" min="12" max="12"/>
    <col width="26" customWidth="1" min="14" max="14"/>
    <col width="22.85546875" customWidth="1" min="15" max="15"/>
    <col width="14.85546875" customWidth="1" min="16" max="16"/>
    <col width="11.140625" customWidth="1" min="17" max="17"/>
    <col width="12.5703125" customWidth="1" min="18" max="18"/>
  </cols>
  <sheetData>
    <row r="1">
      <c r="A1" s="4" t="inlineStr">
        <is>
          <t>Categoría</t>
        </is>
      </c>
      <c r="B1" s="5" t="inlineStr">
        <is>
          <t xml:space="preserve">Indicador </t>
        </is>
      </c>
      <c r="C1" s="5" t="inlineStr">
        <is>
          <t xml:space="preserve">Indicador </t>
        </is>
      </c>
      <c r="D1" s="6" t="inlineStr">
        <is>
          <t>Tipo de Indicador</t>
        </is>
      </c>
      <c r="E1" s="7" t="inlineStr">
        <is>
          <t>Cantidad de veces</t>
        </is>
      </c>
      <c r="F1" t="inlineStr">
        <is>
          <t>NOTA</t>
        </is>
      </c>
      <c r="G1" t="inlineStr">
        <is>
          <t>PR</t>
        </is>
      </c>
      <c r="H1" t="inlineStr">
        <is>
          <t>VALORACION</t>
        </is>
      </c>
      <c r="I1" t="inlineStr">
        <is>
          <t>GRADO</t>
        </is>
      </c>
      <c r="J1" t="inlineStr">
        <is>
          <t>TURNO</t>
        </is>
      </c>
      <c r="K1" t="inlineStr">
        <is>
          <t>NF</t>
        </is>
      </c>
      <c r="L1" t="n">
        <v>42</v>
      </c>
      <c r="N1">
        <f>+GETPIVOTDATA("Cantidad de veces",$N$48)</f>
        <v/>
      </c>
    </row>
    <row r="2">
      <c r="A2" s="8" t="inlineStr">
        <is>
          <t>Académica</t>
        </is>
      </c>
      <c r="B2" s="9">
        <f>+CONCATENATE(LEFT(D2,3),"-",C2)</f>
        <v/>
      </c>
      <c r="C2" s="9" t="inlineStr">
        <is>
          <t>02. Presenta lagunas en conocimientos previos.</t>
        </is>
      </c>
      <c r="D2" s="10" t="inlineStr">
        <is>
          <t>Alerta/Mejora</t>
        </is>
      </c>
      <c r="E2" s="11" t="n">
        <v>8</v>
      </c>
      <c r="F2">
        <f>VLOOKUP(G2, $L$3:$N$7, 3, 1)</f>
        <v/>
      </c>
      <c r="G2">
        <f>+L$1-E2</f>
        <v/>
      </c>
      <c r="H2">
        <f>VLOOKUP(F2, REGLA1, 2, FALSE)</f>
        <v/>
      </c>
      <c r="I2" t="inlineStr">
        <is>
          <t>OCTAVO</t>
        </is>
      </c>
      <c r="J2" t="inlineStr">
        <is>
          <t>TM</t>
        </is>
      </c>
      <c r="K2">
        <f>+E2/$L$1</f>
        <v/>
      </c>
    </row>
    <row r="3">
      <c r="A3" s="8" t="inlineStr">
        <is>
          <t>Académica</t>
        </is>
      </c>
      <c r="B3" s="9">
        <f>+CONCATENATE(LEFT(D3,3),"-",C3)</f>
        <v/>
      </c>
      <c r="C3" s="9" t="inlineStr">
        <is>
          <t>04. Se limita a memorizar sin comprender.</t>
        </is>
      </c>
      <c r="D3" s="10" t="inlineStr">
        <is>
          <t>Alerta/Mejora</t>
        </is>
      </c>
      <c r="E3" s="11" t="n">
        <v>6</v>
      </c>
      <c r="F3">
        <f>VLOOKUP(G3, $L$3:$N$7, 3, 1)</f>
        <v/>
      </c>
      <c r="G3">
        <f>+L$1-E3</f>
        <v/>
      </c>
      <c r="H3">
        <f>VLOOKUP(F3, REGLA1, 2, FALSE)</f>
        <v/>
      </c>
      <c r="I3" t="inlineStr">
        <is>
          <t>OCTAVO</t>
        </is>
      </c>
      <c r="J3" t="inlineStr">
        <is>
          <t>TM</t>
        </is>
      </c>
      <c r="K3">
        <f>+E3/$L$1</f>
        <v/>
      </c>
      <c r="L3" s="12" t="n">
        <v>0</v>
      </c>
      <c r="M3" s="12" t="n">
        <v>24</v>
      </c>
      <c r="N3" s="13" t="n">
        <v>1</v>
      </c>
      <c r="P3" s="1" t="inlineStr">
        <is>
          <t>Etiquetas de fila</t>
        </is>
      </c>
      <c r="Q3" t="inlineStr">
        <is>
          <t>Suma de Cantidad de veces</t>
        </is>
      </c>
    </row>
    <row r="4">
      <c r="A4" s="8" t="inlineStr">
        <is>
          <t>Académica</t>
        </is>
      </c>
      <c r="B4" s="9">
        <f>+CONCATENATE(LEFT(D4,3),"-",C4)</f>
        <v/>
      </c>
      <c r="C4" s="9" t="inlineStr">
        <is>
          <t>06. Entrega tareas incompletas o descuidadas.</t>
        </is>
      </c>
      <c r="D4" s="10" t="inlineStr">
        <is>
          <t>Alerta/Mejora</t>
        </is>
      </c>
      <c r="E4" s="11" t="n">
        <v>4</v>
      </c>
      <c r="F4">
        <f>VLOOKUP(G4, $L$3:$N$7, 3, 1)</f>
        <v/>
      </c>
      <c r="G4">
        <f>+L$1-E4</f>
        <v/>
      </c>
      <c r="H4">
        <f>VLOOKUP(F4, REGLA1, 2, FALSE)</f>
        <v/>
      </c>
      <c r="I4" t="inlineStr">
        <is>
          <t>OCTAVO</t>
        </is>
      </c>
      <c r="J4" t="inlineStr">
        <is>
          <t>TM</t>
        </is>
      </c>
      <c r="K4">
        <f>+E4/$L$1</f>
        <v/>
      </c>
      <c r="L4" s="12" t="n">
        <v>25</v>
      </c>
      <c r="M4" s="12" t="n">
        <v>28</v>
      </c>
      <c r="N4" s="13" t="n">
        <v>2</v>
      </c>
      <c r="P4" s="3" t="inlineStr">
        <is>
          <t>Alerta/Mejora</t>
        </is>
      </c>
      <c r="Q4" t="n">
        <v>34</v>
      </c>
    </row>
    <row r="5">
      <c r="A5" s="8" t="inlineStr">
        <is>
          <t>Académica</t>
        </is>
      </c>
      <c r="B5" s="9">
        <f>+CONCATENATE(LEFT(D5,3),"-",C5)</f>
        <v/>
      </c>
      <c r="C5" s="9" t="inlineStr">
        <is>
          <t>08. Se bloquea ante desafíos matemáticos.</t>
        </is>
      </c>
      <c r="D5" s="10" t="inlineStr">
        <is>
          <t>Alerta/Mejora</t>
        </is>
      </c>
      <c r="E5" s="11" t="n">
        <v>7</v>
      </c>
      <c r="F5">
        <f>VLOOKUP(G5, $L$3:$N$7, 3, 1)</f>
        <v/>
      </c>
      <c r="G5">
        <f>+L$1-E5</f>
        <v/>
      </c>
      <c r="H5">
        <f>VLOOKUP(F5, REGLA1, 2, FALSE)</f>
        <v/>
      </c>
      <c r="I5" t="inlineStr">
        <is>
          <t>OCTAVO</t>
        </is>
      </c>
      <c r="J5" t="inlineStr">
        <is>
          <t>TM</t>
        </is>
      </c>
      <c r="K5">
        <f>+E5/$L$1</f>
        <v/>
      </c>
      <c r="L5" s="12" t="n">
        <v>29</v>
      </c>
      <c r="M5" s="12" t="n">
        <v>33</v>
      </c>
      <c r="N5" s="13" t="n">
        <v>3</v>
      </c>
      <c r="P5" s="3" t="inlineStr">
        <is>
          <t>Fortaleza/Logro</t>
        </is>
      </c>
      <c r="Q5" t="n">
        <v>310</v>
      </c>
    </row>
    <row r="6">
      <c r="A6" s="8" t="inlineStr">
        <is>
          <t>Académica</t>
        </is>
      </c>
      <c r="B6" s="9">
        <f>+CONCATENATE(LEFT(D6,3),"-",C6)</f>
        <v/>
      </c>
      <c r="C6" s="9" t="inlineStr">
        <is>
          <t>10. Tiene dificultades de expresión oral/escrita.</t>
        </is>
      </c>
      <c r="D6" s="10" t="inlineStr">
        <is>
          <t>Alerta/Mejora</t>
        </is>
      </c>
      <c r="E6" s="11" t="n">
        <v>5</v>
      </c>
      <c r="F6">
        <f>VLOOKUP(G6, $L$3:$N$7, 3, 1)</f>
        <v/>
      </c>
      <c r="G6">
        <f>+L$1-E6</f>
        <v/>
      </c>
      <c r="H6">
        <f>VLOOKUP(F6, REGLA1, 2, FALSE)</f>
        <v/>
      </c>
      <c r="I6" t="inlineStr">
        <is>
          <t>OCTAVO</t>
        </is>
      </c>
      <c r="J6" t="inlineStr">
        <is>
          <t>TM</t>
        </is>
      </c>
      <c r="K6">
        <f>+E6/$L$1</f>
        <v/>
      </c>
      <c r="L6" s="12" t="n">
        <v>34</v>
      </c>
      <c r="M6" s="12" t="n">
        <v>38</v>
      </c>
      <c r="N6" s="13" t="n">
        <v>4</v>
      </c>
      <c r="P6" s="3" t="inlineStr">
        <is>
          <t>Total general</t>
        </is>
      </c>
      <c r="Q6" t="n">
        <v>344</v>
      </c>
    </row>
    <row r="7">
      <c r="A7" s="8" t="inlineStr">
        <is>
          <t>Académica</t>
        </is>
      </c>
      <c r="B7" s="9">
        <f>+CONCATENATE(LEFT(D7,3),"-",C7)</f>
        <v/>
      </c>
      <c r="C7" s="9" t="inlineStr">
        <is>
          <t>12. Muestra rechazo o desinterés por la lectura.</t>
        </is>
      </c>
      <c r="D7" s="10" t="inlineStr">
        <is>
          <t>Alerta/Mejora</t>
        </is>
      </c>
      <c r="E7" s="11" t="n">
        <v>6</v>
      </c>
      <c r="F7">
        <f>VLOOKUP(G7, $L$3:$N$7, 3, 1)</f>
        <v/>
      </c>
      <c r="G7">
        <f>+L$1-E7</f>
        <v/>
      </c>
      <c r="H7">
        <f>VLOOKUP(F7, REGLA1, 2, FALSE)</f>
        <v/>
      </c>
      <c r="I7" t="inlineStr">
        <is>
          <t>OCTAVO</t>
        </is>
      </c>
      <c r="J7" t="inlineStr">
        <is>
          <t>TM</t>
        </is>
      </c>
      <c r="K7">
        <f>+E7/$L$1</f>
        <v/>
      </c>
      <c r="L7" s="12" t="n">
        <v>39</v>
      </c>
      <c r="M7" s="12" t="n">
        <v>42</v>
      </c>
      <c r="N7" s="13" t="n">
        <v>5</v>
      </c>
    </row>
    <row r="8">
      <c r="A8" s="8" t="inlineStr">
        <is>
          <t>Académica</t>
        </is>
      </c>
      <c r="B8" s="9">
        <f>+CONCATENATE(LEFT(D8,3),"-",C8)</f>
        <v/>
      </c>
      <c r="C8" s="9" t="inlineStr">
        <is>
          <t>14. Requiere supervisión constante para avanzar.</t>
        </is>
      </c>
      <c r="D8" s="10" t="inlineStr">
        <is>
          <t>Alerta/Mejora</t>
        </is>
      </c>
      <c r="E8" s="11" t="n">
        <v>7</v>
      </c>
      <c r="F8">
        <f>VLOOKUP(G8, $L$3:$N$7, 3, 1)</f>
        <v/>
      </c>
      <c r="G8">
        <f>+L$1-E8</f>
        <v/>
      </c>
      <c r="H8">
        <f>VLOOKUP(F8, REGLA1, 2, FALSE)</f>
        <v/>
      </c>
      <c r="I8" t="inlineStr">
        <is>
          <t>OCTAVO</t>
        </is>
      </c>
      <c r="J8" t="inlineStr">
        <is>
          <t>TM</t>
        </is>
      </c>
      <c r="K8">
        <f>+E8/$L$1</f>
        <v/>
      </c>
    </row>
    <row r="9">
      <c r="A9" s="8" t="inlineStr">
        <is>
          <t>Académica</t>
        </is>
      </c>
      <c r="B9" s="9">
        <f>+CONCATENATE(LEFT(D9,3),"-",C9)</f>
        <v/>
      </c>
      <c r="C9" s="9" t="inlineStr">
        <is>
          <t>16. Muestra apatía por temas nuevos.</t>
        </is>
      </c>
      <c r="D9" s="10" t="inlineStr">
        <is>
          <t>Alerta/Mejora</t>
        </is>
      </c>
      <c r="E9" s="11" t="n">
        <v>2</v>
      </c>
      <c r="F9">
        <f>VLOOKUP(G9, $L$3:$N$7, 3, 1)</f>
        <v/>
      </c>
      <c r="G9">
        <f>+L$1-E9</f>
        <v/>
      </c>
      <c r="H9">
        <f>VLOOKUP(F9, REGLA1, 2, FALSE)</f>
        <v/>
      </c>
      <c r="I9" t="inlineStr">
        <is>
          <t>OCTAVO</t>
        </is>
      </c>
      <c r="J9" t="inlineStr">
        <is>
          <t>TM</t>
        </is>
      </c>
      <c r="K9">
        <f>+E9/$L$1</f>
        <v/>
      </c>
    </row>
    <row r="10">
      <c r="A10" s="8" t="inlineStr">
        <is>
          <t>Conductual</t>
        </is>
      </c>
      <c r="B10" s="9">
        <f>+CONCATENATE(LEFT(D10,3),"-",C10)</f>
        <v/>
      </c>
      <c r="C10" s="9" t="inlineStr">
        <is>
          <t>18. Desafía activamente la autoridad.</t>
        </is>
      </c>
      <c r="D10" s="10" t="inlineStr">
        <is>
          <t>Alerta/Mejora</t>
        </is>
      </c>
      <c r="E10" s="11" t="n">
        <v>1</v>
      </c>
      <c r="F10">
        <f>VLOOKUP(G10, $L$3:$N$7, 3, 1)</f>
        <v/>
      </c>
      <c r="G10">
        <f>+L$1-E10</f>
        <v/>
      </c>
      <c r="H10">
        <f>VLOOKUP(F10, REGLA1, 2, FALSE)</f>
        <v/>
      </c>
      <c r="I10" t="inlineStr">
        <is>
          <t>OCTAVO</t>
        </is>
      </c>
      <c r="J10" t="inlineStr">
        <is>
          <t>TM</t>
        </is>
      </c>
      <c r="K10">
        <f>+E10/$L$1</f>
        <v/>
      </c>
    </row>
    <row r="11">
      <c r="A11" s="8" t="inlineStr">
        <is>
          <t>Conductual</t>
        </is>
      </c>
      <c r="B11" s="9">
        <f>+CONCATENATE(LEFT(D11,3),"-",C11)</f>
        <v/>
      </c>
      <c r="C11" s="9" t="inlineStr">
        <is>
          <t>20. Presenta retardos o inasistencias frecuentes.</t>
        </is>
      </c>
      <c r="D11" s="10" t="inlineStr">
        <is>
          <t>Alerta/Mejora</t>
        </is>
      </c>
      <c r="E11" s="11" t="n">
        <v>4</v>
      </c>
      <c r="F11">
        <f>VLOOKUP(G11, $L$3:$N$7, 3, 1)</f>
        <v/>
      </c>
      <c r="G11">
        <f>+L$1-E11</f>
        <v/>
      </c>
      <c r="H11">
        <f>VLOOKUP(F11, REGLA1, 2, FALSE)</f>
        <v/>
      </c>
      <c r="I11" t="inlineStr">
        <is>
          <t>OCTAVO</t>
        </is>
      </c>
      <c r="J11" t="inlineStr">
        <is>
          <t>TM</t>
        </is>
      </c>
      <c r="K11">
        <f>+E11/$L$1</f>
        <v/>
      </c>
    </row>
    <row r="12">
      <c r="A12" s="8" t="inlineStr">
        <is>
          <t>Conductual</t>
        </is>
      </c>
      <c r="B12" s="9">
        <f>+CONCATENATE(LEFT(D12,3),"-",C12)</f>
        <v/>
      </c>
      <c r="C12" s="9" t="inlineStr">
        <is>
          <t>22. Daña el mobiliario o materiales escolares.</t>
        </is>
      </c>
      <c r="D12" s="10" t="inlineStr">
        <is>
          <t>Alerta/Mejora</t>
        </is>
      </c>
      <c r="E12" s="11" t="n">
        <v>1</v>
      </c>
      <c r="F12">
        <f>VLOOKUP(G12, $L$3:$N$7, 3, 1)</f>
        <v/>
      </c>
      <c r="G12">
        <f>+L$1-E12</f>
        <v/>
      </c>
      <c r="H12">
        <f>VLOOKUP(F12, REGLA1, 2, FALSE)</f>
        <v/>
      </c>
      <c r="I12" t="inlineStr">
        <is>
          <t>OCTAVO</t>
        </is>
      </c>
      <c r="J12" t="inlineStr">
        <is>
          <t>TM</t>
        </is>
      </c>
      <c r="K12">
        <f>+E12/$L$1</f>
        <v/>
      </c>
    </row>
    <row r="13">
      <c r="A13" s="8" t="inlineStr">
        <is>
          <t>Conductual</t>
        </is>
      </c>
      <c r="B13" s="9">
        <f>+CONCATENATE(LEFT(D13,3),"-",C13)</f>
        <v/>
      </c>
      <c r="C13" s="9" t="inlineStr">
        <is>
          <t>24. Interrumpe constantemente el flujo de clase.</t>
        </is>
      </c>
      <c r="D13" s="10" t="inlineStr">
        <is>
          <t>Alerta/Mejora</t>
        </is>
      </c>
      <c r="E13" s="11" t="n">
        <v>9</v>
      </c>
      <c r="F13">
        <f>VLOOKUP(G13, $L$3:$N$7, 3, 1)</f>
        <v/>
      </c>
      <c r="G13">
        <f>+L$1-E13</f>
        <v/>
      </c>
      <c r="H13">
        <f>VLOOKUP(F13, REGLA1, 2, FALSE)</f>
        <v/>
      </c>
      <c r="I13" t="inlineStr">
        <is>
          <t>OCTAVO</t>
        </is>
      </c>
      <c r="J13" t="inlineStr">
        <is>
          <t>TM</t>
        </is>
      </c>
      <c r="K13">
        <f>+E13/$L$1</f>
        <v/>
      </c>
    </row>
    <row r="14">
      <c r="A14" s="8" t="inlineStr">
        <is>
          <t>Conductual</t>
        </is>
      </c>
      <c r="B14" s="9">
        <f>+CONCATENATE(LEFT(D14,3),"-",C14)</f>
        <v/>
      </c>
      <c r="C14" s="9" t="inlineStr">
        <is>
          <t>26. Emplea lenguaje soez o despectivo.</t>
        </is>
      </c>
      <c r="D14" s="10" t="inlineStr">
        <is>
          <t>Alerta/Mejora</t>
        </is>
      </c>
      <c r="E14" s="11" t="n">
        <v>2</v>
      </c>
      <c r="F14">
        <f>VLOOKUP(G14, $L$3:$N$7, 3, 1)</f>
        <v/>
      </c>
      <c r="G14">
        <f>+L$1-E14</f>
        <v/>
      </c>
      <c r="H14">
        <f>VLOOKUP(F14, REGLA1, 2, FALSE)</f>
        <v/>
      </c>
      <c r="I14" t="inlineStr">
        <is>
          <t>OCTAVO</t>
        </is>
      </c>
      <c r="J14" t="inlineStr">
        <is>
          <t>TM</t>
        </is>
      </c>
      <c r="K14">
        <f>+E14/$L$1</f>
        <v/>
      </c>
    </row>
    <row r="15">
      <c r="A15" s="8" t="inlineStr">
        <is>
          <t>Conductual</t>
        </is>
      </c>
      <c r="B15" s="9">
        <f>+CONCATENATE(LEFT(D15,3),"-",C15)</f>
        <v/>
      </c>
      <c r="C15" s="9" t="inlineStr">
        <is>
          <t>28. Miente o culpa a otros por sus actos.</t>
        </is>
      </c>
      <c r="D15" s="10" t="inlineStr">
        <is>
          <t>Alerta/Mejora</t>
        </is>
      </c>
      <c r="E15" s="11" t="n">
        <v>2</v>
      </c>
      <c r="F15">
        <f>VLOOKUP(G15, $L$3:$N$7, 3, 1)</f>
        <v/>
      </c>
      <c r="G15">
        <f>+L$1-E15</f>
        <v/>
      </c>
      <c r="H15">
        <f>VLOOKUP(F15, REGLA1, 2, FALSE)</f>
        <v/>
      </c>
      <c r="I15" t="inlineStr">
        <is>
          <t>OCTAVO</t>
        </is>
      </c>
      <c r="J15" t="inlineStr">
        <is>
          <t>TM</t>
        </is>
      </c>
      <c r="K15">
        <f>+E15/$L$1</f>
        <v/>
      </c>
    </row>
    <row r="16">
      <c r="A16" s="8" t="inlineStr">
        <is>
          <t>Conductual</t>
        </is>
      </c>
      <c r="B16" s="9">
        <f>+CONCATENATE(LEFT(D16,3),"-",C16)</f>
        <v/>
      </c>
      <c r="C16" s="9" t="inlineStr">
        <is>
          <t>30. Se distrae con dispositivos electrónicos.</t>
        </is>
      </c>
      <c r="D16" s="10" t="inlineStr">
        <is>
          <t>Alerta/Mejora</t>
        </is>
      </c>
      <c r="E16" s="11" t="n">
        <v>8</v>
      </c>
      <c r="F16">
        <f>VLOOKUP(G16, $L$3:$N$7, 3, 1)</f>
        <v/>
      </c>
      <c r="G16">
        <f>+L$1-E16</f>
        <v/>
      </c>
      <c r="H16">
        <f>VLOOKUP(F16, REGLA1, 2, FALSE)</f>
        <v/>
      </c>
      <c r="I16" t="inlineStr">
        <is>
          <t>OCTAVO</t>
        </is>
      </c>
      <c r="J16" t="inlineStr">
        <is>
          <t>TM</t>
        </is>
      </c>
      <c r="K16">
        <f>+E16/$L$1</f>
        <v/>
      </c>
    </row>
    <row r="17">
      <c r="A17" s="8" t="inlineStr">
        <is>
          <t>Conductual</t>
        </is>
      </c>
      <c r="B17" s="9">
        <f>+CONCATENATE(LEFT(D17,3),"-",C17)</f>
        <v/>
      </c>
      <c r="C17" s="9" t="inlineStr">
        <is>
          <t>32. Fomenta el desorden o el caos en el grupo.</t>
        </is>
      </c>
      <c r="D17" s="10" t="inlineStr">
        <is>
          <t>Alerta/Mejora</t>
        </is>
      </c>
      <c r="E17" s="11" t="n">
        <v>5</v>
      </c>
      <c r="F17">
        <f>VLOOKUP(G17, $L$3:$N$7, 3, 1)</f>
        <v/>
      </c>
      <c r="G17">
        <f>+L$1-E17</f>
        <v/>
      </c>
      <c r="H17">
        <f>VLOOKUP(F17, REGLA1, 2, FALSE)</f>
        <v/>
      </c>
      <c r="I17" t="inlineStr">
        <is>
          <t>OCTAVO</t>
        </is>
      </c>
      <c r="J17" t="inlineStr">
        <is>
          <t>TM</t>
        </is>
      </c>
      <c r="K17">
        <f>+E17/$L$1</f>
        <v/>
      </c>
    </row>
    <row r="18">
      <c r="A18" s="8" t="inlineStr">
        <is>
          <t>Socio-Emocional</t>
        </is>
      </c>
      <c r="B18" s="9">
        <f>+CONCATENATE(LEFT(D18,3),"-",C18)</f>
        <v/>
      </c>
      <c r="C18" s="9" t="inlineStr">
        <is>
          <t>34. Se rinde fácilmente ante la frustración.</t>
        </is>
      </c>
      <c r="D18" s="10" t="inlineStr">
        <is>
          <t>Alerta/Mejora</t>
        </is>
      </c>
      <c r="E18" s="11" t="n">
        <v>6</v>
      </c>
      <c r="F18">
        <f>VLOOKUP(G18, $L$3:$N$7, 3, 1)</f>
        <v/>
      </c>
      <c r="G18">
        <f>+L$1-E18</f>
        <v/>
      </c>
      <c r="H18">
        <f>VLOOKUP(F18, REGLA1, 2, FALSE)</f>
        <v/>
      </c>
      <c r="I18" t="inlineStr">
        <is>
          <t>OCTAVO</t>
        </is>
      </c>
      <c r="J18" t="inlineStr">
        <is>
          <t>TM</t>
        </is>
      </c>
      <c r="K18">
        <f>+E18/$L$1</f>
        <v/>
      </c>
    </row>
    <row r="19">
      <c r="A19" s="8" t="inlineStr">
        <is>
          <t>Socio-Emocional</t>
        </is>
      </c>
      <c r="B19" s="9">
        <f>+CONCATENATE(LEFT(D19,3),"-",C19)</f>
        <v/>
      </c>
      <c r="C19" s="9" t="inlineStr">
        <is>
          <t>36. Trabaja de forma aislada o es individualista.</t>
        </is>
      </c>
      <c r="D19" s="10" t="inlineStr">
        <is>
          <t>Alerta/Mejora</t>
        </is>
      </c>
      <c r="E19" s="11" t="n">
        <v>3</v>
      </c>
      <c r="F19">
        <f>VLOOKUP(G19, $L$3:$N$7, 3, 1)</f>
        <v/>
      </c>
      <c r="G19">
        <f>+L$1-E19</f>
        <v/>
      </c>
      <c r="H19">
        <f>VLOOKUP(F19, REGLA1, 2, FALSE)</f>
        <v/>
      </c>
      <c r="I19" t="inlineStr">
        <is>
          <t>OCTAVO</t>
        </is>
      </c>
      <c r="J19" t="inlineStr">
        <is>
          <t>TM</t>
        </is>
      </c>
      <c r="K19">
        <f>+E19/$L$1</f>
        <v/>
      </c>
    </row>
    <row r="20">
      <c r="A20" s="8" t="inlineStr">
        <is>
          <t>Socio-Emocional</t>
        </is>
      </c>
      <c r="B20" s="9">
        <f>+CONCATENATE(LEFT(D20,3),"-",C20)</f>
        <v/>
      </c>
      <c r="C20" s="9" t="inlineStr">
        <is>
          <t>38. Ignora o se burla de los sentimientos de otros.</t>
        </is>
      </c>
      <c r="D20" s="10" t="inlineStr">
        <is>
          <t>Alerta/Mejora</t>
        </is>
      </c>
      <c r="E20" s="11" t="n">
        <v>2</v>
      </c>
      <c r="F20">
        <f>VLOOKUP(G20, $L$3:$N$7, 3, 1)</f>
        <v/>
      </c>
      <c r="G20">
        <f>+L$1-E20</f>
        <v/>
      </c>
      <c r="H20">
        <f>VLOOKUP(F20, REGLA1, 2, FALSE)</f>
        <v/>
      </c>
      <c r="I20" t="inlineStr">
        <is>
          <t>OCTAVO</t>
        </is>
      </c>
      <c r="J20" t="inlineStr">
        <is>
          <t>TM</t>
        </is>
      </c>
      <c r="K20">
        <f>+E20/$L$1</f>
        <v/>
      </c>
    </row>
    <row r="21">
      <c r="A21" s="8" t="inlineStr">
        <is>
          <t>Socio-Emocional</t>
        </is>
      </c>
      <c r="B21" s="9">
        <f>+CONCATENATE(LEFT(D21,3),"-",C21)</f>
        <v/>
      </c>
      <c r="C21" s="9" t="inlineStr">
        <is>
          <t>40. Ejerce presión negativa o bullying.</t>
        </is>
      </c>
      <c r="D21" s="10" t="inlineStr">
        <is>
          <t>Alerta/Mejora</t>
        </is>
      </c>
      <c r="E21" s="11" t="n">
        <v>1</v>
      </c>
      <c r="F21">
        <f>VLOOKUP(G21, $L$3:$N$7, 3, 1)</f>
        <v/>
      </c>
      <c r="G21">
        <f>+L$1-E21</f>
        <v/>
      </c>
      <c r="H21">
        <f>VLOOKUP(F21, REGLA1, 2, FALSE)</f>
        <v/>
      </c>
      <c r="I21" t="inlineStr">
        <is>
          <t>OCTAVO</t>
        </is>
      </c>
      <c r="J21" t="inlineStr">
        <is>
          <t>TM</t>
        </is>
      </c>
      <c r="K21">
        <f>+E21/$L$1</f>
        <v/>
      </c>
    </row>
    <row r="22">
      <c r="A22" s="8" t="inlineStr">
        <is>
          <t>Socio-Emocional</t>
        </is>
      </c>
      <c r="B22" s="9">
        <f>+CONCATENATE(LEFT(D22,3),"-",C22)</f>
        <v/>
      </c>
      <c r="C22" s="9" t="inlineStr">
        <is>
          <t>42. Reacciona de forma agresiva o impulsiva.</t>
        </is>
      </c>
      <c r="D22" s="10" t="inlineStr">
        <is>
          <t>Alerta/Mejora</t>
        </is>
      </c>
      <c r="E22" s="11" t="n">
        <v>2</v>
      </c>
      <c r="F22">
        <f>VLOOKUP(G22, $L$3:$N$7, 3, 1)</f>
        <v/>
      </c>
      <c r="G22">
        <f>+L$1-E22</f>
        <v/>
      </c>
      <c r="H22">
        <f>VLOOKUP(F22, REGLA1, 2, FALSE)</f>
        <v/>
      </c>
      <c r="I22" t="inlineStr">
        <is>
          <t>OCTAVO</t>
        </is>
      </c>
      <c r="J22" t="inlineStr">
        <is>
          <t>TM</t>
        </is>
      </c>
      <c r="K22">
        <f>+E22/$L$1</f>
        <v/>
      </c>
    </row>
    <row r="23">
      <c r="A23" s="8" t="inlineStr">
        <is>
          <t>Socio-Emocional</t>
        </is>
      </c>
      <c r="B23" s="9">
        <f>+CONCATENATE(LEFT(D23,3),"-",C23)</f>
        <v/>
      </c>
      <c r="C23" s="9" t="inlineStr">
        <is>
          <t>44. Expresa inseguridad constante ("no puedo").</t>
        </is>
      </c>
      <c r="D23" s="10" t="inlineStr">
        <is>
          <t>Alerta/Mejora</t>
        </is>
      </c>
      <c r="E23" s="11" t="n">
        <v>5</v>
      </c>
      <c r="F23">
        <f>VLOOKUP(G23, $L$3:$N$7, 3, 1)</f>
        <v/>
      </c>
      <c r="G23">
        <f>+L$1-E23</f>
        <v/>
      </c>
      <c r="H23">
        <f>VLOOKUP(F23, REGLA1, 2, FALSE)</f>
        <v/>
      </c>
      <c r="I23" t="inlineStr">
        <is>
          <t>OCTAVO</t>
        </is>
      </c>
      <c r="J23" t="inlineStr">
        <is>
          <t>TM</t>
        </is>
      </c>
      <c r="K23">
        <f>+E23/$L$1</f>
        <v/>
      </c>
    </row>
    <row r="24">
      <c r="A24" s="8" t="inlineStr">
        <is>
          <t>Actitudinal</t>
        </is>
      </c>
      <c r="B24" s="9">
        <f>+CONCATENATE(LEFT(D24,3),"-",C24)</f>
        <v/>
      </c>
      <c r="C24" s="9" t="inlineStr">
        <is>
          <t>46. Requiere estímulos externos para trabajar.</t>
        </is>
      </c>
      <c r="D24" s="10" t="inlineStr">
        <is>
          <t>Alerta/Mejora</t>
        </is>
      </c>
      <c r="E24" s="11" t="n">
        <v>7</v>
      </c>
      <c r="F24">
        <f>VLOOKUP(G24, $L$3:$N$7, 3, 1)</f>
        <v/>
      </c>
      <c r="G24">
        <f>+L$1-E24</f>
        <v/>
      </c>
      <c r="H24">
        <f>VLOOKUP(F24, REGLA1, 2, FALSE)</f>
        <v/>
      </c>
      <c r="I24" t="inlineStr">
        <is>
          <t>OCTAVO</t>
        </is>
      </c>
      <c r="J24" t="inlineStr">
        <is>
          <t>TM</t>
        </is>
      </c>
      <c r="K24">
        <f>+E24/$L$1</f>
        <v/>
      </c>
    </row>
    <row r="25">
      <c r="A25" s="8" t="inlineStr">
        <is>
          <t>Actitudinal</t>
        </is>
      </c>
      <c r="B25" s="9">
        <f>+CONCATENATE(LEFT(D25,3),"-",C25)</f>
        <v/>
      </c>
      <c r="C25" s="9" t="inlineStr">
        <is>
          <t>48. Abandona proyectos a mitad de camino.</t>
        </is>
      </c>
      <c r="D25" s="10" t="inlineStr">
        <is>
          <t>Alerta/Mejora</t>
        </is>
      </c>
      <c r="E25" s="11" t="n">
        <v>3</v>
      </c>
      <c r="F25">
        <f>VLOOKUP(G25, $L$3:$N$7, 3, 1)</f>
        <v/>
      </c>
      <c r="G25">
        <f>+L$1-E25</f>
        <v/>
      </c>
      <c r="H25">
        <f>VLOOKUP(F25, REGLA1, 2, FALSE)</f>
        <v/>
      </c>
      <c r="I25" t="inlineStr">
        <is>
          <t>OCTAVO</t>
        </is>
      </c>
      <c r="J25" t="inlineStr">
        <is>
          <t>TM</t>
        </is>
      </c>
      <c r="K25">
        <f>+E25/$L$1</f>
        <v/>
      </c>
    </row>
    <row r="26">
      <c r="A26" s="8" t="inlineStr">
        <is>
          <t>Actitudinal</t>
        </is>
      </c>
      <c r="B26" s="9">
        <f>+CONCATENATE(LEFT(D26,3),"-",C26)</f>
        <v/>
      </c>
      <c r="C26" s="9" t="inlineStr">
        <is>
          <t>50. Se muestra a la defensiva ante críticas.</t>
        </is>
      </c>
      <c r="D26" s="10" t="inlineStr">
        <is>
          <t>Alerta/Mejora</t>
        </is>
      </c>
      <c r="E26" s="11" t="n">
        <v>4</v>
      </c>
      <c r="F26">
        <f>VLOOKUP(G26, $L$3:$N$7, 3, 1)</f>
        <v/>
      </c>
      <c r="G26">
        <f>+L$1-E26</f>
        <v/>
      </c>
      <c r="H26">
        <f>VLOOKUP(F26, REGLA1, 2, FALSE)</f>
        <v/>
      </c>
      <c r="I26" t="inlineStr">
        <is>
          <t>OCTAVO</t>
        </is>
      </c>
      <c r="J26" t="inlineStr">
        <is>
          <t>TM</t>
        </is>
      </c>
      <c r="K26">
        <f>+E26/$L$1</f>
        <v/>
      </c>
    </row>
    <row r="27">
      <c r="A27" s="15" t="inlineStr">
        <is>
          <t>Académica</t>
        </is>
      </c>
      <c r="B27" s="9">
        <f>+CONCATENATE(LEFT(D27,3),"-",C27)</f>
        <v/>
      </c>
      <c r="C27" s="16" t="inlineStr">
        <is>
          <t>01. Domina los conceptos clave del grado.</t>
        </is>
      </c>
      <c r="D27" s="17" t="inlineStr">
        <is>
          <t>Fortaleza/Logro</t>
        </is>
      </c>
      <c r="E27" s="11" t="n">
        <v>12</v>
      </c>
      <c r="F27">
        <f>VLOOKUP(G27, $L$3:$N$7, 3, 1)</f>
        <v/>
      </c>
      <c r="G27">
        <f>+E27</f>
        <v/>
      </c>
      <c r="H27">
        <f>VLOOKUP(F27, REGLA1, 2, FALSE)</f>
        <v/>
      </c>
      <c r="I27" t="inlineStr">
        <is>
          <t>OCTAVO</t>
        </is>
      </c>
      <c r="J27" t="inlineStr">
        <is>
          <t>TM</t>
        </is>
      </c>
      <c r="K27">
        <f>+E27/$L$1</f>
        <v/>
      </c>
    </row>
    <row r="28">
      <c r="A28" s="15" t="inlineStr">
        <is>
          <t>Académica</t>
        </is>
      </c>
      <c r="B28" s="9">
        <f>+CONCATENATE(LEFT(D28,3),"-",C28)</f>
        <v/>
      </c>
      <c r="C28" s="16" t="inlineStr">
        <is>
          <t>03. Posee un pensamiento crítico y analítico.</t>
        </is>
      </c>
      <c r="D28" s="17" t="inlineStr">
        <is>
          <t>Fortaleza/Logro</t>
        </is>
      </c>
      <c r="E28" s="11" t="n">
        <v>11</v>
      </c>
      <c r="F28">
        <f>VLOOKUP(G28, $L$3:$N$7, 3, 1)</f>
        <v/>
      </c>
      <c r="G28">
        <f>+E28</f>
        <v/>
      </c>
      <c r="H28">
        <f>VLOOKUP(F28, REGLA1, 2, FALSE)</f>
        <v/>
      </c>
      <c r="I28" t="inlineStr">
        <is>
          <t>OCTAVO</t>
        </is>
      </c>
      <c r="J28" t="inlineStr">
        <is>
          <t>TM</t>
        </is>
      </c>
      <c r="K28">
        <f>+E28/$L$1</f>
        <v/>
      </c>
    </row>
    <row r="29">
      <c r="A29" s="15" t="inlineStr">
        <is>
          <t>Académica</t>
        </is>
      </c>
      <c r="B29" s="9">
        <f>+CONCATENATE(LEFT(D29,3),"-",C29)</f>
        <v/>
      </c>
      <c r="C29" s="16" t="inlineStr">
        <is>
          <t>05. Entrega trabajos con alta calidad y orden.</t>
        </is>
      </c>
      <c r="D29" s="17" t="inlineStr">
        <is>
          <t>Fortaleza/Logro</t>
        </is>
      </c>
      <c r="E29" s="11" t="n">
        <v>13</v>
      </c>
      <c r="F29">
        <f>VLOOKUP(G29, $L$3:$N$7, 3, 1)</f>
        <v/>
      </c>
      <c r="G29">
        <f>+E29</f>
        <v/>
      </c>
      <c r="H29">
        <f>VLOOKUP(F29, REGLA1, 2, FALSE)</f>
        <v/>
      </c>
      <c r="I29" t="inlineStr">
        <is>
          <t>OCTAVO</t>
        </is>
      </c>
      <c r="J29" t="inlineStr">
        <is>
          <t>TM</t>
        </is>
      </c>
      <c r="K29">
        <f>+E29/$L$1</f>
        <v/>
      </c>
    </row>
    <row r="30">
      <c r="A30" s="15" t="inlineStr">
        <is>
          <t>Académica</t>
        </is>
      </c>
      <c r="B30" s="9">
        <f>+CONCATENATE(LEFT(D30,3),"-",C30)</f>
        <v/>
      </c>
      <c r="C30" s="16" t="inlineStr">
        <is>
          <t>07. Resuelve problemas lógicos con fluidez.</t>
        </is>
      </c>
      <c r="D30" s="17" t="inlineStr">
        <is>
          <t>Fortaleza/Logro</t>
        </is>
      </c>
      <c r="E30" s="11" t="n">
        <v>10</v>
      </c>
      <c r="F30">
        <f>VLOOKUP(G30, $L$3:$N$7, 3, 1)</f>
        <v/>
      </c>
      <c r="G30">
        <f>+E30</f>
        <v/>
      </c>
      <c r="H30">
        <f>VLOOKUP(F30, REGLA1, 2, FALSE)</f>
        <v/>
      </c>
      <c r="I30" t="inlineStr">
        <is>
          <t>OCTAVO</t>
        </is>
      </c>
      <c r="J30" t="inlineStr">
        <is>
          <t>TM</t>
        </is>
      </c>
      <c r="K30">
        <f>+E30/$L$1</f>
        <v/>
      </c>
    </row>
    <row r="31">
      <c r="A31" s="15" t="inlineStr">
        <is>
          <t>Académica</t>
        </is>
      </c>
      <c r="B31" s="9">
        <f>+CONCATENATE(LEFT(D31,3),"-",C31)</f>
        <v/>
      </c>
      <c r="C31" s="16" t="inlineStr">
        <is>
          <t>09. Utiliza vocabulario técnico preciso.</t>
        </is>
      </c>
      <c r="D31" s="17" t="inlineStr">
        <is>
          <t>Fortaleza/Logro</t>
        </is>
      </c>
      <c r="E31" s="11" t="n">
        <v>12</v>
      </c>
      <c r="F31">
        <f>VLOOKUP(G31, $L$3:$N$7, 3, 1)</f>
        <v/>
      </c>
      <c r="G31">
        <f>+E31</f>
        <v/>
      </c>
      <c r="H31">
        <f>VLOOKUP(F31, REGLA1, 2, FALSE)</f>
        <v/>
      </c>
      <c r="I31" t="inlineStr">
        <is>
          <t>OCTAVO</t>
        </is>
      </c>
      <c r="J31" t="inlineStr">
        <is>
          <t>TM</t>
        </is>
      </c>
      <c r="K31">
        <f>+E31/$L$1</f>
        <v/>
      </c>
    </row>
    <row r="32">
      <c r="A32" s="15" t="inlineStr">
        <is>
          <t>Académica</t>
        </is>
      </c>
      <c r="B32" s="9">
        <f>+CONCATENATE(LEFT(D32,3),"-",C32)</f>
        <v/>
      </c>
      <c r="C32" s="16" t="inlineStr">
        <is>
          <t>11. Posee excelentes hábitos de lectura.</t>
        </is>
      </c>
      <c r="D32" s="17" t="inlineStr">
        <is>
          <t>Fortaleza/Logro</t>
        </is>
      </c>
      <c r="E32" s="11" t="n">
        <v>11</v>
      </c>
      <c r="F32">
        <f>VLOOKUP(G32, $L$3:$N$7, 3, 1)</f>
        <v/>
      </c>
      <c r="G32">
        <f>+E32</f>
        <v/>
      </c>
      <c r="H32">
        <f>VLOOKUP(F32, REGLA1, 2, FALSE)</f>
        <v/>
      </c>
      <c r="I32" t="inlineStr">
        <is>
          <t>OCTAVO</t>
        </is>
      </c>
      <c r="J32" t="inlineStr">
        <is>
          <t>TM</t>
        </is>
      </c>
      <c r="K32">
        <f>+E32/$L$1</f>
        <v/>
      </c>
    </row>
    <row r="33">
      <c r="A33" s="15" t="inlineStr">
        <is>
          <t>Académica</t>
        </is>
      </c>
      <c r="B33" s="9">
        <f>+CONCATENATE(LEFT(D33,3),"-",C33)</f>
        <v/>
      </c>
      <c r="C33" s="16" t="inlineStr">
        <is>
          <t>13. Es autónomo en la realización de tareas.</t>
        </is>
      </c>
      <c r="D33" s="17" t="inlineStr">
        <is>
          <t>Fortaleza/Logro</t>
        </is>
      </c>
      <c r="E33" s="11" t="n">
        <v>14</v>
      </c>
      <c r="F33">
        <f>VLOOKUP(G33, $L$3:$N$7, 3, 1)</f>
        <v/>
      </c>
      <c r="G33">
        <f>+E33</f>
        <v/>
      </c>
      <c r="H33">
        <f>VLOOKUP(F33, REGLA1, 2, FALSE)</f>
        <v/>
      </c>
      <c r="I33" t="inlineStr">
        <is>
          <t>OCTAVO</t>
        </is>
      </c>
      <c r="J33" t="inlineStr">
        <is>
          <t>TM</t>
        </is>
      </c>
      <c r="K33">
        <f>+E33/$L$1</f>
        <v/>
      </c>
    </row>
    <row r="34">
      <c r="A34" s="15" t="inlineStr">
        <is>
          <t>Académica</t>
        </is>
      </c>
      <c r="B34" s="9">
        <f>+CONCATENATE(LEFT(D34,3),"-",C34)</f>
        <v/>
      </c>
      <c r="C34" s="16" t="inlineStr">
        <is>
          <t>15. Investiga más allá de lo solicitado.</t>
        </is>
      </c>
      <c r="D34" s="17" t="inlineStr">
        <is>
          <t>Fortaleza/Logro</t>
        </is>
      </c>
      <c r="E34" s="11" t="n">
        <v>10</v>
      </c>
      <c r="F34">
        <f>VLOOKUP(G34, $L$3:$N$7, 3, 1)</f>
        <v/>
      </c>
      <c r="G34">
        <f>+E34</f>
        <v/>
      </c>
      <c r="H34">
        <f>VLOOKUP(F34, REGLA1, 2, FALSE)</f>
        <v/>
      </c>
      <c r="I34" t="inlineStr">
        <is>
          <t>OCTAVO</t>
        </is>
      </c>
      <c r="J34" t="inlineStr">
        <is>
          <t>TM</t>
        </is>
      </c>
      <c r="K34">
        <f>+E34/$L$1</f>
        <v/>
      </c>
    </row>
    <row r="35">
      <c r="A35" s="15" t="inlineStr">
        <is>
          <t>Conductual</t>
        </is>
      </c>
      <c r="B35" s="9">
        <f>+CONCATENATE(LEFT(D35,3),"-",C35)</f>
        <v/>
      </c>
      <c r="C35" s="16" t="inlineStr">
        <is>
          <t>17. Respeta las normas de convivencia.</t>
        </is>
      </c>
      <c r="D35" s="17" t="inlineStr">
        <is>
          <t>Fortaleza/Logro</t>
        </is>
      </c>
      <c r="E35" s="11" t="n">
        <v>13</v>
      </c>
      <c r="F35">
        <f>VLOOKUP(G35, $L$3:$N$7, 3, 1)</f>
        <v/>
      </c>
      <c r="G35">
        <f>+E35</f>
        <v/>
      </c>
      <c r="H35">
        <f>VLOOKUP(F35, REGLA1, 2, FALSE)</f>
        <v/>
      </c>
      <c r="I35" t="inlineStr">
        <is>
          <t>OCTAVO</t>
        </is>
      </c>
      <c r="J35" t="inlineStr">
        <is>
          <t>TM</t>
        </is>
      </c>
      <c r="K35">
        <f>+E35/$L$1</f>
        <v/>
      </c>
    </row>
    <row r="36">
      <c r="A36" s="15" t="inlineStr">
        <is>
          <t>Conductual</t>
        </is>
      </c>
      <c r="B36" s="9">
        <f>+CONCATENATE(LEFT(D36,3),"-",C36)</f>
        <v/>
      </c>
      <c r="C36" s="16" t="inlineStr">
        <is>
          <t>19. Es puntual en todas sus obligaciones.</t>
        </is>
      </c>
      <c r="D36" s="17" t="inlineStr">
        <is>
          <t>Fortaleza/Logro</t>
        </is>
      </c>
      <c r="E36" s="11" t="n">
        <v>12</v>
      </c>
      <c r="F36">
        <f>VLOOKUP(G36, $L$3:$N$7, 3, 1)</f>
        <v/>
      </c>
      <c r="G36">
        <f>+E36</f>
        <v/>
      </c>
      <c r="H36">
        <f>VLOOKUP(F36, REGLA1, 2, FALSE)</f>
        <v/>
      </c>
      <c r="I36" t="inlineStr">
        <is>
          <t>OCTAVO</t>
        </is>
      </c>
      <c r="J36" t="inlineStr">
        <is>
          <t>TM</t>
        </is>
      </c>
      <c r="K36">
        <f>+E36/$L$1</f>
        <v/>
      </c>
    </row>
    <row r="37">
      <c r="A37" s="15" t="inlineStr">
        <is>
          <t>Conductual</t>
        </is>
      </c>
      <c r="B37" s="9">
        <f>+CONCATENATE(LEFT(D37,3),"-",C37)</f>
        <v/>
      </c>
      <c r="C37" s="16" t="inlineStr">
        <is>
          <t>21. Cuida el material propio y ajeno.</t>
        </is>
      </c>
      <c r="D37" s="17" t="inlineStr">
        <is>
          <t>Fortaleza/Logro</t>
        </is>
      </c>
      <c r="E37" s="11" t="n">
        <v>14</v>
      </c>
      <c r="F37">
        <f>VLOOKUP(G37, $L$3:$N$7, 3, 1)</f>
        <v/>
      </c>
      <c r="G37">
        <f>+E37</f>
        <v/>
      </c>
      <c r="H37">
        <f>VLOOKUP(F37, REGLA1, 2, FALSE)</f>
        <v/>
      </c>
      <c r="I37" t="inlineStr">
        <is>
          <t>OCTAVO</t>
        </is>
      </c>
      <c r="J37" t="inlineStr">
        <is>
          <t>TM</t>
        </is>
      </c>
      <c r="K37">
        <f>+E37/$L$1</f>
        <v/>
      </c>
    </row>
    <row r="38">
      <c r="A38" s="15" t="inlineStr">
        <is>
          <t>Conductual</t>
        </is>
      </c>
      <c r="B38" s="9">
        <f>+CONCATENATE(LEFT(D38,3),"-",C38)</f>
        <v/>
      </c>
      <c r="C38" s="16" t="inlineStr">
        <is>
          <t>23. Escucha con atención y no interrumpe.</t>
        </is>
      </c>
      <c r="D38" s="17" t="inlineStr">
        <is>
          <t>Fortaleza/Logro</t>
        </is>
      </c>
      <c r="E38" s="11" t="n">
        <v>12</v>
      </c>
      <c r="F38">
        <f>VLOOKUP(G38, $L$3:$N$7, 3, 1)</f>
        <v/>
      </c>
      <c r="G38">
        <f>+E38</f>
        <v/>
      </c>
      <c r="H38">
        <f>VLOOKUP(F38, REGLA1, 2, FALSE)</f>
        <v/>
      </c>
      <c r="I38" t="inlineStr">
        <is>
          <t>OCTAVO</t>
        </is>
      </c>
      <c r="J38" t="inlineStr">
        <is>
          <t>TM</t>
        </is>
      </c>
      <c r="K38">
        <f>+E38/$L$1</f>
        <v/>
      </c>
    </row>
    <row r="39">
      <c r="A39" s="15" t="inlineStr">
        <is>
          <t>Conductual</t>
        </is>
      </c>
      <c r="B39" s="9">
        <f>+CONCATENATE(LEFT(D39,3),"-",C39)</f>
        <v/>
      </c>
      <c r="C39" s="16" t="inlineStr">
        <is>
          <t>25. Utiliza el lenguaje de forma respetuosa.</t>
        </is>
      </c>
      <c r="D39" s="17" t="inlineStr">
        <is>
          <t>Fortaleza/Logro</t>
        </is>
      </c>
      <c r="E39" s="11" t="n">
        <v>14</v>
      </c>
      <c r="F39">
        <f>VLOOKUP(G39, $L$3:$N$7, 3, 1)</f>
        <v/>
      </c>
      <c r="G39">
        <f>+E39</f>
        <v/>
      </c>
      <c r="H39">
        <f>VLOOKUP(F39, REGLA1, 2, FALSE)</f>
        <v/>
      </c>
      <c r="I39" t="inlineStr">
        <is>
          <t>OCTAVO</t>
        </is>
      </c>
      <c r="J39" t="inlineStr">
        <is>
          <t>TM</t>
        </is>
      </c>
      <c r="K39">
        <f>+E39/$L$1</f>
        <v/>
      </c>
    </row>
    <row r="40">
      <c r="A40" s="15" t="inlineStr">
        <is>
          <t>Conductual</t>
        </is>
      </c>
      <c r="B40" s="9">
        <f>+CONCATENATE(LEFT(D40,3),"-",C40)</f>
        <v/>
      </c>
      <c r="C40" s="16" t="inlineStr">
        <is>
          <t>27. Reconoce sus errores honestamente.</t>
        </is>
      </c>
      <c r="D40" s="17" t="inlineStr">
        <is>
          <t>Fortaleza/Logro</t>
        </is>
      </c>
      <c r="E40" s="11" t="n">
        <v>13</v>
      </c>
      <c r="F40">
        <f>VLOOKUP(G40, $L$3:$N$7, 3, 1)</f>
        <v/>
      </c>
      <c r="G40">
        <f>+E40</f>
        <v/>
      </c>
      <c r="H40">
        <f>VLOOKUP(F40, REGLA1, 2, FALSE)</f>
        <v/>
      </c>
      <c r="I40" t="inlineStr">
        <is>
          <t>OCTAVO</t>
        </is>
      </c>
      <c r="J40" t="inlineStr">
        <is>
          <t>TM</t>
        </is>
      </c>
      <c r="K40">
        <f>+E40/$L$1</f>
        <v/>
      </c>
      <c r="N40" s="1" t="inlineStr">
        <is>
          <t>Suma de Cantidad de veces</t>
        </is>
      </c>
      <c r="O40" s="1" t="inlineStr">
        <is>
          <t>Etiquetas de columna</t>
        </is>
      </c>
    </row>
    <row r="41">
      <c r="A41" s="15" t="inlineStr">
        <is>
          <t>Conductual</t>
        </is>
      </c>
      <c r="B41" s="9">
        <f>+CONCATENATE(LEFT(D41,3),"-",C41)</f>
        <v/>
      </c>
      <c r="C41" s="16" t="inlineStr">
        <is>
          <t>29. Usa la tecnología con fines educativos.</t>
        </is>
      </c>
      <c r="D41" s="17" t="inlineStr">
        <is>
          <t>Fortaleza/Logro</t>
        </is>
      </c>
      <c r="E41" s="11" t="n">
        <v>11</v>
      </c>
      <c r="F41">
        <f>VLOOKUP(G41, $L$3:$N$7, 3, 1)</f>
        <v/>
      </c>
      <c r="G41">
        <f>+E41</f>
        <v/>
      </c>
      <c r="H41">
        <f>VLOOKUP(F41, REGLA1, 2, FALSE)</f>
        <v/>
      </c>
      <c r="I41" t="inlineStr">
        <is>
          <t>OCTAVO</t>
        </is>
      </c>
      <c r="J41" t="inlineStr">
        <is>
          <t>TM</t>
        </is>
      </c>
      <c r="K41">
        <f>+E41/$L$1</f>
        <v/>
      </c>
      <c r="N41" s="1" t="inlineStr">
        <is>
          <t>Etiquetas de fila</t>
        </is>
      </c>
      <c r="O41" t="inlineStr">
        <is>
          <t>Alerta/Mejora</t>
        </is>
      </c>
      <c r="P41" t="inlineStr">
        <is>
          <t>Fortaleza/Logro</t>
        </is>
      </c>
      <c r="Q41" t="inlineStr">
        <is>
          <t>Total general</t>
        </is>
      </c>
    </row>
    <row r="42">
      <c r="A42" s="15" t="inlineStr">
        <is>
          <t>Conductual</t>
        </is>
      </c>
      <c r="B42" s="9">
        <f>+CONCATENATE(LEFT(D42,3),"-",C42)</f>
        <v/>
      </c>
      <c r="C42" s="16" t="inlineStr">
        <is>
          <t>31. Mantiene el orden en espacios comunes.</t>
        </is>
      </c>
      <c r="D42" s="17" t="inlineStr">
        <is>
          <t>Fortaleza/Logro</t>
        </is>
      </c>
      <c r="E42" s="11" t="n">
        <v>12</v>
      </c>
      <c r="F42">
        <f>VLOOKUP(G42, $L$3:$N$7, 3, 1)</f>
        <v/>
      </c>
      <c r="G42">
        <f>+E42</f>
        <v/>
      </c>
      <c r="H42">
        <f>VLOOKUP(F42, REGLA1, 2, FALSE)</f>
        <v/>
      </c>
      <c r="I42" t="inlineStr">
        <is>
          <t>OCTAVO</t>
        </is>
      </c>
      <c r="J42" t="inlineStr">
        <is>
          <t>TM</t>
        </is>
      </c>
      <c r="K42">
        <f>+E42/$L$1</f>
        <v/>
      </c>
      <c r="N42" s="3" t="inlineStr">
        <is>
          <t>Académica</t>
        </is>
      </c>
      <c r="O42" t="n">
        <v>19</v>
      </c>
      <c r="P42" t="n">
        <v>99</v>
      </c>
      <c r="Q42" t="n">
        <v>118</v>
      </c>
    </row>
    <row r="43">
      <c r="A43" s="15" t="inlineStr">
        <is>
          <t>Socio-Emocional</t>
        </is>
      </c>
      <c r="B43" s="9">
        <f>+CONCATENATE(LEFT(D43,3),"-",C43)</f>
        <v/>
      </c>
      <c r="C43" s="16" t="inlineStr">
        <is>
          <t>33. Muestra resiliencia ante el fracaso.</t>
        </is>
      </c>
      <c r="D43" s="17" t="inlineStr">
        <is>
          <t>Fortaleza/Logro</t>
        </is>
      </c>
      <c r="E43" s="11" t="n">
        <v>11</v>
      </c>
      <c r="F43">
        <f>VLOOKUP(G43, $L$3:$N$7, 3, 1)</f>
        <v/>
      </c>
      <c r="G43">
        <f>+E43</f>
        <v/>
      </c>
      <c r="H43">
        <f>VLOOKUP(F43, REGLA1, 2, FALSE)</f>
        <v/>
      </c>
      <c r="I43" t="inlineStr">
        <is>
          <t>OCTAVO</t>
        </is>
      </c>
      <c r="J43" t="inlineStr">
        <is>
          <t>TM</t>
        </is>
      </c>
      <c r="K43">
        <f>+E43/$L$1</f>
        <v/>
      </c>
      <c r="N43" s="3" t="inlineStr">
        <is>
          <t>Actitudinal</t>
        </is>
      </c>
      <c r="O43" t="n">
        <v>2</v>
      </c>
      <c r="P43" t="n">
        <v>34</v>
      </c>
      <c r="Q43" t="n">
        <v>36</v>
      </c>
    </row>
    <row r="44">
      <c r="A44" s="15" t="inlineStr">
        <is>
          <t>Socio-Emocional</t>
        </is>
      </c>
      <c r="B44" s="9">
        <f>+CONCATENATE(LEFT(D44,3),"-",C44)</f>
        <v/>
      </c>
      <c r="C44" s="16" t="inlineStr">
        <is>
          <t>35. Trabaja de forma colaborativa y equitativa.</t>
        </is>
      </c>
      <c r="D44" s="17" t="inlineStr">
        <is>
          <t>Fortaleza/Logro</t>
        </is>
      </c>
      <c r="E44" s="11" t="n">
        <v>14</v>
      </c>
      <c r="F44">
        <f>VLOOKUP(G44, $L$3:$N$7, 3, 1)</f>
        <v/>
      </c>
      <c r="G44">
        <f>+E44</f>
        <v/>
      </c>
      <c r="H44">
        <f>VLOOKUP(F44, REGLA1, 2, FALSE)</f>
        <v/>
      </c>
      <c r="I44" t="inlineStr">
        <is>
          <t>OCTAVO</t>
        </is>
      </c>
      <c r="J44" t="inlineStr">
        <is>
          <t>TM</t>
        </is>
      </c>
      <c r="K44">
        <f>+E44/$L$1</f>
        <v/>
      </c>
      <c r="N44" s="3" t="inlineStr">
        <is>
          <t>Conductual</t>
        </is>
      </c>
      <c r="O44" t="n">
        <v>4</v>
      </c>
      <c r="P44" t="n">
        <v>105</v>
      </c>
      <c r="Q44" t="n">
        <v>109</v>
      </c>
    </row>
    <row r="45">
      <c r="A45" s="15" t="inlineStr">
        <is>
          <t>Socio-Emocional</t>
        </is>
      </c>
      <c r="B45" s="9">
        <f>+CONCATENATE(LEFT(D45,3),"-",C45)</f>
        <v/>
      </c>
      <c r="C45" s="16" t="inlineStr">
        <is>
          <t>37. Es empático con las necesidades ajenas.</t>
        </is>
      </c>
      <c r="D45" s="17" t="inlineStr">
        <is>
          <t>Fortaleza/Logro</t>
        </is>
      </c>
      <c r="E45" s="11" t="n">
        <v>13</v>
      </c>
      <c r="F45">
        <f>VLOOKUP(G45, $L$3:$N$7, 3, 1)</f>
        <v/>
      </c>
      <c r="G45">
        <f>+E45</f>
        <v/>
      </c>
      <c r="H45">
        <f>VLOOKUP(F45, REGLA1, 2, FALSE)</f>
        <v/>
      </c>
      <c r="I45" t="inlineStr">
        <is>
          <t>OCTAVO</t>
        </is>
      </c>
      <c r="J45" t="inlineStr">
        <is>
          <t>TM</t>
        </is>
      </c>
      <c r="K45">
        <f>+E45/$L$1</f>
        <v/>
      </c>
      <c r="N45" s="3" t="inlineStr">
        <is>
          <t>Socio-Emocional</t>
        </is>
      </c>
      <c r="O45" t="n">
        <v>9</v>
      </c>
      <c r="P45" t="n">
        <v>72</v>
      </c>
      <c r="Q45" t="n">
        <v>81</v>
      </c>
    </row>
    <row r="46">
      <c r="A46" s="15" t="inlineStr">
        <is>
          <t>Socio-Emocional</t>
        </is>
      </c>
      <c r="B46" s="9">
        <f>+CONCATENATE(LEFT(D46,3),"-",C46)</f>
        <v/>
      </c>
      <c r="C46" s="16" t="inlineStr">
        <is>
          <t>39. Posee un liderazgo positivo y ético.</t>
        </is>
      </c>
      <c r="D46" s="17" t="inlineStr">
        <is>
          <t>Fortaleza/Logro</t>
        </is>
      </c>
      <c r="E46" s="11" t="n">
        <v>11</v>
      </c>
      <c r="F46">
        <f>VLOOKUP(G46, $L$3:$N$7, 3, 1)</f>
        <v/>
      </c>
      <c r="G46">
        <f>+E46</f>
        <v/>
      </c>
      <c r="H46">
        <f>VLOOKUP(F46, REGLA1, 2, FALSE)</f>
        <v/>
      </c>
      <c r="I46" t="inlineStr">
        <is>
          <t>OCTAVO</t>
        </is>
      </c>
      <c r="J46" t="inlineStr">
        <is>
          <t>TM</t>
        </is>
      </c>
      <c r="K46">
        <f>+E46/$L$1</f>
        <v/>
      </c>
      <c r="N46" s="3" t="inlineStr">
        <is>
          <t>Total general</t>
        </is>
      </c>
      <c r="O46" t="n">
        <v>34</v>
      </c>
      <c r="P46" t="n">
        <v>310</v>
      </c>
      <c r="Q46" t="n">
        <v>344</v>
      </c>
    </row>
    <row r="47">
      <c r="A47" s="15" t="inlineStr">
        <is>
          <t>Socio-Emocional</t>
        </is>
      </c>
      <c r="B47" s="9">
        <f>+CONCATENATE(LEFT(D47,3),"-",C47)</f>
        <v/>
      </c>
      <c r="C47" s="16" t="inlineStr">
        <is>
          <t>41. Se comunica de manera asertiva.</t>
        </is>
      </c>
      <c r="D47" s="17" t="inlineStr">
        <is>
          <t>Fortaleza/Logro</t>
        </is>
      </c>
      <c r="E47" s="11" t="n">
        <v>12</v>
      </c>
      <c r="F47">
        <f>VLOOKUP(G47, $L$3:$N$7, 3, 1)</f>
        <v/>
      </c>
      <c r="G47">
        <f>+E47</f>
        <v/>
      </c>
      <c r="H47">
        <f>VLOOKUP(F47, REGLA1, 2, FALSE)</f>
        <v/>
      </c>
      <c r="I47" t="inlineStr">
        <is>
          <t>OCTAVO</t>
        </is>
      </c>
      <c r="J47" t="inlineStr">
        <is>
          <t>TM</t>
        </is>
      </c>
      <c r="K47">
        <f>+E47/$L$1</f>
        <v/>
      </c>
    </row>
    <row r="48">
      <c r="A48" s="15" t="inlineStr">
        <is>
          <t>Socio-Emocional</t>
        </is>
      </c>
      <c r="B48" s="9">
        <f>+CONCATENATE(LEFT(D48,3),"-",C48)</f>
        <v/>
      </c>
      <c r="C48" s="16" t="inlineStr">
        <is>
          <t>43. Tiene una autoestima académica sólida.</t>
        </is>
      </c>
      <c r="D48" s="17" t="inlineStr">
        <is>
          <t>Fortaleza/Logro</t>
        </is>
      </c>
      <c r="E48" s="11" t="n">
        <v>12</v>
      </c>
      <c r="F48">
        <f>VLOOKUP(G48, $L$3:$N$7, 3, 1)</f>
        <v/>
      </c>
      <c r="G48">
        <f>+E48</f>
        <v/>
      </c>
      <c r="H48">
        <f>VLOOKUP(F48, REGLA1, 2, FALSE)</f>
        <v/>
      </c>
      <c r="I48" t="inlineStr">
        <is>
          <t>OCTAVO</t>
        </is>
      </c>
      <c r="J48" t="inlineStr">
        <is>
          <t>TM</t>
        </is>
      </c>
      <c r="K48">
        <f>+E48/$L$1</f>
        <v/>
      </c>
      <c r="O48" s="1" t="inlineStr">
        <is>
          <t>Etiquetas de columna</t>
        </is>
      </c>
    </row>
    <row r="49">
      <c r="A49" s="15" t="inlineStr">
        <is>
          <t>Actitudinal</t>
        </is>
      </c>
      <c r="B49" s="9">
        <f>+CONCATENATE(LEFT(D49,3),"-",C49)</f>
        <v/>
      </c>
      <c r="C49" s="16" t="inlineStr">
        <is>
          <t>45. Muestra curiosidad e iniciativa propia.</t>
        </is>
      </c>
      <c r="D49" s="17" t="inlineStr">
        <is>
          <t>Fortaleza/Logro</t>
        </is>
      </c>
      <c r="E49" s="11" t="n">
        <v>14</v>
      </c>
      <c r="F49">
        <f>VLOOKUP(G49, $L$3:$N$7, 3, 1)</f>
        <v/>
      </c>
      <c r="G49">
        <f>+E49</f>
        <v/>
      </c>
      <c r="H49">
        <f>VLOOKUP(F49, REGLA1, 2, FALSE)</f>
        <v/>
      </c>
      <c r="I49" t="inlineStr">
        <is>
          <t>OCTAVO</t>
        </is>
      </c>
      <c r="J49" t="inlineStr">
        <is>
          <t>TM</t>
        </is>
      </c>
      <c r="K49">
        <f>+E49/$L$1</f>
        <v/>
      </c>
      <c r="O49" t="inlineStr">
        <is>
          <t>Alerta/Mejora</t>
        </is>
      </c>
      <c r="P49" t="inlineStr">
        <is>
          <t>Fortaleza/Logro</t>
        </is>
      </c>
      <c r="Q49" t="inlineStr">
        <is>
          <t>(en blanco)</t>
        </is>
      </c>
      <c r="R49" t="inlineStr">
        <is>
          <t>Total general</t>
        </is>
      </c>
    </row>
    <row r="50">
      <c r="A50" s="15" t="inlineStr">
        <is>
          <t>Actitudinal</t>
        </is>
      </c>
      <c r="B50" s="9">
        <f>+CONCATENATE(LEFT(D50,3),"-",C50)</f>
        <v/>
      </c>
      <c r="C50" s="16" t="inlineStr">
        <is>
          <t>47. Es persistente en tareas complejas.</t>
        </is>
      </c>
      <c r="D50" s="17" t="inlineStr">
        <is>
          <t>Fortaleza/Logro</t>
        </is>
      </c>
      <c r="E50" s="11" t="n">
        <v>11</v>
      </c>
      <c r="F50">
        <f>VLOOKUP(G50, $L$3:$N$7, 3, 1)</f>
        <v/>
      </c>
      <c r="G50">
        <f>+E50</f>
        <v/>
      </c>
      <c r="H50">
        <f>VLOOKUP(F50, REGLA1, 2, FALSE)</f>
        <v/>
      </c>
      <c r="I50" t="inlineStr">
        <is>
          <t>OCTAVO</t>
        </is>
      </c>
      <c r="J50" t="inlineStr">
        <is>
          <t>TM</t>
        </is>
      </c>
      <c r="K50">
        <f>+E50/$L$1</f>
        <v/>
      </c>
      <c r="N50" t="inlineStr">
        <is>
          <t>Suma de Cantidad de veces</t>
        </is>
      </c>
      <c r="O50" t="n">
        <v>34</v>
      </c>
      <c r="P50" t="n">
        <v>310</v>
      </c>
      <c r="R50" t="n">
        <v>344</v>
      </c>
    </row>
    <row r="51">
      <c r="A51" s="15" t="inlineStr">
        <is>
          <t>Actitudinal</t>
        </is>
      </c>
      <c r="B51" s="9">
        <f>+CONCATENATE(LEFT(D51,3),"-",C51)</f>
        <v/>
      </c>
      <c r="C51" s="16" t="inlineStr">
        <is>
          <t>49. Acepta retroalimentación constructiva.</t>
        </is>
      </c>
      <c r="D51" s="17" t="inlineStr">
        <is>
          <t>Fortaleza/Logro</t>
        </is>
      </c>
      <c r="E51" s="11" t="n">
        <v>13</v>
      </c>
      <c r="F51">
        <f>VLOOKUP(G51, $L$3:$N$7, 3, 1)</f>
        <v/>
      </c>
      <c r="G51">
        <f>+E51</f>
        <v/>
      </c>
      <c r="H51">
        <f>VLOOKUP(F51, REGLA1, 2, FALSE)</f>
        <v/>
      </c>
      <c r="I51" t="inlineStr">
        <is>
          <t>OCTAVO</t>
        </is>
      </c>
      <c r="J51" t="inlineStr">
        <is>
          <t>TM</t>
        </is>
      </c>
      <c r="K51">
        <f>+E51/$L$1</f>
        <v/>
      </c>
    </row>
    <row r="52"/>
    <row r="53"/>
    <row r="54">
      <c r="N54" t="inlineStr">
        <is>
          <t xml:space="preserve">Nota </t>
        </is>
      </c>
      <c r="O54" t="inlineStr">
        <is>
          <t>Cantidad de alumnos</t>
        </is>
      </c>
      <c r="Q54" t="inlineStr">
        <is>
          <t>% de Alumnos</t>
        </is>
      </c>
    </row>
    <row r="55">
      <c r="N55" t="n">
        <v>1</v>
      </c>
      <c r="O55">
        <f>ROUND((COUNTIF($F$2:$F$51, N55) / 50) * $L$1, 0)</f>
        <v/>
      </c>
      <c r="Q55" s="18">
        <f>+O55/O$60</f>
        <v/>
      </c>
      <c r="S55" t="inlineStr">
        <is>
          <t xml:space="preserve">Muy bueno </t>
        </is>
      </c>
      <c r="T55">
        <f>+O59+O58</f>
        <v/>
      </c>
      <c r="U55" s="18">
        <f>+T55/O$60</f>
        <v/>
      </c>
    </row>
    <row r="56">
      <c r="N56" t="n">
        <v>2</v>
      </c>
      <c r="O56">
        <f>ROUND((COUNTIF($F$2:$F$51, N56) / 50) * $L$1, 0)</f>
        <v/>
      </c>
      <c r="Q56" s="18">
        <f>+O56/O$60</f>
        <v/>
      </c>
      <c r="S56" t="inlineStr">
        <is>
          <t>Bueno</t>
        </is>
      </c>
      <c r="T56">
        <f>+O57</f>
        <v/>
      </c>
      <c r="U56" s="18">
        <f>+T56/O$60</f>
        <v/>
      </c>
    </row>
    <row r="57">
      <c r="N57" t="n">
        <v>3</v>
      </c>
      <c r="O57">
        <f>ROUND((COUNTIF($F$2:$F$51, N57) / 50) * $L$1, 0)</f>
        <v/>
      </c>
      <c r="Q57" s="18">
        <f>+O57/O$60</f>
        <v/>
      </c>
      <c r="S57" t="inlineStr">
        <is>
          <t>A mejorar</t>
        </is>
      </c>
      <c r="T57">
        <f>+O55+O56</f>
        <v/>
      </c>
      <c r="U57" s="18">
        <f>+T57/O$60</f>
        <v/>
      </c>
    </row>
    <row r="58">
      <c r="N58" t="n">
        <v>4</v>
      </c>
      <c r="O58">
        <f>ROUND((COUNTIF($F$2:$F$51, N58) / 50) * $L$1, 0)</f>
        <v/>
      </c>
      <c r="Q58" s="18">
        <f>+O58/O$60</f>
        <v/>
      </c>
    </row>
    <row r="59">
      <c r="N59" t="n">
        <v>5</v>
      </c>
      <c r="O59">
        <f>ROUND((COUNTIF($F$2:$F$51, N59) / 50) * $L$1, 0)</f>
        <v/>
      </c>
      <c r="Q59" s="18">
        <f>+O59/O$60</f>
        <v/>
      </c>
    </row>
    <row r="60">
      <c r="O60">
        <f>SUM(O55:O59)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cols>
    <col width="18.28515625" customWidth="1" min="1" max="1"/>
    <col width="58.42578125" customWidth="1" min="2" max="2"/>
    <col width="60.140625" customWidth="1" min="3" max="3"/>
    <col width="20.140625" customWidth="1" min="4" max="4"/>
    <col width="17.140625" customWidth="1" min="5" max="5"/>
    <col width="6.85546875" customWidth="1" min="6" max="6"/>
    <col width="3.7109375" customWidth="1" min="7" max="7"/>
    <col width="12.42578125" customWidth="1" min="8" max="8"/>
    <col width="8.85546875" customWidth="1" min="9" max="9"/>
    <col width="8.85546875" customWidth="1" min="10" max="10"/>
    <col width="11" customWidth="1" min="11" max="11"/>
    <col width="3.7109375" customWidth="1" min="12" max="12"/>
    <col width="26" customWidth="1" min="14" max="14"/>
    <col width="22.85546875" customWidth="1" min="15" max="15"/>
    <col width="14.85546875" customWidth="1" min="16" max="16"/>
    <col width="11.140625" customWidth="1" min="17" max="17"/>
    <col width="12.5703125" customWidth="1" min="18" max="18"/>
  </cols>
  <sheetData>
    <row r="1">
      <c r="A1" s="4" t="inlineStr">
        <is>
          <t>Categoría</t>
        </is>
      </c>
      <c r="B1" s="5" t="inlineStr">
        <is>
          <t xml:space="preserve">Indicador </t>
        </is>
      </c>
      <c r="C1" s="5" t="inlineStr">
        <is>
          <t xml:space="preserve">Indicador </t>
        </is>
      </c>
      <c r="D1" s="6" t="inlineStr">
        <is>
          <t>Tipo de Indicador</t>
        </is>
      </c>
      <c r="E1" s="7" t="inlineStr">
        <is>
          <t>Cantidad de veces</t>
        </is>
      </c>
      <c r="F1" t="inlineStr">
        <is>
          <t>NOTA</t>
        </is>
      </c>
      <c r="G1" t="inlineStr">
        <is>
          <t>PR</t>
        </is>
      </c>
      <c r="H1" t="inlineStr">
        <is>
          <t>VALORACION</t>
        </is>
      </c>
      <c r="I1" t="inlineStr">
        <is>
          <t>GRADO</t>
        </is>
      </c>
      <c r="J1" t="inlineStr">
        <is>
          <t>TURNO</t>
        </is>
      </c>
      <c r="K1" t="inlineStr">
        <is>
          <t>NF</t>
        </is>
      </c>
      <c r="L1" t="n">
        <v>42</v>
      </c>
      <c r="N1">
        <f>+GETPIVOTDATA("Cantidad de veces",$N$48)</f>
        <v/>
      </c>
    </row>
    <row r="2">
      <c r="A2" s="8" t="inlineStr">
        <is>
          <t>Académica</t>
        </is>
      </c>
      <c r="B2" s="9">
        <f>+CONCATENATE(LEFT(D2,3),"-",C2)</f>
        <v/>
      </c>
      <c r="C2" s="9" t="inlineStr">
        <is>
          <t>02. Presenta lagunas en conocimientos previos.</t>
        </is>
      </c>
      <c r="D2" s="10" t="inlineStr">
        <is>
          <t>Alerta/Mejora</t>
        </is>
      </c>
      <c r="E2" s="11" t="n">
        <v>14</v>
      </c>
      <c r="F2">
        <f>VLOOKUP(G2, $L$3:$N$7, 3, 1)</f>
        <v/>
      </c>
      <c r="G2">
        <f>+L$1-E2</f>
        <v/>
      </c>
      <c r="H2">
        <f>VLOOKUP(F2, REGLA1, 2, FALSE)</f>
        <v/>
      </c>
      <c r="I2" t="inlineStr">
        <is>
          <t>NOVENO</t>
        </is>
      </c>
      <c r="J2" t="inlineStr">
        <is>
          <t>TM</t>
        </is>
      </c>
      <c r="K2">
        <f>+E2/$L$1</f>
        <v/>
      </c>
    </row>
    <row r="3">
      <c r="A3" s="8" t="inlineStr">
        <is>
          <t>Académica</t>
        </is>
      </c>
      <c r="B3" s="9">
        <f>+CONCATENATE(LEFT(D3,3),"-",C3)</f>
        <v/>
      </c>
      <c r="C3" s="9" t="inlineStr">
        <is>
          <t>04. Se limita a memorizar sin comprender.</t>
        </is>
      </c>
      <c r="D3" s="10" t="inlineStr">
        <is>
          <t>Alerta/Mejora</t>
        </is>
      </c>
      <c r="E3" s="11" t="n">
        <v>12</v>
      </c>
      <c r="F3">
        <f>VLOOKUP(G3, $L$3:$N$7, 3, 1)</f>
        <v/>
      </c>
      <c r="G3">
        <f>+L$1-E3</f>
        <v/>
      </c>
      <c r="H3">
        <f>VLOOKUP(F3, REGLA1, 2, FALSE)</f>
        <v/>
      </c>
      <c r="I3" t="inlineStr">
        <is>
          <t>NOVENO</t>
        </is>
      </c>
      <c r="J3" t="inlineStr">
        <is>
          <t>TM</t>
        </is>
      </c>
      <c r="K3">
        <f>+E3/$L$1</f>
        <v/>
      </c>
      <c r="L3" s="12" t="n">
        <v>0</v>
      </c>
      <c r="M3" s="12" t="n">
        <v>24</v>
      </c>
      <c r="N3" s="13" t="n">
        <v>1</v>
      </c>
      <c r="P3" s="1" t="inlineStr">
        <is>
          <t>Etiquetas de fila</t>
        </is>
      </c>
      <c r="Q3" t="inlineStr">
        <is>
          <t>Suma de Cantidad de veces</t>
        </is>
      </c>
    </row>
    <row r="4">
      <c r="A4" s="8" t="inlineStr">
        <is>
          <t>Académica</t>
        </is>
      </c>
      <c r="B4" s="9">
        <f>+CONCATENATE(LEFT(D4,3),"-",C4)</f>
        <v/>
      </c>
      <c r="C4" s="9" t="inlineStr">
        <is>
          <t>06. Entrega tareas incompletas o descuidadas.</t>
        </is>
      </c>
      <c r="D4" s="10" t="inlineStr">
        <is>
          <t>Alerta/Mejora</t>
        </is>
      </c>
      <c r="E4" s="11" t="n">
        <v>9</v>
      </c>
      <c r="F4">
        <f>VLOOKUP(G4, $L$3:$N$7, 3, 1)</f>
        <v/>
      </c>
      <c r="G4">
        <f>+L$1-E4</f>
        <v/>
      </c>
      <c r="H4">
        <f>VLOOKUP(F4, REGLA1, 2, FALSE)</f>
        <v/>
      </c>
      <c r="I4" t="inlineStr">
        <is>
          <t>NOVENO</t>
        </is>
      </c>
      <c r="J4" t="inlineStr">
        <is>
          <t>TM</t>
        </is>
      </c>
      <c r="K4">
        <f>+E4/$L$1</f>
        <v/>
      </c>
      <c r="L4" s="12" t="n">
        <v>25</v>
      </c>
      <c r="M4" s="12" t="n">
        <v>28</v>
      </c>
      <c r="N4" s="13" t="n">
        <v>2</v>
      </c>
      <c r="P4" s="3" t="inlineStr">
        <is>
          <t>Alerta/Mejora</t>
        </is>
      </c>
      <c r="Q4" t="n">
        <v>34</v>
      </c>
    </row>
    <row r="5">
      <c r="A5" s="8" t="inlineStr">
        <is>
          <t>Académica</t>
        </is>
      </c>
      <c r="B5" s="9">
        <f>+CONCATENATE(LEFT(D5,3),"-",C5)</f>
        <v/>
      </c>
      <c r="C5" s="9" t="inlineStr">
        <is>
          <t>08. Se bloquea ante desafíos matemáticos.</t>
        </is>
      </c>
      <c r="D5" s="10" t="inlineStr">
        <is>
          <t>Alerta/Mejora</t>
        </is>
      </c>
      <c r="E5" s="11" t="n">
        <v>15</v>
      </c>
      <c r="F5">
        <f>VLOOKUP(G5, $L$3:$N$7, 3, 1)</f>
        <v/>
      </c>
      <c r="G5">
        <f>+L$1-E5</f>
        <v/>
      </c>
      <c r="H5">
        <f>VLOOKUP(F5, REGLA1, 2, FALSE)</f>
        <v/>
      </c>
      <c r="I5" t="inlineStr">
        <is>
          <t>NOVENO</t>
        </is>
      </c>
      <c r="J5" t="inlineStr">
        <is>
          <t>TM</t>
        </is>
      </c>
      <c r="K5">
        <f>+E5/$L$1</f>
        <v/>
      </c>
      <c r="L5" s="12" t="n">
        <v>29</v>
      </c>
      <c r="M5" s="12" t="n">
        <v>33</v>
      </c>
      <c r="N5" s="13" t="n">
        <v>3</v>
      </c>
      <c r="P5" s="3" t="inlineStr">
        <is>
          <t>Fortaleza/Logro</t>
        </is>
      </c>
      <c r="Q5" t="n">
        <v>310</v>
      </c>
    </row>
    <row r="6">
      <c r="A6" s="8" t="inlineStr">
        <is>
          <t>Académica</t>
        </is>
      </c>
      <c r="B6" s="9">
        <f>+CONCATENATE(LEFT(D6,3),"-",C6)</f>
        <v/>
      </c>
      <c r="C6" s="9" t="inlineStr">
        <is>
          <t>10. Tiene dificultades de expresión oral/escrita.</t>
        </is>
      </c>
      <c r="D6" s="10" t="inlineStr">
        <is>
          <t>Alerta/Mejora</t>
        </is>
      </c>
      <c r="E6" s="11" t="n">
        <v>8</v>
      </c>
      <c r="F6">
        <f>VLOOKUP(G6, $L$3:$N$7, 3, 1)</f>
        <v/>
      </c>
      <c r="G6">
        <f>+L$1-E6</f>
        <v/>
      </c>
      <c r="H6">
        <f>VLOOKUP(F6, REGLA1, 2, FALSE)</f>
        <v/>
      </c>
      <c r="I6" t="inlineStr">
        <is>
          <t>NOVENO</t>
        </is>
      </c>
      <c r="J6" t="inlineStr">
        <is>
          <t>TM</t>
        </is>
      </c>
      <c r="K6">
        <f>+E6/$L$1</f>
        <v/>
      </c>
      <c r="L6" s="12" t="n">
        <v>34</v>
      </c>
      <c r="M6" s="12" t="n">
        <v>38</v>
      </c>
      <c r="N6" s="13" t="n">
        <v>4</v>
      </c>
      <c r="P6" s="3" t="inlineStr">
        <is>
          <t>Total general</t>
        </is>
      </c>
      <c r="Q6" t="n">
        <v>344</v>
      </c>
    </row>
    <row r="7">
      <c r="A7" s="8" t="inlineStr">
        <is>
          <t>Académica</t>
        </is>
      </c>
      <c r="B7" s="9">
        <f>+CONCATENATE(LEFT(D7,3),"-",C7)</f>
        <v/>
      </c>
      <c r="C7" s="9" t="inlineStr">
        <is>
          <t>12. Muestra rechazo o desinterés por la lectura.</t>
        </is>
      </c>
      <c r="D7" s="10" t="inlineStr">
        <is>
          <t>Alerta/Mejora</t>
        </is>
      </c>
      <c r="E7" s="11" t="n">
        <v>3</v>
      </c>
      <c r="F7">
        <f>VLOOKUP(G7, $L$3:$N$7, 3, 1)</f>
        <v/>
      </c>
      <c r="G7">
        <f>+L$1-E7</f>
        <v/>
      </c>
      <c r="H7">
        <f>VLOOKUP(F7, REGLA1, 2, FALSE)</f>
        <v/>
      </c>
      <c r="I7" t="inlineStr">
        <is>
          <t>NOVENO</t>
        </is>
      </c>
      <c r="J7" t="inlineStr">
        <is>
          <t>TM</t>
        </is>
      </c>
      <c r="K7">
        <f>+E7/$L$1</f>
        <v/>
      </c>
      <c r="L7" s="12" t="n">
        <v>39</v>
      </c>
      <c r="M7" s="12" t="n">
        <v>42</v>
      </c>
      <c r="N7" s="13" t="n">
        <v>5</v>
      </c>
    </row>
    <row r="8">
      <c r="A8" s="8" t="inlineStr">
        <is>
          <t>Académica</t>
        </is>
      </c>
      <c r="B8" s="9">
        <f>+CONCATENATE(LEFT(D8,3),"-",C8)</f>
        <v/>
      </c>
      <c r="C8" s="9" t="inlineStr">
        <is>
          <t>14. Requiere supervisión constante para avanzar.</t>
        </is>
      </c>
      <c r="D8" s="10" t="inlineStr">
        <is>
          <t>Alerta/Mejora</t>
        </is>
      </c>
      <c r="E8" s="11" t="n">
        <v>7</v>
      </c>
      <c r="F8">
        <f>VLOOKUP(G8, $L$3:$N$7, 3, 1)</f>
        <v/>
      </c>
      <c r="G8">
        <f>+L$1-E8</f>
        <v/>
      </c>
      <c r="H8">
        <f>VLOOKUP(F8, REGLA1, 2, FALSE)</f>
        <v/>
      </c>
      <c r="I8" t="inlineStr">
        <is>
          <t>NOVENO</t>
        </is>
      </c>
      <c r="J8" t="inlineStr">
        <is>
          <t>TM</t>
        </is>
      </c>
      <c r="K8">
        <f>+E8/$L$1</f>
        <v/>
      </c>
    </row>
    <row r="9">
      <c r="A9" s="8" t="inlineStr">
        <is>
          <t>Académica</t>
        </is>
      </c>
      <c r="B9" s="9">
        <f>+CONCATENATE(LEFT(D9,3),"-",C9)</f>
        <v/>
      </c>
      <c r="C9" s="9" t="inlineStr">
        <is>
          <t>16. Muestra apatía por temas nuevos.</t>
        </is>
      </c>
      <c r="D9" s="10" t="inlineStr">
        <is>
          <t>Alerta/Mejora</t>
        </is>
      </c>
      <c r="E9" s="11" t="n">
        <v>5</v>
      </c>
      <c r="F9">
        <f>VLOOKUP(G9, $L$3:$N$7, 3, 1)</f>
        <v/>
      </c>
      <c r="G9">
        <f>+L$1-E9</f>
        <v/>
      </c>
      <c r="H9">
        <f>VLOOKUP(F9, REGLA1, 2, FALSE)</f>
        <v/>
      </c>
      <c r="I9" t="inlineStr">
        <is>
          <t>NOVENO</t>
        </is>
      </c>
      <c r="J9" t="inlineStr">
        <is>
          <t>TM</t>
        </is>
      </c>
      <c r="K9">
        <f>+E9/$L$1</f>
        <v/>
      </c>
    </row>
    <row r="10">
      <c r="A10" s="8" t="inlineStr">
        <is>
          <t>Conductual</t>
        </is>
      </c>
      <c r="B10" s="9">
        <f>+CONCATENATE(LEFT(D10,3),"-",C10)</f>
        <v/>
      </c>
      <c r="C10" s="9" t="inlineStr">
        <is>
          <t>18. Desafía activamente la autoridad.</t>
        </is>
      </c>
      <c r="D10" s="10" t="inlineStr">
        <is>
          <t>Alerta/Mejora</t>
        </is>
      </c>
      <c r="E10" s="11" t="n">
        <v>2</v>
      </c>
      <c r="F10">
        <f>VLOOKUP(G10, $L$3:$N$7, 3, 1)</f>
        <v/>
      </c>
      <c r="G10">
        <f>+L$1-E10</f>
        <v/>
      </c>
      <c r="H10">
        <f>VLOOKUP(F10, REGLA1, 2, FALSE)</f>
        <v/>
      </c>
      <c r="I10" t="inlineStr">
        <is>
          <t>NOVENO</t>
        </is>
      </c>
      <c r="J10" t="inlineStr">
        <is>
          <t>TM</t>
        </is>
      </c>
      <c r="K10">
        <f>+E10/$L$1</f>
        <v/>
      </c>
    </row>
    <row r="11">
      <c r="A11" s="8" t="inlineStr">
        <is>
          <t>Conductual</t>
        </is>
      </c>
      <c r="B11" s="9">
        <f>+CONCATENATE(LEFT(D11,3),"-",C11)</f>
        <v/>
      </c>
      <c r="C11" s="9" t="inlineStr">
        <is>
          <t>20. Presenta retardos o inasistencias frecuentes.</t>
        </is>
      </c>
      <c r="D11" s="10" t="inlineStr">
        <is>
          <t>Alerta/Mejora</t>
        </is>
      </c>
      <c r="E11" s="11" t="n">
        <v>4</v>
      </c>
      <c r="F11">
        <f>VLOOKUP(G11, $L$3:$N$7, 3, 1)</f>
        <v/>
      </c>
      <c r="G11">
        <f>+L$1-E11</f>
        <v/>
      </c>
      <c r="H11">
        <f>VLOOKUP(F11, REGLA1, 2, FALSE)</f>
        <v/>
      </c>
      <c r="I11" t="inlineStr">
        <is>
          <t>NOVENO</t>
        </is>
      </c>
      <c r="J11" t="inlineStr">
        <is>
          <t>TM</t>
        </is>
      </c>
      <c r="K11">
        <f>+E11/$L$1</f>
        <v/>
      </c>
    </row>
    <row r="12">
      <c r="A12" s="8" t="inlineStr">
        <is>
          <t>Conductual</t>
        </is>
      </c>
      <c r="B12" s="9">
        <f>+CONCATENATE(LEFT(D12,3),"-",C12)</f>
        <v/>
      </c>
      <c r="C12" s="9" t="inlineStr">
        <is>
          <t>22. Daña el mobiliario o materiales escolares.</t>
        </is>
      </c>
      <c r="D12" s="10" t="inlineStr">
        <is>
          <t>Alerta/Mejora</t>
        </is>
      </c>
      <c r="E12" s="11" t="n">
        <v>0</v>
      </c>
      <c r="F12">
        <f>VLOOKUP(G12, $L$3:$N$7, 3, 1)</f>
        <v/>
      </c>
      <c r="G12">
        <f>+L$1-E12</f>
        <v/>
      </c>
      <c r="H12">
        <f>VLOOKUP(F12, REGLA1, 2, FALSE)</f>
        <v/>
      </c>
      <c r="I12" t="inlineStr">
        <is>
          <t>NOVENO</t>
        </is>
      </c>
      <c r="J12" t="inlineStr">
        <is>
          <t>TM</t>
        </is>
      </c>
      <c r="K12">
        <f>+E12/$L$1</f>
        <v/>
      </c>
    </row>
    <row r="13">
      <c r="A13" s="8" t="inlineStr">
        <is>
          <t>Conductual</t>
        </is>
      </c>
      <c r="B13" s="9">
        <f>+CONCATENATE(LEFT(D13,3),"-",C13)</f>
        <v/>
      </c>
      <c r="C13" s="9" t="inlineStr">
        <is>
          <t>24. Interrumpe constantemente el flujo de clase.</t>
        </is>
      </c>
      <c r="D13" s="10" t="inlineStr">
        <is>
          <t>Alerta/Mejora</t>
        </is>
      </c>
      <c r="E13" s="11" t="n">
        <v>26</v>
      </c>
      <c r="F13">
        <f>VLOOKUP(G13, $L$3:$N$7, 3, 1)</f>
        <v/>
      </c>
      <c r="G13">
        <f>+L$1-E13</f>
        <v/>
      </c>
      <c r="H13">
        <f>VLOOKUP(F13, REGLA1, 2, FALSE)</f>
        <v/>
      </c>
      <c r="I13" t="inlineStr">
        <is>
          <t>NOVENO</t>
        </is>
      </c>
      <c r="J13" t="inlineStr">
        <is>
          <t>TM</t>
        </is>
      </c>
      <c r="K13">
        <f>+E13/$L$1</f>
        <v/>
      </c>
    </row>
    <row r="14">
      <c r="A14" s="8" t="inlineStr">
        <is>
          <t>Conductual</t>
        </is>
      </c>
      <c r="B14" s="9">
        <f>+CONCATENATE(LEFT(D14,3),"-",C14)</f>
        <v/>
      </c>
      <c r="C14" s="9" t="inlineStr">
        <is>
          <t>26. Emplea lenguaje soez o despectivo.</t>
        </is>
      </c>
      <c r="D14" s="10" t="inlineStr">
        <is>
          <t>Alerta/Mejora</t>
        </is>
      </c>
      <c r="E14" s="11" t="n">
        <v>0</v>
      </c>
      <c r="F14">
        <f>VLOOKUP(G14, $L$3:$N$7, 3, 1)</f>
        <v/>
      </c>
      <c r="G14">
        <f>+L$1-E14</f>
        <v/>
      </c>
      <c r="H14">
        <f>VLOOKUP(F14, REGLA1, 2, FALSE)</f>
        <v/>
      </c>
      <c r="I14" t="inlineStr">
        <is>
          <t>NOVENO</t>
        </is>
      </c>
      <c r="J14" t="inlineStr">
        <is>
          <t>TM</t>
        </is>
      </c>
      <c r="K14">
        <f>+E14/$L$1</f>
        <v/>
      </c>
    </row>
    <row r="15">
      <c r="A15" s="8" t="inlineStr">
        <is>
          <t>Conductual</t>
        </is>
      </c>
      <c r="B15" s="9">
        <f>+CONCATENATE(LEFT(D15,3),"-",C15)</f>
        <v/>
      </c>
      <c r="C15" s="9" t="inlineStr">
        <is>
          <t>28. Miente o culpa a otros por sus actos.</t>
        </is>
      </c>
      <c r="D15" s="10" t="inlineStr">
        <is>
          <t>Alerta/Mejora</t>
        </is>
      </c>
      <c r="E15" s="11" t="n">
        <v>4</v>
      </c>
      <c r="F15">
        <f>VLOOKUP(G15, $L$3:$N$7, 3, 1)</f>
        <v/>
      </c>
      <c r="G15">
        <f>+L$1-E15</f>
        <v/>
      </c>
      <c r="H15">
        <f>VLOOKUP(F15, REGLA1, 2, FALSE)</f>
        <v/>
      </c>
      <c r="I15" t="inlineStr">
        <is>
          <t>NOVENO</t>
        </is>
      </c>
      <c r="J15" t="inlineStr">
        <is>
          <t>TM</t>
        </is>
      </c>
      <c r="K15">
        <f>+E15/$L$1</f>
        <v/>
      </c>
    </row>
    <row r="16">
      <c r="A16" s="8" t="inlineStr">
        <is>
          <t>Conductual</t>
        </is>
      </c>
      <c r="B16" s="9">
        <f>+CONCATENATE(LEFT(D16,3),"-",C16)</f>
        <v/>
      </c>
      <c r="C16" s="9" t="inlineStr">
        <is>
          <t>30. Se distrae con dispositivos electrónicos.</t>
        </is>
      </c>
      <c r="D16" s="10" t="inlineStr">
        <is>
          <t>Alerta/Mejora</t>
        </is>
      </c>
      <c r="E16" s="11" t="n">
        <v>10</v>
      </c>
      <c r="F16">
        <f>VLOOKUP(G16, $L$3:$N$7, 3, 1)</f>
        <v/>
      </c>
      <c r="G16">
        <f>+L$1-E16</f>
        <v/>
      </c>
      <c r="H16">
        <f>VLOOKUP(F16, REGLA1, 2, FALSE)</f>
        <v/>
      </c>
      <c r="I16" t="inlineStr">
        <is>
          <t>NOVENO</t>
        </is>
      </c>
      <c r="J16" t="inlineStr">
        <is>
          <t>TM</t>
        </is>
      </c>
      <c r="K16">
        <f>+E16/$L$1</f>
        <v/>
      </c>
    </row>
    <row r="17">
      <c r="A17" s="8" t="inlineStr">
        <is>
          <t>Conductual</t>
        </is>
      </c>
      <c r="B17" s="9">
        <f>+CONCATENATE(LEFT(D17,3),"-",C17)</f>
        <v/>
      </c>
      <c r="C17" s="9" t="inlineStr">
        <is>
          <t>32. Fomenta el desorden o el caos en el grupo.</t>
        </is>
      </c>
      <c r="D17" s="10" t="inlineStr">
        <is>
          <t>Alerta/Mejora</t>
        </is>
      </c>
      <c r="E17" s="11" t="n">
        <v>22</v>
      </c>
      <c r="F17">
        <f>VLOOKUP(G17, $L$3:$N$7, 3, 1)</f>
        <v/>
      </c>
      <c r="G17">
        <f>+L$1-E17</f>
        <v/>
      </c>
      <c r="H17">
        <f>VLOOKUP(F17, REGLA1, 2, FALSE)</f>
        <v/>
      </c>
      <c r="I17" t="inlineStr">
        <is>
          <t>NOVENO</t>
        </is>
      </c>
      <c r="J17" t="inlineStr">
        <is>
          <t>TM</t>
        </is>
      </c>
      <c r="K17">
        <f>+E17/$L$1</f>
        <v/>
      </c>
    </row>
    <row r="18">
      <c r="A18" s="8" t="inlineStr">
        <is>
          <t>Socio-Emocional</t>
        </is>
      </c>
      <c r="B18" s="9">
        <f>+CONCATENATE(LEFT(D18,3),"-",C18)</f>
        <v/>
      </c>
      <c r="C18" s="9" t="inlineStr">
        <is>
          <t>34. Se rinde fácilmente ante la frustración.</t>
        </is>
      </c>
      <c r="D18" s="10" t="inlineStr">
        <is>
          <t>Alerta/Mejora</t>
        </is>
      </c>
      <c r="E18" s="11" t="n">
        <v>9</v>
      </c>
      <c r="F18">
        <f>VLOOKUP(G18, $L$3:$N$7, 3, 1)</f>
        <v/>
      </c>
      <c r="G18">
        <f>+L$1-E18</f>
        <v/>
      </c>
      <c r="H18">
        <f>VLOOKUP(F18, REGLA1, 2, FALSE)</f>
        <v/>
      </c>
      <c r="I18" t="inlineStr">
        <is>
          <t>NOVENO</t>
        </is>
      </c>
      <c r="J18" t="inlineStr">
        <is>
          <t>TM</t>
        </is>
      </c>
      <c r="K18">
        <f>+E18/$L$1</f>
        <v/>
      </c>
    </row>
    <row r="19">
      <c r="A19" s="8" t="inlineStr">
        <is>
          <t>Socio-Emocional</t>
        </is>
      </c>
      <c r="B19" s="9">
        <f>+CONCATENATE(LEFT(D19,3),"-",C19)</f>
        <v/>
      </c>
      <c r="C19" s="9" t="inlineStr">
        <is>
          <t>36. Trabaja de forma aislada o es individualista.</t>
        </is>
      </c>
      <c r="D19" s="10" t="inlineStr">
        <is>
          <t>Alerta/Mejora</t>
        </is>
      </c>
      <c r="E19" s="11" t="n">
        <v>3</v>
      </c>
      <c r="F19">
        <f>VLOOKUP(G19, $L$3:$N$7, 3, 1)</f>
        <v/>
      </c>
      <c r="G19">
        <f>+L$1-E19</f>
        <v/>
      </c>
      <c r="H19">
        <f>VLOOKUP(F19, REGLA1, 2, FALSE)</f>
        <v/>
      </c>
      <c r="I19" t="inlineStr">
        <is>
          <t>NOVENO</t>
        </is>
      </c>
      <c r="J19" t="inlineStr">
        <is>
          <t>TM</t>
        </is>
      </c>
      <c r="K19">
        <f>+E19/$L$1</f>
        <v/>
      </c>
    </row>
    <row r="20">
      <c r="A20" s="8" t="inlineStr">
        <is>
          <t>Socio-Emocional</t>
        </is>
      </c>
      <c r="B20" s="9">
        <f>+CONCATENATE(LEFT(D20,3),"-",C20)</f>
        <v/>
      </c>
      <c r="C20" s="9" t="inlineStr">
        <is>
          <t>38. Ignora o se burla de los sentimientos de otros.</t>
        </is>
      </c>
      <c r="D20" s="10" t="inlineStr">
        <is>
          <t>Alerta/Mejora</t>
        </is>
      </c>
      <c r="E20" s="11" t="n">
        <v>2</v>
      </c>
      <c r="F20">
        <f>VLOOKUP(G20, $L$3:$N$7, 3, 1)</f>
        <v/>
      </c>
      <c r="G20">
        <f>+L$1-E20</f>
        <v/>
      </c>
      <c r="H20">
        <f>VLOOKUP(F20, REGLA1, 2, FALSE)</f>
        <v/>
      </c>
      <c r="I20" t="inlineStr">
        <is>
          <t>NOVENO</t>
        </is>
      </c>
      <c r="J20" t="inlineStr">
        <is>
          <t>TM</t>
        </is>
      </c>
      <c r="K20">
        <f>+E20/$L$1</f>
        <v/>
      </c>
    </row>
    <row r="21">
      <c r="A21" s="8" t="inlineStr">
        <is>
          <t>Socio-Emocional</t>
        </is>
      </c>
      <c r="B21" s="9">
        <f>+CONCATENATE(LEFT(D21,3),"-",C21)</f>
        <v/>
      </c>
      <c r="C21" s="9" t="inlineStr">
        <is>
          <t>40. Ejerce presión negativa o bullying.</t>
        </is>
      </c>
      <c r="D21" s="10" t="inlineStr">
        <is>
          <t>Alerta/Mejora</t>
        </is>
      </c>
      <c r="E21" s="11" t="n">
        <v>0</v>
      </c>
      <c r="F21">
        <f>VLOOKUP(G21, $L$3:$N$7, 3, 1)</f>
        <v/>
      </c>
      <c r="G21">
        <f>+L$1-E21</f>
        <v/>
      </c>
      <c r="H21">
        <f>VLOOKUP(F21, REGLA1, 2, FALSE)</f>
        <v/>
      </c>
      <c r="I21" t="inlineStr">
        <is>
          <t>NOVENO</t>
        </is>
      </c>
      <c r="J21" t="inlineStr">
        <is>
          <t>TM</t>
        </is>
      </c>
      <c r="K21">
        <f>+E21/$L$1</f>
        <v/>
      </c>
    </row>
    <row r="22">
      <c r="A22" s="8" t="inlineStr">
        <is>
          <t>Socio-Emocional</t>
        </is>
      </c>
      <c r="B22" s="9">
        <f>+CONCATENATE(LEFT(D22,3),"-",C22)</f>
        <v/>
      </c>
      <c r="C22" s="9" t="inlineStr">
        <is>
          <t>42. Reacciona de forma agresiva o impulsiva.</t>
        </is>
      </c>
      <c r="D22" s="10" t="inlineStr">
        <is>
          <t>Alerta/Mejora</t>
        </is>
      </c>
      <c r="E22" s="11" t="n">
        <v>0</v>
      </c>
      <c r="F22">
        <f>VLOOKUP(G22, $L$3:$N$7, 3, 1)</f>
        <v/>
      </c>
      <c r="G22">
        <f>+L$1-E22</f>
        <v/>
      </c>
      <c r="H22">
        <f>VLOOKUP(F22, REGLA1, 2, FALSE)</f>
        <v/>
      </c>
      <c r="I22" t="inlineStr">
        <is>
          <t>NOVENO</t>
        </is>
      </c>
      <c r="J22" t="inlineStr">
        <is>
          <t>TM</t>
        </is>
      </c>
      <c r="K22">
        <f>+E22/$L$1</f>
        <v/>
      </c>
    </row>
    <row r="23">
      <c r="A23" s="8" t="inlineStr">
        <is>
          <t>Socio-Emocional</t>
        </is>
      </c>
      <c r="B23" s="9">
        <f>+CONCATENATE(LEFT(D23,3),"-",C23)</f>
        <v/>
      </c>
      <c r="C23" s="9" t="inlineStr">
        <is>
          <t>44. Expresa inseguridad constante ("no puedo").</t>
        </is>
      </c>
      <c r="D23" s="10" t="inlineStr">
        <is>
          <t>Alerta/Mejora</t>
        </is>
      </c>
      <c r="E23" s="11" t="n">
        <v>8</v>
      </c>
      <c r="F23">
        <f>VLOOKUP(G23, $L$3:$N$7, 3, 1)</f>
        <v/>
      </c>
      <c r="G23">
        <f>+L$1-E23</f>
        <v/>
      </c>
      <c r="H23">
        <f>VLOOKUP(F23, REGLA1, 2, FALSE)</f>
        <v/>
      </c>
      <c r="I23" t="inlineStr">
        <is>
          <t>NOVENO</t>
        </is>
      </c>
      <c r="J23" t="inlineStr">
        <is>
          <t>TM</t>
        </is>
      </c>
      <c r="K23">
        <f>+E23/$L$1</f>
        <v/>
      </c>
    </row>
    <row r="24">
      <c r="A24" s="8" t="inlineStr">
        <is>
          <t>Actitudinal</t>
        </is>
      </c>
      <c r="B24" s="9">
        <f>+CONCATENATE(LEFT(D24,3),"-",C24)</f>
        <v/>
      </c>
      <c r="C24" s="9" t="inlineStr">
        <is>
          <t>46. Requiere estímulos externos para trabajar.</t>
        </is>
      </c>
      <c r="D24" s="10" t="inlineStr">
        <is>
          <t>Alerta/Mejora</t>
        </is>
      </c>
      <c r="E24" s="11" t="n">
        <v>16</v>
      </c>
      <c r="F24">
        <f>VLOOKUP(G24, $L$3:$N$7, 3, 1)</f>
        <v/>
      </c>
      <c r="G24">
        <f>+L$1-E24</f>
        <v/>
      </c>
      <c r="H24">
        <f>VLOOKUP(F24, REGLA1, 2, FALSE)</f>
        <v/>
      </c>
      <c r="I24" t="inlineStr">
        <is>
          <t>NOVENO</t>
        </is>
      </c>
      <c r="J24" t="inlineStr">
        <is>
          <t>TM</t>
        </is>
      </c>
      <c r="K24">
        <f>+E24/$L$1</f>
        <v/>
      </c>
    </row>
    <row r="25">
      <c r="A25" s="8" t="inlineStr">
        <is>
          <t>Actitudinal</t>
        </is>
      </c>
      <c r="B25" s="9">
        <f>+CONCATENATE(LEFT(D25,3),"-",C25)</f>
        <v/>
      </c>
      <c r="C25" s="9" t="inlineStr">
        <is>
          <t>48. Abandona proyectos a mitad de camino.</t>
        </is>
      </c>
      <c r="D25" s="10" t="inlineStr">
        <is>
          <t>Alerta/Mejora</t>
        </is>
      </c>
      <c r="E25" s="11" t="n">
        <v>7</v>
      </c>
      <c r="F25">
        <f>VLOOKUP(G25, $L$3:$N$7, 3, 1)</f>
        <v/>
      </c>
      <c r="G25">
        <f>+L$1-E25</f>
        <v/>
      </c>
      <c r="H25">
        <f>VLOOKUP(F25, REGLA1, 2, FALSE)</f>
        <v/>
      </c>
      <c r="I25" t="inlineStr">
        <is>
          <t>NOVENO</t>
        </is>
      </c>
      <c r="J25" t="inlineStr">
        <is>
          <t>TM</t>
        </is>
      </c>
      <c r="K25">
        <f>+E25/$L$1</f>
        <v/>
      </c>
    </row>
    <row r="26">
      <c r="A26" s="8" t="inlineStr">
        <is>
          <t>Actitudinal</t>
        </is>
      </c>
      <c r="B26" s="9">
        <f>+CONCATENATE(LEFT(D26,3),"-",C26)</f>
        <v/>
      </c>
      <c r="C26" s="9" t="inlineStr">
        <is>
          <t>50. Se muestra a la defensiva ante críticas.</t>
        </is>
      </c>
      <c r="D26" s="10" t="inlineStr">
        <is>
          <t>Alerta/Mejora</t>
        </is>
      </c>
      <c r="E26" s="11" t="n">
        <v>4</v>
      </c>
      <c r="F26">
        <f>VLOOKUP(G26, $L$3:$N$7, 3, 1)</f>
        <v/>
      </c>
      <c r="G26">
        <f>+L$1-E26</f>
        <v/>
      </c>
      <c r="H26">
        <f>VLOOKUP(F26, REGLA1, 2, FALSE)</f>
        <v/>
      </c>
      <c r="I26" t="inlineStr">
        <is>
          <t>NOVENO</t>
        </is>
      </c>
      <c r="J26" t="inlineStr">
        <is>
          <t>TM</t>
        </is>
      </c>
      <c r="K26">
        <f>+E26/$L$1</f>
        <v/>
      </c>
    </row>
    <row r="27">
      <c r="A27" s="15" t="inlineStr">
        <is>
          <t>Académica</t>
        </is>
      </c>
      <c r="B27" s="9">
        <f>+CONCATENATE(LEFT(D27,3),"-",C27)</f>
        <v/>
      </c>
      <c r="C27" s="16" t="inlineStr">
        <is>
          <t>01. Domina los conceptos clave del grado.</t>
        </is>
      </c>
      <c r="D27" s="17" t="inlineStr">
        <is>
          <t>Fortaleza/Logro</t>
        </is>
      </c>
      <c r="E27" s="11" t="n">
        <v>16</v>
      </c>
      <c r="F27">
        <f>VLOOKUP(G27, $L$3:$N$7, 3, 1)</f>
        <v/>
      </c>
      <c r="G27">
        <f>+E27</f>
        <v/>
      </c>
      <c r="H27">
        <f>VLOOKUP(F27, REGLA1, 2, FALSE)</f>
        <v/>
      </c>
      <c r="I27" t="inlineStr">
        <is>
          <t>NOVENO</t>
        </is>
      </c>
      <c r="J27" t="inlineStr">
        <is>
          <t>TM</t>
        </is>
      </c>
      <c r="K27">
        <f>+E27/$L$1</f>
        <v/>
      </c>
    </row>
    <row r="28">
      <c r="A28" s="15" t="inlineStr">
        <is>
          <t>Académica</t>
        </is>
      </c>
      <c r="B28" s="9">
        <f>+CONCATENATE(LEFT(D28,3),"-",C28)</f>
        <v/>
      </c>
      <c r="C28" s="16" t="inlineStr">
        <is>
          <t>03. Posee un pensamiento crítico y analítico.</t>
        </is>
      </c>
      <c r="D28" s="17" t="inlineStr">
        <is>
          <t>Fortaleza/Logro</t>
        </is>
      </c>
      <c r="E28" s="11" t="n">
        <v>14</v>
      </c>
      <c r="F28">
        <f>VLOOKUP(G28, $L$3:$N$7, 3, 1)</f>
        <v/>
      </c>
      <c r="G28">
        <f>+E28</f>
        <v/>
      </c>
      <c r="H28">
        <f>VLOOKUP(F28, REGLA1, 2, FALSE)</f>
        <v/>
      </c>
      <c r="I28" t="inlineStr">
        <is>
          <t>NOVENO</t>
        </is>
      </c>
      <c r="J28" t="inlineStr">
        <is>
          <t>TM</t>
        </is>
      </c>
      <c r="K28">
        <f>+E28/$L$1</f>
        <v/>
      </c>
    </row>
    <row r="29">
      <c r="A29" s="15" t="inlineStr">
        <is>
          <t>Académica</t>
        </is>
      </c>
      <c r="B29" s="9">
        <f>+CONCATENATE(LEFT(D29,3),"-",C29)</f>
        <v/>
      </c>
      <c r="C29" s="16" t="inlineStr">
        <is>
          <t>05. Entrega trabajos con alta calidad y orden.</t>
        </is>
      </c>
      <c r="D29" s="17" t="inlineStr">
        <is>
          <t>Fortaleza/Logro</t>
        </is>
      </c>
      <c r="E29" s="11" t="n">
        <v>21</v>
      </c>
      <c r="F29">
        <f>VLOOKUP(G29, $L$3:$N$7, 3, 1)</f>
        <v/>
      </c>
      <c r="G29">
        <f>+E29</f>
        <v/>
      </c>
      <c r="H29">
        <f>VLOOKUP(F29, REGLA1, 2, FALSE)</f>
        <v/>
      </c>
      <c r="I29" t="inlineStr">
        <is>
          <t>NOVENO</t>
        </is>
      </c>
      <c r="J29" t="inlineStr">
        <is>
          <t>TM</t>
        </is>
      </c>
      <c r="K29">
        <f>+E29/$L$1</f>
        <v/>
      </c>
    </row>
    <row r="30">
      <c r="A30" s="15" t="inlineStr">
        <is>
          <t>Académica</t>
        </is>
      </c>
      <c r="B30" s="9">
        <f>+CONCATENATE(LEFT(D30,3),"-",C30)</f>
        <v/>
      </c>
      <c r="C30" s="16" t="inlineStr">
        <is>
          <t>07. Resuelve problemas lógicos con fluidez.</t>
        </is>
      </c>
      <c r="D30" s="17" t="inlineStr">
        <is>
          <t>Fortaleza/Logro</t>
        </is>
      </c>
      <c r="E30" s="11" t="n">
        <v>15</v>
      </c>
      <c r="F30">
        <f>VLOOKUP(G30, $L$3:$N$7, 3, 1)</f>
        <v/>
      </c>
      <c r="G30">
        <f>+E30</f>
        <v/>
      </c>
      <c r="H30">
        <f>VLOOKUP(F30, REGLA1, 2, FALSE)</f>
        <v/>
      </c>
      <c r="I30" t="inlineStr">
        <is>
          <t>NOVENO</t>
        </is>
      </c>
      <c r="J30" t="inlineStr">
        <is>
          <t>TM</t>
        </is>
      </c>
      <c r="K30">
        <f>+E30/$L$1</f>
        <v/>
      </c>
    </row>
    <row r="31">
      <c r="A31" s="15" t="inlineStr">
        <is>
          <t>Académica</t>
        </is>
      </c>
      <c r="B31" s="9">
        <f>+CONCATENATE(LEFT(D31,3),"-",C31)</f>
        <v/>
      </c>
      <c r="C31" s="16" t="inlineStr">
        <is>
          <t>09. Utiliza vocabulario técnico preciso.</t>
        </is>
      </c>
      <c r="D31" s="17" t="inlineStr">
        <is>
          <t>Fortaleza/Logro</t>
        </is>
      </c>
      <c r="E31" s="11" t="n">
        <v>10</v>
      </c>
      <c r="F31">
        <f>VLOOKUP(G31, $L$3:$N$7, 3, 1)</f>
        <v/>
      </c>
      <c r="G31">
        <f>+E31</f>
        <v/>
      </c>
      <c r="H31">
        <f>VLOOKUP(F31, REGLA1, 2, FALSE)</f>
        <v/>
      </c>
      <c r="I31" t="inlineStr">
        <is>
          <t>NOVENO</t>
        </is>
      </c>
      <c r="J31" t="inlineStr">
        <is>
          <t>TM</t>
        </is>
      </c>
      <c r="K31">
        <f>+E31/$L$1</f>
        <v/>
      </c>
    </row>
    <row r="32">
      <c r="A32" s="15" t="inlineStr">
        <is>
          <t>Académica</t>
        </is>
      </c>
      <c r="B32" s="9">
        <f>+CONCATENATE(LEFT(D32,3),"-",C32)</f>
        <v/>
      </c>
      <c r="C32" s="16" t="inlineStr">
        <is>
          <t>11. Posee excelentes hábitos de lectura.</t>
        </is>
      </c>
      <c r="D32" s="17" t="inlineStr">
        <is>
          <t>Fortaleza/Logro</t>
        </is>
      </c>
      <c r="E32" s="11" t="n">
        <v>6</v>
      </c>
      <c r="F32">
        <f>VLOOKUP(G32, $L$3:$N$7, 3, 1)</f>
        <v/>
      </c>
      <c r="G32">
        <f>+E32</f>
        <v/>
      </c>
      <c r="H32">
        <f>VLOOKUP(F32, REGLA1, 2, FALSE)</f>
        <v/>
      </c>
      <c r="I32" t="inlineStr">
        <is>
          <t>NOVENO</t>
        </is>
      </c>
      <c r="J32" t="inlineStr">
        <is>
          <t>TM</t>
        </is>
      </c>
      <c r="K32">
        <f>+E32/$L$1</f>
        <v/>
      </c>
    </row>
    <row r="33">
      <c r="A33" s="15" t="inlineStr">
        <is>
          <t>Académica</t>
        </is>
      </c>
      <c r="B33" s="9">
        <f>+CONCATENATE(LEFT(D33,3),"-",C33)</f>
        <v/>
      </c>
      <c r="C33" s="16" t="inlineStr">
        <is>
          <t>13. Es autónomo en la realización de tareas.</t>
        </is>
      </c>
      <c r="D33" s="17" t="inlineStr">
        <is>
          <t>Fortaleza/Logro</t>
        </is>
      </c>
      <c r="E33" s="11" t="n">
        <v>21</v>
      </c>
      <c r="F33">
        <f>VLOOKUP(G33, $L$3:$N$7, 3, 1)</f>
        <v/>
      </c>
      <c r="G33">
        <f>+E33</f>
        <v/>
      </c>
      <c r="H33">
        <f>VLOOKUP(F33, REGLA1, 2, FALSE)</f>
        <v/>
      </c>
      <c r="I33" t="inlineStr">
        <is>
          <t>NOVENO</t>
        </is>
      </c>
      <c r="J33" t="inlineStr">
        <is>
          <t>TM</t>
        </is>
      </c>
      <c r="K33">
        <f>+E33/$L$1</f>
        <v/>
      </c>
    </row>
    <row r="34">
      <c r="A34" s="15" t="inlineStr">
        <is>
          <t>Académica</t>
        </is>
      </c>
      <c r="B34" s="9">
        <f>+CONCATENATE(LEFT(D34,3),"-",C34)</f>
        <v/>
      </c>
      <c r="C34" s="16" t="inlineStr">
        <is>
          <t>15. Investiga más allá de lo solicitado.</t>
        </is>
      </c>
      <c r="D34" s="17" t="inlineStr">
        <is>
          <t>Fortaleza/Logro</t>
        </is>
      </c>
      <c r="E34" s="11" t="n">
        <v>9</v>
      </c>
      <c r="F34">
        <f>VLOOKUP(G34, $L$3:$N$7, 3, 1)</f>
        <v/>
      </c>
      <c r="G34">
        <f>+E34</f>
        <v/>
      </c>
      <c r="H34">
        <f>VLOOKUP(F34, REGLA1, 2, FALSE)</f>
        <v/>
      </c>
      <c r="I34" t="inlineStr">
        <is>
          <t>NOVENO</t>
        </is>
      </c>
      <c r="J34" t="inlineStr">
        <is>
          <t>TM</t>
        </is>
      </c>
      <c r="K34">
        <f>+E34/$L$1</f>
        <v/>
      </c>
    </row>
    <row r="35">
      <c r="A35" s="15" t="inlineStr">
        <is>
          <t>Conductual</t>
        </is>
      </c>
      <c r="B35" s="9">
        <f>+CONCATENATE(LEFT(D35,3),"-",C35)</f>
        <v/>
      </c>
      <c r="C35" s="16" t="inlineStr">
        <is>
          <t>17. Respeta las normas de convivencia.</t>
        </is>
      </c>
      <c r="D35" s="17" t="inlineStr">
        <is>
          <t>Fortaleza/Logro</t>
        </is>
      </c>
      <c r="E35" s="11" t="n">
        <v>25</v>
      </c>
      <c r="F35">
        <f>VLOOKUP(G35, $L$3:$N$7, 3, 1)</f>
        <v/>
      </c>
      <c r="G35">
        <f>+E35</f>
        <v/>
      </c>
      <c r="H35">
        <f>VLOOKUP(F35, REGLA1, 2, FALSE)</f>
        <v/>
      </c>
      <c r="I35" t="inlineStr">
        <is>
          <t>NOVENO</t>
        </is>
      </c>
      <c r="J35" t="inlineStr">
        <is>
          <t>TM</t>
        </is>
      </c>
      <c r="K35">
        <f>+E35/$L$1</f>
        <v/>
      </c>
    </row>
    <row r="36">
      <c r="A36" s="15" t="inlineStr">
        <is>
          <t>Conductual</t>
        </is>
      </c>
      <c r="B36" s="9">
        <f>+CONCATENATE(LEFT(D36,3),"-",C36)</f>
        <v/>
      </c>
      <c r="C36" s="16" t="inlineStr">
        <is>
          <t>19. Es puntual en todas sus obligaciones.</t>
        </is>
      </c>
      <c r="D36" s="17" t="inlineStr">
        <is>
          <t>Fortaleza/Logro</t>
        </is>
      </c>
      <c r="E36" s="11" t="n">
        <v>21</v>
      </c>
      <c r="F36">
        <f>VLOOKUP(G36, $L$3:$N$7, 3, 1)</f>
        <v/>
      </c>
      <c r="G36">
        <f>+E36</f>
        <v/>
      </c>
      <c r="H36">
        <f>VLOOKUP(F36, REGLA1, 2, FALSE)</f>
        <v/>
      </c>
      <c r="I36" t="inlineStr">
        <is>
          <t>NOVENO</t>
        </is>
      </c>
      <c r="J36" t="inlineStr">
        <is>
          <t>TM</t>
        </is>
      </c>
      <c r="K36">
        <f>+E36/$L$1</f>
        <v/>
      </c>
    </row>
    <row r="37">
      <c r="A37" s="15" t="inlineStr">
        <is>
          <t>Conductual</t>
        </is>
      </c>
      <c r="B37" s="9">
        <f>+CONCATENATE(LEFT(D37,3),"-",C37)</f>
        <v/>
      </c>
      <c r="C37" s="16" t="inlineStr">
        <is>
          <t>21. Cuida el material propio y ajeno.</t>
        </is>
      </c>
      <c r="D37" s="17" t="inlineStr">
        <is>
          <t>Fortaleza/Logro</t>
        </is>
      </c>
      <c r="E37" s="11" t="n">
        <v>30</v>
      </c>
      <c r="F37">
        <f>VLOOKUP(G37, $L$3:$N$7, 3, 1)</f>
        <v/>
      </c>
      <c r="G37">
        <f>+E37</f>
        <v/>
      </c>
      <c r="H37">
        <f>VLOOKUP(F37, REGLA1, 2, FALSE)</f>
        <v/>
      </c>
      <c r="I37" t="inlineStr">
        <is>
          <t>NOVENO</t>
        </is>
      </c>
      <c r="J37" t="inlineStr">
        <is>
          <t>TM</t>
        </is>
      </c>
      <c r="K37">
        <f>+E37/$L$1</f>
        <v/>
      </c>
    </row>
    <row r="38">
      <c r="A38" s="15" t="inlineStr">
        <is>
          <t>Conductual</t>
        </is>
      </c>
      <c r="B38" s="9">
        <f>+CONCATENATE(LEFT(D38,3),"-",C38)</f>
        <v/>
      </c>
      <c r="C38" s="16" t="inlineStr">
        <is>
          <t>23. Escucha con atención y no interrumpe.</t>
        </is>
      </c>
      <c r="D38" s="17" t="inlineStr">
        <is>
          <t>Fortaleza/Logro</t>
        </is>
      </c>
      <c r="E38" s="11" t="n">
        <v>4</v>
      </c>
      <c r="F38">
        <f>VLOOKUP(G38, $L$3:$N$7, 3, 1)</f>
        <v/>
      </c>
      <c r="G38">
        <f>+E38</f>
        <v/>
      </c>
      <c r="H38">
        <f>VLOOKUP(F38, REGLA1, 2, FALSE)</f>
        <v/>
      </c>
      <c r="I38" t="inlineStr">
        <is>
          <t>NOVENO</t>
        </is>
      </c>
      <c r="J38" t="inlineStr">
        <is>
          <t>TM</t>
        </is>
      </c>
      <c r="K38">
        <f>+E38/$L$1</f>
        <v/>
      </c>
    </row>
    <row r="39">
      <c r="A39" s="15" t="inlineStr">
        <is>
          <t>Conductual</t>
        </is>
      </c>
      <c r="B39" s="9">
        <f>+CONCATENATE(LEFT(D39,3),"-",C39)</f>
        <v/>
      </c>
      <c r="C39" s="16" t="inlineStr">
        <is>
          <t>25. Utiliza el lenguaje de forma respetuosa.</t>
        </is>
      </c>
      <c r="D39" s="17" t="inlineStr">
        <is>
          <t>Fortaleza/Logro</t>
        </is>
      </c>
      <c r="E39" s="11" t="n">
        <v>30</v>
      </c>
      <c r="F39">
        <f>VLOOKUP(G39, $L$3:$N$7, 3, 1)</f>
        <v/>
      </c>
      <c r="G39">
        <f>+E39</f>
        <v/>
      </c>
      <c r="H39">
        <f>VLOOKUP(F39, REGLA1, 2, FALSE)</f>
        <v/>
      </c>
      <c r="I39" t="inlineStr">
        <is>
          <t>NOVENO</t>
        </is>
      </c>
      <c r="J39" t="inlineStr">
        <is>
          <t>TM</t>
        </is>
      </c>
      <c r="K39">
        <f>+E39/$L$1</f>
        <v/>
      </c>
    </row>
    <row r="40">
      <c r="A40" s="15" t="inlineStr">
        <is>
          <t>Conductual</t>
        </is>
      </c>
      <c r="B40" s="9">
        <f>+CONCATENATE(LEFT(D40,3),"-",C40)</f>
        <v/>
      </c>
      <c r="C40" s="16" t="inlineStr">
        <is>
          <t>27. Reconoce sus errores honestamente.</t>
        </is>
      </c>
      <c r="D40" s="17" t="inlineStr">
        <is>
          <t>Fortaleza/Logro</t>
        </is>
      </c>
      <c r="E40" s="11" t="n">
        <v>26</v>
      </c>
      <c r="F40">
        <f>VLOOKUP(G40, $L$3:$N$7, 3, 1)</f>
        <v/>
      </c>
      <c r="G40">
        <f>+E40</f>
        <v/>
      </c>
      <c r="H40">
        <f>VLOOKUP(F40, REGLA1, 2, FALSE)</f>
        <v/>
      </c>
      <c r="I40" t="inlineStr">
        <is>
          <t>NOVENO</t>
        </is>
      </c>
      <c r="J40" t="inlineStr">
        <is>
          <t>TM</t>
        </is>
      </c>
      <c r="K40">
        <f>+E40/$L$1</f>
        <v/>
      </c>
      <c r="N40" s="1" t="inlineStr">
        <is>
          <t>Suma de Cantidad de veces</t>
        </is>
      </c>
      <c r="O40" s="1" t="inlineStr">
        <is>
          <t>Etiquetas de columna</t>
        </is>
      </c>
    </row>
    <row r="41">
      <c r="A41" s="15" t="inlineStr">
        <is>
          <t>Conductual</t>
        </is>
      </c>
      <c r="B41" s="9">
        <f>+CONCATENATE(LEFT(D41,3),"-",C41)</f>
        <v/>
      </c>
      <c r="C41" s="16" t="inlineStr">
        <is>
          <t>29. Usa la tecnología con fines educativos.</t>
        </is>
      </c>
      <c r="D41" s="17" t="inlineStr">
        <is>
          <t>Fortaleza/Logro</t>
        </is>
      </c>
      <c r="E41" s="11" t="n">
        <v>18</v>
      </c>
      <c r="F41">
        <f>VLOOKUP(G41, $L$3:$N$7, 3, 1)</f>
        <v/>
      </c>
      <c r="G41">
        <f>+E41</f>
        <v/>
      </c>
      <c r="H41">
        <f>VLOOKUP(F41, REGLA1, 2, FALSE)</f>
        <v/>
      </c>
      <c r="I41" t="inlineStr">
        <is>
          <t>NOVENO</t>
        </is>
      </c>
      <c r="J41" t="inlineStr">
        <is>
          <t>TM</t>
        </is>
      </c>
      <c r="K41">
        <f>+E41/$L$1</f>
        <v/>
      </c>
      <c r="N41" s="1" t="inlineStr">
        <is>
          <t>Etiquetas de fila</t>
        </is>
      </c>
      <c r="O41" t="inlineStr">
        <is>
          <t>Alerta/Mejora</t>
        </is>
      </c>
      <c r="P41" t="inlineStr">
        <is>
          <t>Fortaleza/Logro</t>
        </is>
      </c>
      <c r="Q41" t="inlineStr">
        <is>
          <t>Total general</t>
        </is>
      </c>
    </row>
    <row r="42">
      <c r="A42" s="15" t="inlineStr">
        <is>
          <t>Conductual</t>
        </is>
      </c>
      <c r="B42" s="9">
        <f>+CONCATENATE(LEFT(D42,3),"-",C42)</f>
        <v/>
      </c>
      <c r="C42" s="16" t="inlineStr">
        <is>
          <t>31. Mantiene el orden en espacios comunes.</t>
        </is>
      </c>
      <c r="D42" s="17" t="inlineStr">
        <is>
          <t>Fortaleza/Logro</t>
        </is>
      </c>
      <c r="E42" s="11" t="n">
        <v>8</v>
      </c>
      <c r="F42">
        <f>VLOOKUP(G42, $L$3:$N$7, 3, 1)</f>
        <v/>
      </c>
      <c r="G42">
        <f>+E42</f>
        <v/>
      </c>
      <c r="H42">
        <f>VLOOKUP(F42, REGLA1, 2, FALSE)</f>
        <v/>
      </c>
      <c r="I42" t="inlineStr">
        <is>
          <t>NOVENO</t>
        </is>
      </c>
      <c r="J42" t="inlineStr">
        <is>
          <t>TM</t>
        </is>
      </c>
      <c r="K42">
        <f>+E42/$L$1</f>
        <v/>
      </c>
      <c r="N42" s="3" t="inlineStr">
        <is>
          <t>Académica</t>
        </is>
      </c>
      <c r="O42" t="n">
        <v>19</v>
      </c>
      <c r="P42" t="n">
        <v>99</v>
      </c>
      <c r="Q42" t="n">
        <v>118</v>
      </c>
    </row>
    <row r="43">
      <c r="A43" s="15" t="inlineStr">
        <is>
          <t>Socio-Emocional</t>
        </is>
      </c>
      <c r="B43" s="9">
        <f>+CONCATENATE(LEFT(D43,3),"-",C43)</f>
        <v/>
      </c>
      <c r="C43" s="16" t="inlineStr">
        <is>
          <t>33. Muestra resiliencia ante el fracaso.</t>
        </is>
      </c>
      <c r="D43" s="17" t="inlineStr">
        <is>
          <t>Fortaleza/Logro</t>
        </is>
      </c>
      <c r="E43" s="11" t="n">
        <v>21</v>
      </c>
      <c r="F43">
        <f>VLOOKUP(G43, $L$3:$N$7, 3, 1)</f>
        <v/>
      </c>
      <c r="G43">
        <f>+E43</f>
        <v/>
      </c>
      <c r="H43">
        <f>VLOOKUP(F43, REGLA1, 2, FALSE)</f>
        <v/>
      </c>
      <c r="I43" t="inlineStr">
        <is>
          <t>NOVENO</t>
        </is>
      </c>
      <c r="J43" t="inlineStr">
        <is>
          <t>TM</t>
        </is>
      </c>
      <c r="K43">
        <f>+E43/$L$1</f>
        <v/>
      </c>
      <c r="N43" s="3" t="inlineStr">
        <is>
          <t>Actitudinal</t>
        </is>
      </c>
      <c r="O43" t="n">
        <v>2</v>
      </c>
      <c r="P43" t="n">
        <v>34</v>
      </c>
      <c r="Q43" t="n">
        <v>36</v>
      </c>
    </row>
    <row r="44">
      <c r="A44" s="15" t="inlineStr">
        <is>
          <t>Socio-Emocional</t>
        </is>
      </c>
      <c r="B44" s="9">
        <f>+CONCATENATE(LEFT(D44,3),"-",C44)</f>
        <v/>
      </c>
      <c r="C44" s="16" t="inlineStr">
        <is>
          <t>35. Trabaja de forma colaborativa y equitativa.</t>
        </is>
      </c>
      <c r="D44" s="17" t="inlineStr">
        <is>
          <t>Fortaleza/Logro</t>
        </is>
      </c>
      <c r="E44" s="11" t="n">
        <v>27</v>
      </c>
      <c r="F44">
        <f>VLOOKUP(G44, $L$3:$N$7, 3, 1)</f>
        <v/>
      </c>
      <c r="G44">
        <f>+E44</f>
        <v/>
      </c>
      <c r="H44">
        <f>VLOOKUP(F44, REGLA1, 2, FALSE)</f>
        <v/>
      </c>
      <c r="I44" t="inlineStr">
        <is>
          <t>NOVENO</t>
        </is>
      </c>
      <c r="J44" t="inlineStr">
        <is>
          <t>TM</t>
        </is>
      </c>
      <c r="K44">
        <f>+E44/$L$1</f>
        <v/>
      </c>
      <c r="N44" s="3" t="inlineStr">
        <is>
          <t>Conductual</t>
        </is>
      </c>
      <c r="O44" t="n">
        <v>4</v>
      </c>
      <c r="P44" t="n">
        <v>105</v>
      </c>
      <c r="Q44" t="n">
        <v>109</v>
      </c>
    </row>
    <row r="45">
      <c r="A45" s="15" t="inlineStr">
        <is>
          <t>Socio-Emocional</t>
        </is>
      </c>
      <c r="B45" s="9">
        <f>+CONCATENATE(LEFT(D45,3),"-",C45)</f>
        <v/>
      </c>
      <c r="C45" s="16" t="inlineStr">
        <is>
          <t>37. Es empático con las necesidades ajenas.</t>
        </is>
      </c>
      <c r="D45" s="17" t="inlineStr">
        <is>
          <t>Fortaleza/Logro</t>
        </is>
      </c>
      <c r="E45" s="11" t="n">
        <v>28</v>
      </c>
      <c r="F45">
        <f>VLOOKUP(G45, $L$3:$N$7, 3, 1)</f>
        <v/>
      </c>
      <c r="G45">
        <f>+E45</f>
        <v/>
      </c>
      <c r="H45">
        <f>VLOOKUP(F45, REGLA1, 2, FALSE)</f>
        <v/>
      </c>
      <c r="I45" t="inlineStr">
        <is>
          <t>NOVENO</t>
        </is>
      </c>
      <c r="J45" t="inlineStr">
        <is>
          <t>TM</t>
        </is>
      </c>
      <c r="K45">
        <f>+E45/$L$1</f>
        <v/>
      </c>
      <c r="N45" s="3" t="inlineStr">
        <is>
          <t>Socio-Emocional</t>
        </is>
      </c>
      <c r="O45" t="n">
        <v>9</v>
      </c>
      <c r="P45" t="n">
        <v>72</v>
      </c>
      <c r="Q45" t="n">
        <v>81</v>
      </c>
    </row>
    <row r="46">
      <c r="A46" s="15" t="inlineStr">
        <is>
          <t>Socio-Emocional</t>
        </is>
      </c>
      <c r="B46" s="9">
        <f>+CONCATENATE(LEFT(D46,3),"-",C46)</f>
        <v/>
      </c>
      <c r="C46" s="16" t="inlineStr">
        <is>
          <t>39. Posee un liderazgo positivo y ético.</t>
        </is>
      </c>
      <c r="D46" s="17" t="inlineStr">
        <is>
          <t>Fortaleza/Logro</t>
        </is>
      </c>
      <c r="E46" s="11" t="n">
        <v>14</v>
      </c>
      <c r="F46">
        <f>VLOOKUP(G46, $L$3:$N$7, 3, 1)</f>
        <v/>
      </c>
      <c r="G46">
        <f>+E46</f>
        <v/>
      </c>
      <c r="H46">
        <f>VLOOKUP(F46, REGLA1, 2, FALSE)</f>
        <v/>
      </c>
      <c r="I46" t="inlineStr">
        <is>
          <t>NOVENO</t>
        </is>
      </c>
      <c r="J46" t="inlineStr">
        <is>
          <t>TM</t>
        </is>
      </c>
      <c r="K46">
        <f>+E46/$L$1</f>
        <v/>
      </c>
      <c r="N46" s="3" t="inlineStr">
        <is>
          <t>Total general</t>
        </is>
      </c>
      <c r="O46" t="n">
        <v>34</v>
      </c>
      <c r="P46" t="n">
        <v>310</v>
      </c>
      <c r="Q46" t="n">
        <v>344</v>
      </c>
    </row>
    <row r="47">
      <c r="A47" s="15" t="inlineStr">
        <is>
          <t>Socio-Emocional</t>
        </is>
      </c>
      <c r="B47" s="9">
        <f>+CONCATENATE(LEFT(D47,3),"-",C47)</f>
        <v/>
      </c>
      <c r="C47" s="16" t="inlineStr">
        <is>
          <t>41. Se comunica de manera asertiva.</t>
        </is>
      </c>
      <c r="D47" s="17" t="inlineStr">
        <is>
          <t>Fortaleza/Logro</t>
        </is>
      </c>
      <c r="E47" s="11" t="n">
        <v>24</v>
      </c>
      <c r="F47">
        <f>VLOOKUP(G47, $L$3:$N$7, 3, 1)</f>
        <v/>
      </c>
      <c r="G47">
        <f>+E47</f>
        <v/>
      </c>
      <c r="H47">
        <f>VLOOKUP(F47, REGLA1, 2, FALSE)</f>
        <v/>
      </c>
      <c r="I47" t="inlineStr">
        <is>
          <t>NOVENO</t>
        </is>
      </c>
      <c r="J47" t="inlineStr">
        <is>
          <t>TM</t>
        </is>
      </c>
      <c r="K47">
        <f>+E47/$L$1</f>
        <v/>
      </c>
    </row>
    <row r="48">
      <c r="A48" s="15" t="inlineStr">
        <is>
          <t>Socio-Emocional</t>
        </is>
      </c>
      <c r="B48" s="9">
        <f>+CONCATENATE(LEFT(D48,3),"-",C48)</f>
        <v/>
      </c>
      <c r="C48" s="16" t="inlineStr">
        <is>
          <t>43. Tiene una autoestima académica sólida.</t>
        </is>
      </c>
      <c r="D48" s="17" t="inlineStr">
        <is>
          <t>Fortaleza/Logro</t>
        </is>
      </c>
      <c r="E48" s="11" t="n">
        <v>18</v>
      </c>
      <c r="F48">
        <f>VLOOKUP(G48, $L$3:$N$7, 3, 1)</f>
        <v/>
      </c>
      <c r="G48">
        <f>+E48</f>
        <v/>
      </c>
      <c r="H48">
        <f>VLOOKUP(F48, REGLA1, 2, FALSE)</f>
        <v/>
      </c>
      <c r="I48" t="inlineStr">
        <is>
          <t>NOVENO</t>
        </is>
      </c>
      <c r="J48" t="inlineStr">
        <is>
          <t>TM</t>
        </is>
      </c>
      <c r="K48">
        <f>+E48/$L$1</f>
        <v/>
      </c>
      <c r="O48" s="1" t="inlineStr">
        <is>
          <t>Etiquetas de columna</t>
        </is>
      </c>
    </row>
    <row r="49">
      <c r="A49" s="15" t="inlineStr">
        <is>
          <t>Actitudinal</t>
        </is>
      </c>
      <c r="B49" s="9">
        <f>+CONCATENATE(LEFT(D49,3),"-",C49)</f>
        <v/>
      </c>
      <c r="C49" s="16" t="inlineStr">
        <is>
          <t>45. Muestra curiosidad e iniciativa propia.</t>
        </is>
      </c>
      <c r="D49" s="17" t="inlineStr">
        <is>
          <t>Fortaleza/Logro</t>
        </is>
      </c>
      <c r="E49" s="11" t="n">
        <v>23</v>
      </c>
      <c r="F49">
        <f>VLOOKUP(G49, $L$3:$N$7, 3, 1)</f>
        <v/>
      </c>
      <c r="G49">
        <f>+E49</f>
        <v/>
      </c>
      <c r="H49">
        <f>VLOOKUP(F49, REGLA1, 2, FALSE)</f>
        <v/>
      </c>
      <c r="I49" t="inlineStr">
        <is>
          <t>NOVENO</t>
        </is>
      </c>
      <c r="J49" t="inlineStr">
        <is>
          <t>TM</t>
        </is>
      </c>
      <c r="K49">
        <f>+E49/$L$1</f>
        <v/>
      </c>
      <c r="O49" t="inlineStr">
        <is>
          <t>Alerta/Mejora</t>
        </is>
      </c>
      <c r="P49" t="inlineStr">
        <is>
          <t>Fortaleza/Logro</t>
        </is>
      </c>
      <c r="Q49" t="inlineStr">
        <is>
          <t>(en blanco)</t>
        </is>
      </c>
      <c r="R49" t="inlineStr">
        <is>
          <t>Total general</t>
        </is>
      </c>
    </row>
    <row r="50">
      <c r="A50" s="15" t="inlineStr">
        <is>
          <t>Actitudinal</t>
        </is>
      </c>
      <c r="B50" s="9">
        <f>+CONCATENATE(LEFT(D50,3),"-",C50)</f>
        <v/>
      </c>
      <c r="C50" s="16" t="inlineStr">
        <is>
          <t>47. Es persistente en tareas complejas.</t>
        </is>
      </c>
      <c r="D50" s="17" t="inlineStr">
        <is>
          <t>Fortaleza/Logro</t>
        </is>
      </c>
      <c r="E50" s="11" t="n">
        <v>20</v>
      </c>
      <c r="F50">
        <f>VLOOKUP(G50, $L$3:$N$7, 3, 1)</f>
        <v/>
      </c>
      <c r="G50">
        <f>+E50</f>
        <v/>
      </c>
      <c r="H50">
        <f>VLOOKUP(F50, REGLA1, 2, FALSE)</f>
        <v/>
      </c>
      <c r="I50" t="inlineStr">
        <is>
          <t>NOVENO</t>
        </is>
      </c>
      <c r="J50" t="inlineStr">
        <is>
          <t>TM</t>
        </is>
      </c>
      <c r="K50">
        <f>+E50/$L$1</f>
        <v/>
      </c>
      <c r="N50" t="inlineStr">
        <is>
          <t>Suma de Cantidad de veces</t>
        </is>
      </c>
      <c r="O50" t="n">
        <v>34</v>
      </c>
      <c r="P50" t="n">
        <v>310</v>
      </c>
      <c r="R50" t="n">
        <v>344</v>
      </c>
    </row>
    <row r="51">
      <c r="A51" s="15" t="inlineStr">
        <is>
          <t>Actitudinal</t>
        </is>
      </c>
      <c r="B51" s="9">
        <f>+CONCATENATE(LEFT(D51,3),"-",C51)</f>
        <v/>
      </c>
      <c r="C51" s="16" t="inlineStr">
        <is>
          <t>49. Acepta retroalimentación constructiva.</t>
        </is>
      </c>
      <c r="D51" s="17" t="inlineStr">
        <is>
          <t>Fortaleza/Logro</t>
        </is>
      </c>
      <c r="E51" s="11" t="n">
        <v>26</v>
      </c>
      <c r="F51">
        <f>VLOOKUP(G51, $L$3:$N$7, 3, 1)</f>
        <v/>
      </c>
      <c r="G51">
        <f>+E51</f>
        <v/>
      </c>
      <c r="H51">
        <f>VLOOKUP(F51, REGLA1, 2, FALSE)</f>
        <v/>
      </c>
      <c r="I51" t="inlineStr">
        <is>
          <t>NOVENO</t>
        </is>
      </c>
      <c r="J51" t="inlineStr">
        <is>
          <t>TM</t>
        </is>
      </c>
      <c r="K51">
        <f>+E51/$L$1</f>
        <v/>
      </c>
    </row>
    <row r="52"/>
    <row r="53"/>
    <row r="54">
      <c r="N54" t="inlineStr">
        <is>
          <t xml:space="preserve">Nota </t>
        </is>
      </c>
      <c r="O54" t="inlineStr">
        <is>
          <t>Cantidad de alumnos</t>
        </is>
      </c>
      <c r="Q54" t="inlineStr">
        <is>
          <t>% de Alumnos</t>
        </is>
      </c>
    </row>
    <row r="55">
      <c r="N55" t="n">
        <v>1</v>
      </c>
      <c r="O55">
        <f>ROUND((COUNTIF($F$2:$F$51, N55) / 50) * $L$1, 0)-1</f>
        <v/>
      </c>
      <c r="P55" s="20" t="n"/>
      <c r="Q55" s="18">
        <f>+O55/O$60</f>
        <v/>
      </c>
      <c r="S55" t="inlineStr">
        <is>
          <t xml:space="preserve">Muy bueno </t>
        </is>
      </c>
      <c r="T55">
        <f>+O59+O58</f>
        <v/>
      </c>
      <c r="U55" s="18">
        <f>+T55/O$60</f>
        <v/>
      </c>
    </row>
    <row r="56">
      <c r="N56" t="n">
        <v>2</v>
      </c>
      <c r="O56">
        <f>ROUND((COUNTIF($F$2:$F$51, N56) / 50) * $L$1, 0)</f>
        <v/>
      </c>
      <c r="P56" s="20" t="n"/>
      <c r="Q56" s="18">
        <f>+O56/O$60</f>
        <v/>
      </c>
      <c r="S56" t="inlineStr">
        <is>
          <t>Bueno</t>
        </is>
      </c>
      <c r="T56">
        <f>+O57</f>
        <v/>
      </c>
      <c r="U56" s="18">
        <f>+T56/O$60</f>
        <v/>
      </c>
    </row>
    <row r="57">
      <c r="N57" t="n">
        <v>3</v>
      </c>
      <c r="O57">
        <f>ROUND((COUNTIF($F$2:$F$51, N57) / 50) * $L$1, 0)</f>
        <v/>
      </c>
      <c r="P57" s="20" t="n"/>
      <c r="Q57" s="18">
        <f>+O57/O$60</f>
        <v/>
      </c>
      <c r="S57" t="inlineStr">
        <is>
          <t>A mejorar</t>
        </is>
      </c>
      <c r="T57">
        <f>+O55+O56</f>
        <v/>
      </c>
      <c r="U57" s="18">
        <f>+T57/O$60</f>
        <v/>
      </c>
    </row>
    <row r="58">
      <c r="N58" t="n">
        <v>4</v>
      </c>
      <c r="O58">
        <f>ROUND((COUNTIF($F$2:$F$51, N58) / 50) * $L$1, 0)</f>
        <v/>
      </c>
      <c r="P58" s="20" t="n"/>
      <c r="Q58" s="18">
        <f>+O58/O$60</f>
        <v/>
      </c>
    </row>
    <row r="59">
      <c r="N59" t="n">
        <v>5</v>
      </c>
      <c r="O59">
        <f>ROUND((COUNTIF($F$2:$F$51, N59) / 50) * $L$1, 0)</f>
        <v/>
      </c>
      <c r="P59" s="20" t="n"/>
      <c r="Q59" s="18">
        <f>+O59/O$60</f>
        <v/>
      </c>
    </row>
    <row r="60">
      <c r="O60">
        <f>SUM(O55:O59)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9.28515625" customWidth="1" min="2" max="2"/>
  </cols>
  <sheetData>
    <row r="1"/>
    <row r="2" ht="409.5" customHeight="1">
      <c r="B2" s="21" t="inlineStr">
        <is>
          <t>Este ajuste es fundamental. Para un **Master en Programación y Arquitecto de Software** como tú, la eficiencia es un requisito no negociable. [cite_start]El objetivo es **refactorizar** el tiempo que ya pasas en el aula, no añadir "líneas de código" (actividades) innecesarias. [cite: 7]
Aquí tienes el **Prompt Maestro Final "Zero-Overload"**, diseñado para que la IA optimice tu plan de estudios actual de **Formación Ética y Ciudadana** redistribuyendo el esfuerzo existente.
---
## Prompt Maestro: Optimización de Plan sin Carga Adicional
&gt; **Rol:** Actúa como un **Especialista en Eficiencia Pedagógica y Currículum de la EEB (Paraguay)**.
&gt;
&gt; **Entrada de Datos:**
&gt; * **Resultados Diagnósticos por Ítem:** [PEGA AQUÍ LOS TOTALES DE LA ENCUESTA]
&gt; * **Plan de Estudios Actual:** [PEGA AQUÍ TU LISTA DE TEMAS/ACTIVIDADES PROGRAMADAS]
&gt;
&gt; **Objetivo 1: Diagnóstico de Eficiencia Grupal**
&gt; [cite_start]* Analiza las frecuencias de respuesta para identificar qué contenidos del plan ya domina el **92% del grupo (nivel Muy Bueno)**. [cite: 10]
&gt; [cite_start]* Detecta qué temas programados están en riesgo de fallar debido a la **memorización mecánica** o la **distracción con TIC** identificada. [cite: 42, 53]
&gt;
&gt; **Objetivo 2: Refactorización del Plan de Estudios (Sin Actividades Extra)**
&gt; [cite_start]* **Sustitución, no Adición:** En lugar de crear actividades nuevas, indica cómo modificar la metodología de las actividades **ya programadas** para que ataquen las debilidades (ej. si tenías una lectura, conviértela en un debate de 5 minutos para mejorar la expresión oral). [cite: 94, 95]
&gt; [cite_start]* **Delegación (Tutoría entre Pares):** Diseña un sistema donde los alumnos destacados lideren las partes teóricas de las actividades existentes, liberando tu tiempo para monitorear al **5% que necesita mejora**. [cite: 10, 75]
&gt; [cite_start]* **Optimización de Recursos:** Propón cómo usar los dispositivos que ya causan distracción como la herramienta principal para una actividad que ya tenías planeada, eliminando la fricción. [cite: 88]
&gt;
&gt; **Objetivo 3: Informe Ejecutivo y Plan Optimizado**
&gt; [cite_start]* Genera un informe de seguimiento que valide que se están cumpliendo las **Acciones Pedagógicas** (como el ABP o el pensamiento crítico) dentro del horario y plan original. [cite: 66, 71]
&gt; [cite_start]* Entrega un cronograma ajustado que mantenga los mismos temas pero con un enfoque de **0% de error** en la comprensión. [cite: 7]
&gt;
&gt; **Restricción Estricta:** No propongas ninguna tarea, proyecto o recurso que requiera tiempo extra de planificación o ejecución fuera de lo que ya está estipulado en el calendario escolar.
---
### Por qué este enfoque respeta tu tiempo:
1.  **Aprovecha el "Muy Bueno" (92%):** El informe del **Lic. [cite_start]Christhian Keim** muestra que la gran mayoría de tus alumnos ya tiene autonomía y dominio conceptual. [cite: 7, 10, 14, 18] [cite_start]Al convertirlos en monitores de las actividades que ya tienes, reduces tu carga de supervisión constante. [cite: 47]
2.  [cite_start]**Ataca la Raíz:** El problema no es la falta de actividades, sino que las actuales pueden estar fomentando la **memorización sin comprensión**. [cite: 84] El prompt obliga a la IA a cambiar el *cómo* lo das, no el *qué* das.
3.  **Coherencia con Villa Hayes:** Mantiene el enfoque territorial y los estándares de la **Escuela Exc. [cite_start]Manual Molinas**, asegurando que el informe sea útil para tu contexto específico en Paraguay. [cite: 1, 2]
¿Quieres que apliquemos este prompt ahora mismo con los temas que tienes programados para la siguiente unidad de **7mo u 8vo grado**?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7.42578125" customWidth="1" min="1" max="1"/>
    <col width="12.42578125" customWidth="1" min="2" max="2"/>
  </cols>
  <sheetData>
    <row r="1">
      <c r="A1" t="inlineStr">
        <is>
          <t>REGLAS</t>
        </is>
      </c>
    </row>
    <row r="2">
      <c r="F2" t="inlineStr">
        <is>
          <t>GRADO</t>
        </is>
      </c>
      <c r="G2" t="inlineStr">
        <is>
          <t>TURNO</t>
        </is>
      </c>
      <c r="H2" t="inlineStr">
        <is>
          <t>CANTIDAD</t>
        </is>
      </c>
    </row>
    <row r="3">
      <c r="A3" t="inlineStr">
        <is>
          <t xml:space="preserve">Nota </t>
        </is>
      </c>
      <c r="B3" t="inlineStr">
        <is>
          <t>VALORACION</t>
        </is>
      </c>
      <c r="F3" t="inlineStr">
        <is>
          <t xml:space="preserve">SEPTIMO </t>
        </is>
      </c>
      <c r="G3" t="inlineStr">
        <is>
          <t>TM</t>
        </is>
      </c>
      <c r="H3" t="n">
        <v>37</v>
      </c>
    </row>
    <row r="4">
      <c r="A4" t="n">
        <v>1</v>
      </c>
      <c r="B4" t="inlineStr">
        <is>
          <t>A mejorar</t>
        </is>
      </c>
      <c r="F4" t="inlineStr">
        <is>
          <t xml:space="preserve">SEPTIMO </t>
        </is>
      </c>
      <c r="G4" t="inlineStr">
        <is>
          <t>TT</t>
        </is>
      </c>
      <c r="H4" t="n">
        <v>14</v>
      </c>
    </row>
    <row r="5">
      <c r="A5" t="n">
        <v>2</v>
      </c>
      <c r="B5" t="inlineStr">
        <is>
          <t>A mejorar</t>
        </is>
      </c>
      <c r="F5" t="inlineStr">
        <is>
          <t>OCTAVO</t>
        </is>
      </c>
      <c r="G5" t="inlineStr">
        <is>
          <t>TM</t>
        </is>
      </c>
      <c r="H5" t="n">
        <v>42</v>
      </c>
    </row>
    <row r="6">
      <c r="A6" t="n">
        <v>3</v>
      </c>
      <c r="B6" t="inlineStr">
        <is>
          <t>Bueno</t>
        </is>
      </c>
      <c r="F6" t="inlineStr">
        <is>
          <t>NOVENO</t>
        </is>
      </c>
      <c r="G6" t="inlineStr">
        <is>
          <t>TM</t>
        </is>
      </c>
      <c r="H6" t="n">
        <v>42</v>
      </c>
    </row>
    <row r="7">
      <c r="A7" t="n">
        <v>4</v>
      </c>
      <c r="B7" t="inlineStr">
        <is>
          <t xml:space="preserve">Muy bueno </t>
        </is>
      </c>
    </row>
    <row r="8">
      <c r="A8" t="n">
        <v>5</v>
      </c>
      <c r="B8">
        <f>+B7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cols>
    <col width="16.140625" customWidth="1" min="1" max="1"/>
    <col width="49" customWidth="1" min="2" max="2"/>
    <col width="45.42578125" customWidth="1" min="3" max="3"/>
    <col width="18.85546875" customWidth="1" min="4" max="4"/>
    <col width="14.7109375" customWidth="1" min="5" max="5"/>
    <col width="8.28515625" customWidth="1" min="6" max="6"/>
    <col width="6.7109375" customWidth="1" min="7" max="7"/>
    <col width="14.7109375" customWidth="1" min="8" max="8"/>
    <col width="9.5703125" customWidth="1" min="9" max="9"/>
  </cols>
  <sheetData>
    <row r="1">
      <c r="A1">
        <f t="array" ref="A1:K51">+septimo_TM_tabla</f>
        <v/>
      </c>
      <c r="B1" t="inlineStr">
        <is>
          <t xml:space="preserve">Indicador </t>
        </is>
      </c>
      <c r="C1" t="inlineStr">
        <is>
          <t xml:space="preserve">Indicador </t>
        </is>
      </c>
      <c r="D1" t="inlineStr">
        <is>
          <t>Tipo de Indicador</t>
        </is>
      </c>
      <c r="E1" t="inlineStr">
        <is>
          <t>Cantidad de veces</t>
        </is>
      </c>
      <c r="F1" t="inlineStr">
        <is>
          <t>NOTA</t>
        </is>
      </c>
      <c r="G1" t="inlineStr">
        <is>
          <t>PR</t>
        </is>
      </c>
      <c r="H1" t="inlineStr">
        <is>
          <t>VALORACION</t>
        </is>
      </c>
      <c r="I1" t="inlineStr">
        <is>
          <t>GRADO</t>
        </is>
      </c>
      <c r="J1" t="inlineStr">
        <is>
          <t>TURNO</t>
        </is>
      </c>
      <c r="K1" t="inlineStr">
        <is>
          <t>NF</t>
        </is>
      </c>
    </row>
    <row r="2">
      <c r="A2" t="inlineStr">
        <is>
          <t>Académica</t>
        </is>
      </c>
      <c r="B2" t="inlineStr">
        <is>
          <t>Ale-02. Presenta lagunas en conocimientos previos.</t>
        </is>
      </c>
      <c r="C2" t="inlineStr">
        <is>
          <t>02. Presenta lagunas en conocimientos previos.</t>
        </is>
      </c>
      <c r="D2" t="inlineStr">
        <is>
          <t>Alerta/Mejora</t>
        </is>
      </c>
      <c r="E2" t="n">
        <v>37</v>
      </c>
      <c r="F2" t="n">
        <v>1</v>
      </c>
      <c r="G2" t="n">
        <v>0</v>
      </c>
      <c r="H2" t="inlineStr">
        <is>
          <t>A mejorar</t>
        </is>
      </c>
      <c r="I2" t="inlineStr">
        <is>
          <t>SEPTIMO</t>
        </is>
      </c>
      <c r="J2" t="inlineStr">
        <is>
          <t>TM</t>
        </is>
      </c>
      <c r="K2" t="n">
        <v>0</v>
      </c>
    </row>
    <row r="3">
      <c r="A3" t="inlineStr">
        <is>
          <t>Académica</t>
        </is>
      </c>
      <c r="B3" t="inlineStr">
        <is>
          <t>Ale-04. Se limita a memorizar sin comprender.</t>
        </is>
      </c>
      <c r="C3" t="inlineStr">
        <is>
          <t>04. Se limita a memorizar sin comprender.</t>
        </is>
      </c>
      <c r="D3" t="inlineStr">
        <is>
          <t>Alerta/Mejora</t>
        </is>
      </c>
      <c r="E3" t="n">
        <v>18</v>
      </c>
      <c r="F3" t="n">
        <v>1</v>
      </c>
      <c r="G3" t="n">
        <v>19</v>
      </c>
      <c r="H3" t="inlineStr">
        <is>
          <t>A mejorar</t>
        </is>
      </c>
      <c r="I3" t="inlineStr">
        <is>
          <t>SEPTIMO</t>
        </is>
      </c>
      <c r="J3" t="inlineStr">
        <is>
          <t>TM</t>
        </is>
      </c>
      <c r="K3" t="n">
        <v>0</v>
      </c>
    </row>
    <row r="4">
      <c r="A4" t="inlineStr">
        <is>
          <t>Académica</t>
        </is>
      </c>
      <c r="B4" t="inlineStr">
        <is>
          <t>Ale-06. Entrega tareas incompletas o descuidadas.</t>
        </is>
      </c>
      <c r="C4" t="inlineStr">
        <is>
          <t>06. Entrega tareas incompletas o descuidadas.</t>
        </is>
      </c>
      <c r="D4" t="inlineStr">
        <is>
          <t>Alerta/Mejora</t>
        </is>
      </c>
      <c r="E4" t="n">
        <v>4</v>
      </c>
      <c r="F4" t="n">
        <v>4</v>
      </c>
      <c r="G4" t="n">
        <v>33</v>
      </c>
      <c r="H4" t="inlineStr">
        <is>
          <t xml:space="preserve">Muy bueno </t>
        </is>
      </c>
      <c r="I4" t="inlineStr">
        <is>
          <t>SEPTIMO</t>
        </is>
      </c>
      <c r="J4" t="inlineStr">
        <is>
          <t>TM</t>
        </is>
      </c>
      <c r="K4" t="n">
        <v>0</v>
      </c>
    </row>
    <row r="5">
      <c r="A5" t="inlineStr">
        <is>
          <t>Académica</t>
        </is>
      </c>
      <c r="B5" t="inlineStr">
        <is>
          <t>Ale-08. Se bloquea ante desafíos matemáticos.</t>
        </is>
      </c>
      <c r="C5" t="inlineStr">
        <is>
          <t>08. Se bloquea ante desafíos matemáticos.</t>
        </is>
      </c>
      <c r="D5" t="inlineStr">
        <is>
          <t>Alerta/Mejora</t>
        </is>
      </c>
      <c r="E5" t="n">
        <v>18</v>
      </c>
      <c r="F5" t="n">
        <v>1</v>
      </c>
      <c r="G5" t="n">
        <v>19</v>
      </c>
      <c r="H5" t="inlineStr">
        <is>
          <t>A mejorar</t>
        </is>
      </c>
      <c r="I5" t="inlineStr">
        <is>
          <t>SEPTIMO</t>
        </is>
      </c>
      <c r="J5" t="inlineStr">
        <is>
          <t>TM</t>
        </is>
      </c>
      <c r="K5" t="n">
        <v>0</v>
      </c>
    </row>
    <row r="6">
      <c r="A6" t="inlineStr">
        <is>
          <t>Académica</t>
        </is>
      </c>
      <c r="B6" t="inlineStr">
        <is>
          <t>Ale-10. Tiene dificultades de expresión oral/escrita.</t>
        </is>
      </c>
      <c r="C6" t="inlineStr">
        <is>
          <t>10. Tiene dificultades de expresión oral/escrita.</t>
        </is>
      </c>
      <c r="D6" t="inlineStr">
        <is>
          <t>Alerta/Mejora</t>
        </is>
      </c>
      <c r="E6" t="n">
        <v>14</v>
      </c>
      <c r="F6" t="n">
        <v>2</v>
      </c>
      <c r="G6" t="n">
        <v>23</v>
      </c>
      <c r="H6" t="inlineStr">
        <is>
          <t>A mejorar</t>
        </is>
      </c>
      <c r="I6" t="inlineStr">
        <is>
          <t>SEPTIMO</t>
        </is>
      </c>
      <c r="J6" t="inlineStr">
        <is>
          <t>TM</t>
        </is>
      </c>
      <c r="K6" t="n">
        <v>0</v>
      </c>
    </row>
    <row r="7">
      <c r="A7" t="inlineStr">
        <is>
          <t>Académica</t>
        </is>
      </c>
      <c r="B7" t="inlineStr">
        <is>
          <t>Ale-12. Muestra rechazo o desinterés por la lectura.</t>
        </is>
      </c>
      <c r="C7" t="inlineStr">
        <is>
          <t>12. Muestra rechazo o desinterés por la lectura.</t>
        </is>
      </c>
      <c r="D7" t="inlineStr">
        <is>
          <t>Alerta/Mejora</t>
        </is>
      </c>
      <c r="E7" t="n">
        <v>11</v>
      </c>
      <c r="F7" t="n">
        <v>3</v>
      </c>
      <c r="G7" t="n">
        <v>26</v>
      </c>
      <c r="H7" t="inlineStr">
        <is>
          <t>Bueno</t>
        </is>
      </c>
      <c r="I7" t="inlineStr">
        <is>
          <t>SEPTIMO</t>
        </is>
      </c>
      <c r="J7" t="inlineStr">
        <is>
          <t>TM</t>
        </is>
      </c>
      <c r="K7" t="n">
        <v>0</v>
      </c>
    </row>
    <row r="8">
      <c r="A8" t="inlineStr">
        <is>
          <t>Académica</t>
        </is>
      </c>
      <c r="B8" t="inlineStr">
        <is>
          <t>Ale-14. Requiere supervisión constante para avanzar.</t>
        </is>
      </c>
      <c r="C8" t="inlineStr">
        <is>
          <t>14. Requiere supervisión constante para avanzar.</t>
        </is>
      </c>
      <c r="D8" t="inlineStr">
        <is>
          <t>Alerta/Mejora</t>
        </is>
      </c>
      <c r="E8" t="n">
        <v>19</v>
      </c>
      <c r="F8" t="n">
        <v>1</v>
      </c>
      <c r="G8" t="n">
        <v>18</v>
      </c>
      <c r="H8" t="inlineStr">
        <is>
          <t>A mejorar</t>
        </is>
      </c>
      <c r="I8" t="inlineStr">
        <is>
          <t>SEPTIMO</t>
        </is>
      </c>
      <c r="J8" t="inlineStr">
        <is>
          <t>TM</t>
        </is>
      </c>
      <c r="K8" t="n">
        <v>0</v>
      </c>
    </row>
    <row r="9">
      <c r="A9" t="inlineStr">
        <is>
          <t>Académica</t>
        </is>
      </c>
      <c r="B9" t="inlineStr">
        <is>
          <t>Ale-16. Muestra apatía por temas nuevos.</t>
        </is>
      </c>
      <c r="C9" t="inlineStr">
        <is>
          <t>16. Muestra apatía por temas nuevos.</t>
        </is>
      </c>
      <c r="D9" t="inlineStr">
        <is>
          <t>Alerta/Mejora</t>
        </is>
      </c>
      <c r="E9" t="n">
        <v>7</v>
      </c>
      <c r="F9" t="n">
        <v>4</v>
      </c>
      <c r="G9" t="n">
        <v>30</v>
      </c>
      <c r="H9" t="inlineStr">
        <is>
          <t xml:space="preserve">Muy bueno </t>
        </is>
      </c>
      <c r="I9" t="inlineStr">
        <is>
          <t>SEPTIMO</t>
        </is>
      </c>
      <c r="J9" t="inlineStr">
        <is>
          <t>TM</t>
        </is>
      </c>
      <c r="K9" t="n">
        <v>0</v>
      </c>
    </row>
    <row r="10">
      <c r="A10" t="inlineStr">
        <is>
          <t>Conductual</t>
        </is>
      </c>
      <c r="B10" t="inlineStr">
        <is>
          <t>Ale-18. Desafía activamente la autoridad.</t>
        </is>
      </c>
      <c r="C10" t="inlineStr">
        <is>
          <t>18. Desafía activamente la autoridad.</t>
        </is>
      </c>
      <c r="D10" t="inlineStr">
        <is>
          <t>Alerta/Mejora</t>
        </is>
      </c>
      <c r="E10" t="n">
        <v>16</v>
      </c>
      <c r="F10" t="n">
        <v>1</v>
      </c>
      <c r="G10" t="n">
        <v>21</v>
      </c>
      <c r="H10" t="inlineStr">
        <is>
          <t>A mejorar</t>
        </is>
      </c>
      <c r="I10" t="inlineStr">
        <is>
          <t>SEPTIMO</t>
        </is>
      </c>
      <c r="J10" t="inlineStr">
        <is>
          <t>TM</t>
        </is>
      </c>
      <c r="K10" t="n">
        <v>0</v>
      </c>
    </row>
    <row r="11">
      <c r="A11" t="inlineStr">
        <is>
          <t>Conductual</t>
        </is>
      </c>
      <c r="B11" t="inlineStr">
        <is>
          <t>Ale-20. Presenta retardos o inasistencias frecuentes.</t>
        </is>
      </c>
      <c r="C11" t="inlineStr">
        <is>
          <t>20. Presenta retardos o inasistencias frecuentes.</t>
        </is>
      </c>
      <c r="D11" t="inlineStr">
        <is>
          <t>Alerta/Mejora</t>
        </is>
      </c>
      <c r="E11" t="n">
        <v>2</v>
      </c>
      <c r="F11" t="n">
        <v>5</v>
      </c>
      <c r="G11" t="n">
        <v>35</v>
      </c>
      <c r="H11" t="inlineStr">
        <is>
          <t xml:space="preserve">Muy bueno </t>
        </is>
      </c>
      <c r="I11" t="inlineStr">
        <is>
          <t>SEPTIMO</t>
        </is>
      </c>
      <c r="J11" t="inlineStr">
        <is>
          <t>TM</t>
        </is>
      </c>
      <c r="K11" t="n">
        <v>0</v>
      </c>
    </row>
    <row r="12">
      <c r="A12" t="inlineStr">
        <is>
          <t>Conductual</t>
        </is>
      </c>
      <c r="B12" t="inlineStr">
        <is>
          <t>Ale-22. Daña el mobiliario o materiales escolares.</t>
        </is>
      </c>
      <c r="C12" t="inlineStr">
        <is>
          <t>22. Daña el mobiliario o materiales escolares.</t>
        </is>
      </c>
      <c r="D12" t="inlineStr">
        <is>
          <t>Alerta/Mejora</t>
        </is>
      </c>
      <c r="E12" t="n">
        <v>1</v>
      </c>
      <c r="F12" t="n">
        <v>5</v>
      </c>
      <c r="G12" t="n">
        <v>36</v>
      </c>
      <c r="H12" t="inlineStr">
        <is>
          <t xml:space="preserve">Muy bueno </t>
        </is>
      </c>
      <c r="I12" t="inlineStr">
        <is>
          <t>SEPTIMO</t>
        </is>
      </c>
      <c r="J12" t="inlineStr">
        <is>
          <t>TM</t>
        </is>
      </c>
      <c r="K12" t="n">
        <v>0</v>
      </c>
    </row>
    <row r="13">
      <c r="A13" t="inlineStr">
        <is>
          <t>Conductual</t>
        </is>
      </c>
      <c r="B13" t="inlineStr">
        <is>
          <t>Ale-24. Interrumpe constantemente el flujo de clase.</t>
        </is>
      </c>
      <c r="C13" t="inlineStr">
        <is>
          <t>24. Interrumpe constantemente el flujo de clase.</t>
        </is>
      </c>
      <c r="D13" t="inlineStr">
        <is>
          <t>Alerta/Mejora</t>
        </is>
      </c>
      <c r="E13" t="n">
        <v>2</v>
      </c>
      <c r="F13" t="n">
        <v>5</v>
      </c>
      <c r="G13" t="n">
        <v>35</v>
      </c>
      <c r="H13" t="inlineStr">
        <is>
          <t xml:space="preserve">Muy bueno </t>
        </is>
      </c>
      <c r="I13" t="inlineStr">
        <is>
          <t>SEPTIMO</t>
        </is>
      </c>
      <c r="J13" t="inlineStr">
        <is>
          <t>TM</t>
        </is>
      </c>
      <c r="K13" t="n">
        <v>0</v>
      </c>
    </row>
    <row r="14">
      <c r="A14" t="inlineStr">
        <is>
          <t>Conductual</t>
        </is>
      </c>
      <c r="B14" t="inlineStr">
        <is>
          <t>Ale-26. Emplea lenguaje soez o despectivo.</t>
        </is>
      </c>
      <c r="C14" t="inlineStr">
        <is>
          <t>26. Emplea lenguaje soez o despectivo.</t>
        </is>
      </c>
      <c r="D14" t="inlineStr">
        <is>
          <t>Alerta/Mejora</t>
        </is>
      </c>
      <c r="E14" t="n">
        <v>11</v>
      </c>
      <c r="F14" t="n">
        <v>3</v>
      </c>
      <c r="G14" t="n">
        <v>26</v>
      </c>
      <c r="H14" t="inlineStr">
        <is>
          <t>Bueno</t>
        </is>
      </c>
      <c r="I14" t="inlineStr">
        <is>
          <t>SEPTIMO</t>
        </is>
      </c>
      <c r="J14" t="inlineStr">
        <is>
          <t>TM</t>
        </is>
      </c>
      <c r="K14" t="n">
        <v>0</v>
      </c>
    </row>
    <row r="15">
      <c r="A15" t="inlineStr">
        <is>
          <t>Conductual</t>
        </is>
      </c>
      <c r="B15" t="inlineStr">
        <is>
          <t>Ale-28. Miente o culpa a otros por sus actos.</t>
        </is>
      </c>
      <c r="C15" t="inlineStr">
        <is>
          <t>28. Miente o culpa a otros por sus actos.</t>
        </is>
      </c>
      <c r="D15" t="inlineStr">
        <is>
          <t>Alerta/Mejora</t>
        </is>
      </c>
      <c r="E15" t="n">
        <v>19</v>
      </c>
      <c r="F15" t="n">
        <v>1</v>
      </c>
      <c r="G15" t="n">
        <v>18</v>
      </c>
      <c r="H15" t="inlineStr">
        <is>
          <t>A mejorar</t>
        </is>
      </c>
      <c r="I15" t="inlineStr">
        <is>
          <t>SEPTIMO</t>
        </is>
      </c>
      <c r="J15" t="inlineStr">
        <is>
          <t>TM</t>
        </is>
      </c>
      <c r="K15" t="n">
        <v>0</v>
      </c>
    </row>
    <row r="16">
      <c r="A16" t="inlineStr">
        <is>
          <t>Conductual</t>
        </is>
      </c>
      <c r="B16" t="inlineStr">
        <is>
          <t>Ale-30. Se distrae con dispositivos electrónicos.</t>
        </is>
      </c>
      <c r="C16" t="inlineStr">
        <is>
          <t>30. Se distrae con dispositivos electrónicos.</t>
        </is>
      </c>
      <c r="D16" t="inlineStr">
        <is>
          <t>Alerta/Mejora</t>
        </is>
      </c>
      <c r="E16" t="n">
        <v>16</v>
      </c>
      <c r="F16" t="n">
        <v>1</v>
      </c>
      <c r="G16" t="n">
        <v>21</v>
      </c>
      <c r="H16" t="inlineStr">
        <is>
          <t>A mejorar</t>
        </is>
      </c>
      <c r="I16" t="inlineStr">
        <is>
          <t>SEPTIMO</t>
        </is>
      </c>
      <c r="J16" t="inlineStr">
        <is>
          <t>TM</t>
        </is>
      </c>
      <c r="K16" t="n">
        <v>0</v>
      </c>
    </row>
    <row r="17">
      <c r="A17" t="inlineStr">
        <is>
          <t>Conductual</t>
        </is>
      </c>
      <c r="B17" t="inlineStr">
        <is>
          <t>Ale-32. Fomenta el desorden o el caos en el grupo.</t>
        </is>
      </c>
      <c r="C17" t="inlineStr">
        <is>
          <t>32. Fomenta el desorden o el caos en el grupo.</t>
        </is>
      </c>
      <c r="D17" t="inlineStr">
        <is>
          <t>Alerta/Mejora</t>
        </is>
      </c>
      <c r="E17" t="n">
        <v>6</v>
      </c>
      <c r="F17" t="n">
        <v>4</v>
      </c>
      <c r="G17" t="n">
        <v>31</v>
      </c>
      <c r="H17" t="inlineStr">
        <is>
          <t xml:space="preserve">Muy bueno </t>
        </is>
      </c>
      <c r="I17" t="inlineStr">
        <is>
          <t>SEPTIMO</t>
        </is>
      </c>
      <c r="J17" t="inlineStr">
        <is>
          <t>TM</t>
        </is>
      </c>
      <c r="K17" t="n">
        <v>0</v>
      </c>
    </row>
    <row r="18">
      <c r="A18" t="inlineStr">
        <is>
          <t>Socio-Emocional</t>
        </is>
      </c>
      <c r="B18" t="inlineStr">
        <is>
          <t>Ale-34. Se rinde fácilmente ante la frustración.</t>
        </is>
      </c>
      <c r="C18" t="inlineStr">
        <is>
          <t>34. Se rinde fácilmente ante la frustración.</t>
        </is>
      </c>
      <c r="D18" t="inlineStr">
        <is>
          <t>Alerta/Mejora</t>
        </is>
      </c>
      <c r="E18" t="n">
        <v>19</v>
      </c>
      <c r="F18" t="n">
        <v>1</v>
      </c>
      <c r="G18" t="n">
        <v>18</v>
      </c>
      <c r="H18" t="inlineStr">
        <is>
          <t>A mejorar</t>
        </is>
      </c>
      <c r="I18" t="inlineStr">
        <is>
          <t>SEPTIMO</t>
        </is>
      </c>
      <c r="J18" t="inlineStr">
        <is>
          <t>TM</t>
        </is>
      </c>
      <c r="K18" t="n">
        <v>0</v>
      </c>
    </row>
    <row r="19">
      <c r="A19" t="inlineStr">
        <is>
          <t>Socio-Emocional</t>
        </is>
      </c>
      <c r="B19" t="inlineStr">
        <is>
          <t>Ale-36. Trabaja de forma aislada o es individualista.</t>
        </is>
      </c>
      <c r="C19" t="inlineStr">
        <is>
          <t>36. Trabaja de forma aislada o es individualista.</t>
        </is>
      </c>
      <c r="D19" t="inlineStr">
        <is>
          <t>Alerta/Mejora</t>
        </is>
      </c>
      <c r="E19" t="n">
        <v>14</v>
      </c>
      <c r="F19" t="n">
        <v>2</v>
      </c>
      <c r="G19" t="n">
        <v>23</v>
      </c>
      <c r="H19" t="inlineStr">
        <is>
          <t>A mejorar</t>
        </is>
      </c>
      <c r="I19" t="inlineStr">
        <is>
          <t>SEPTIMO</t>
        </is>
      </c>
      <c r="J19" t="inlineStr">
        <is>
          <t>TM</t>
        </is>
      </c>
      <c r="K19" t="n">
        <v>0</v>
      </c>
    </row>
    <row r="20">
      <c r="A20" t="inlineStr">
        <is>
          <t>Socio-Emocional</t>
        </is>
      </c>
      <c r="B20" t="inlineStr">
        <is>
          <t>Ale-38. Ignora o se burla de los sentimientos de otros.</t>
        </is>
      </c>
      <c r="C20" t="inlineStr">
        <is>
          <t>38. Ignora o se burla de los sentimientos de otros.</t>
        </is>
      </c>
      <c r="D20" t="inlineStr">
        <is>
          <t>Alerta/Mejora</t>
        </is>
      </c>
      <c r="E20" t="n">
        <v>15</v>
      </c>
      <c r="F20" t="n">
        <v>2</v>
      </c>
      <c r="G20" t="n">
        <v>22</v>
      </c>
      <c r="H20" t="inlineStr">
        <is>
          <t>A mejorar</t>
        </is>
      </c>
      <c r="I20" t="inlineStr">
        <is>
          <t>SEPTIMO</t>
        </is>
      </c>
      <c r="J20" t="inlineStr">
        <is>
          <t>TM</t>
        </is>
      </c>
      <c r="K20" t="n">
        <v>0</v>
      </c>
    </row>
    <row r="21">
      <c r="A21" t="inlineStr">
        <is>
          <t>Socio-Emocional</t>
        </is>
      </c>
      <c r="B21" t="inlineStr">
        <is>
          <t>Ale-40. Ejerce presión negativa o bullying.</t>
        </is>
      </c>
      <c r="C21" t="inlineStr">
        <is>
          <t>40. Ejerce presión negativa o bullying.</t>
        </is>
      </c>
      <c r="D21" t="inlineStr">
        <is>
          <t>Alerta/Mejora</t>
        </is>
      </c>
      <c r="E21" t="n">
        <v>4</v>
      </c>
      <c r="F21" t="n">
        <v>4</v>
      </c>
      <c r="G21" t="n">
        <v>33</v>
      </c>
      <c r="H21" t="inlineStr">
        <is>
          <t xml:space="preserve">Muy bueno </t>
        </is>
      </c>
      <c r="I21" t="inlineStr">
        <is>
          <t>SEPTIMO</t>
        </is>
      </c>
      <c r="J21" t="inlineStr">
        <is>
          <t>TM</t>
        </is>
      </c>
      <c r="K21" t="n">
        <v>0</v>
      </c>
    </row>
    <row r="22">
      <c r="A22" t="inlineStr">
        <is>
          <t>Socio-Emocional</t>
        </is>
      </c>
      <c r="B22" t="inlineStr">
        <is>
          <t>Ale-42. Reacciona de forma agresiva o impulsiva.</t>
        </is>
      </c>
      <c r="C22" t="inlineStr">
        <is>
          <t>42. Reacciona de forma agresiva o impulsiva.</t>
        </is>
      </c>
      <c r="D22" t="inlineStr">
        <is>
          <t>Alerta/Mejora</t>
        </is>
      </c>
      <c r="E22" t="n">
        <v>11</v>
      </c>
      <c r="F22" t="n">
        <v>3</v>
      </c>
      <c r="G22" t="n">
        <v>26</v>
      </c>
      <c r="H22" t="inlineStr">
        <is>
          <t>Bueno</t>
        </is>
      </c>
      <c r="I22" t="inlineStr">
        <is>
          <t>SEPTIMO</t>
        </is>
      </c>
      <c r="J22" t="inlineStr">
        <is>
          <t>TM</t>
        </is>
      </c>
      <c r="K22" t="n">
        <v>0</v>
      </c>
    </row>
    <row r="23">
      <c r="A23" t="inlineStr">
        <is>
          <t>Socio-Emocional</t>
        </is>
      </c>
      <c r="B23" t="inlineStr">
        <is>
          <t>Ale-44. Expresa inseguridad constante ("no puedo").</t>
        </is>
      </c>
      <c r="C23" t="inlineStr">
        <is>
          <t>44. Expresa inseguridad constante ("no puedo").</t>
        </is>
      </c>
      <c r="D23" t="inlineStr">
        <is>
          <t>Alerta/Mejora</t>
        </is>
      </c>
      <c r="E23" t="n">
        <v>19</v>
      </c>
      <c r="F23" t="n">
        <v>1</v>
      </c>
      <c r="G23" t="n">
        <v>18</v>
      </c>
      <c r="H23" t="inlineStr">
        <is>
          <t>A mejorar</t>
        </is>
      </c>
      <c r="I23" t="inlineStr">
        <is>
          <t>SEPTIMO</t>
        </is>
      </c>
      <c r="J23" t="inlineStr">
        <is>
          <t>TM</t>
        </is>
      </c>
      <c r="K23" t="n">
        <v>0</v>
      </c>
    </row>
    <row r="24">
      <c r="A24" t="inlineStr">
        <is>
          <t>Actitudinal</t>
        </is>
      </c>
      <c r="B24" t="inlineStr">
        <is>
          <t>Ale-46. Requiere estímulos externos para trabajar.</t>
        </is>
      </c>
      <c r="C24" t="inlineStr">
        <is>
          <t>46. Requiere estímulos externos para trabajar.</t>
        </is>
      </c>
      <c r="D24" t="inlineStr">
        <is>
          <t>Alerta/Mejora</t>
        </is>
      </c>
      <c r="E24" t="n">
        <v>16</v>
      </c>
      <c r="F24" t="n">
        <v>1</v>
      </c>
      <c r="G24" t="n">
        <v>21</v>
      </c>
      <c r="H24" t="inlineStr">
        <is>
          <t>A mejorar</t>
        </is>
      </c>
      <c r="I24" t="inlineStr">
        <is>
          <t>SEPTIMO</t>
        </is>
      </c>
      <c r="J24" t="inlineStr">
        <is>
          <t>TM</t>
        </is>
      </c>
      <c r="K24" t="n">
        <v>0</v>
      </c>
    </row>
    <row r="25">
      <c r="A25" t="inlineStr">
        <is>
          <t>Actitudinal</t>
        </is>
      </c>
      <c r="B25" t="inlineStr">
        <is>
          <t>Ale-48. Abandona proyectos a mitad de camino.</t>
        </is>
      </c>
      <c r="C25" t="inlineStr">
        <is>
          <t>48. Abandona proyectos a mitad de camino.</t>
        </is>
      </c>
      <c r="D25" t="inlineStr">
        <is>
          <t>Alerta/Mejora</t>
        </is>
      </c>
      <c r="E25" t="n">
        <v>19</v>
      </c>
      <c r="F25" t="n">
        <v>1</v>
      </c>
      <c r="G25" t="n">
        <v>18</v>
      </c>
      <c r="H25" t="inlineStr">
        <is>
          <t>A mejorar</t>
        </is>
      </c>
      <c r="I25" t="inlineStr">
        <is>
          <t>SEPTIMO</t>
        </is>
      </c>
      <c r="J25" t="inlineStr">
        <is>
          <t>TM</t>
        </is>
      </c>
      <c r="K25" t="n">
        <v>0</v>
      </c>
    </row>
    <row r="26">
      <c r="A26" t="inlineStr">
        <is>
          <t>Actitudinal</t>
        </is>
      </c>
      <c r="B26" t="inlineStr">
        <is>
          <t>Ale-50. Se muestra a la defensiva ante críticas.</t>
        </is>
      </c>
      <c r="C26" t="inlineStr">
        <is>
          <t>50. Se muestra a la defensiva ante críticas.</t>
        </is>
      </c>
      <c r="D26" t="inlineStr">
        <is>
          <t>Alerta/Mejora</t>
        </is>
      </c>
      <c r="E26" t="n">
        <v>11</v>
      </c>
      <c r="F26" t="n">
        <v>3</v>
      </c>
      <c r="G26" t="n">
        <v>26</v>
      </c>
      <c r="H26" t="inlineStr">
        <is>
          <t>Bueno</t>
        </is>
      </c>
      <c r="I26" t="inlineStr">
        <is>
          <t>SEPTIMO</t>
        </is>
      </c>
      <c r="J26" t="inlineStr">
        <is>
          <t>TM</t>
        </is>
      </c>
      <c r="K26" t="n">
        <v>0</v>
      </c>
    </row>
    <row r="27">
      <c r="A27" t="inlineStr">
        <is>
          <t>Académica</t>
        </is>
      </c>
      <c r="B27" t="inlineStr">
        <is>
          <t>For-01. Domina los conceptos clave del grado.</t>
        </is>
      </c>
      <c r="C27" t="inlineStr">
        <is>
          <t>01. Domina los conceptos clave del grado.</t>
        </is>
      </c>
      <c r="D27" t="inlineStr">
        <is>
          <t>Fortaleza/Logro</t>
        </is>
      </c>
      <c r="E27" t="n">
        <v>6</v>
      </c>
      <c r="F27" t="n">
        <v>1</v>
      </c>
      <c r="G27" t="n">
        <v>6</v>
      </c>
      <c r="H27" t="inlineStr">
        <is>
          <t>A mejorar</t>
        </is>
      </c>
      <c r="I27" t="inlineStr">
        <is>
          <t>SEPTIMO</t>
        </is>
      </c>
      <c r="J27" t="inlineStr">
        <is>
          <t>TM</t>
        </is>
      </c>
      <c r="K27" t="n">
        <v>0</v>
      </c>
    </row>
    <row r="28">
      <c r="A28" t="inlineStr">
        <is>
          <t>Académica</t>
        </is>
      </c>
      <c r="B28" t="inlineStr">
        <is>
          <t>For-03. Posee un pensamiento crítico y analítico.</t>
        </is>
      </c>
      <c r="C28" t="inlineStr">
        <is>
          <t>03. Posee un pensamiento crítico y analítico.</t>
        </is>
      </c>
      <c r="D28" t="inlineStr">
        <is>
          <t>Fortaleza/Logro</t>
        </is>
      </c>
      <c r="E28" t="n">
        <v>11</v>
      </c>
      <c r="F28" t="n">
        <v>1</v>
      </c>
      <c r="G28" t="n">
        <v>11</v>
      </c>
      <c r="H28" t="inlineStr">
        <is>
          <t>A mejorar</t>
        </is>
      </c>
      <c r="I28" t="inlineStr">
        <is>
          <t>SEPTIMO</t>
        </is>
      </c>
      <c r="J28" t="inlineStr">
        <is>
          <t>TM</t>
        </is>
      </c>
      <c r="K28" t="n">
        <v>0</v>
      </c>
    </row>
    <row r="29">
      <c r="A29" t="inlineStr">
        <is>
          <t>Académica</t>
        </is>
      </c>
      <c r="B29" t="inlineStr">
        <is>
          <t>For-05. Entrega trabajos con alta calidad y orden.</t>
        </is>
      </c>
      <c r="C29" t="inlineStr">
        <is>
          <t>05. Entrega trabajos con alta calidad y orden.</t>
        </is>
      </c>
      <c r="D29" t="inlineStr">
        <is>
          <t>Fortaleza/Logro</t>
        </is>
      </c>
      <c r="E29" t="n">
        <v>12</v>
      </c>
      <c r="F29" t="n">
        <v>1</v>
      </c>
      <c r="G29" t="n">
        <v>12</v>
      </c>
      <c r="H29" t="inlineStr">
        <is>
          <t>A mejorar</t>
        </is>
      </c>
      <c r="I29" t="inlineStr">
        <is>
          <t>SEPTIMO</t>
        </is>
      </c>
      <c r="J29" t="inlineStr">
        <is>
          <t>TM</t>
        </is>
      </c>
      <c r="K29" t="n">
        <v>0</v>
      </c>
    </row>
    <row r="30">
      <c r="A30" t="inlineStr">
        <is>
          <t>Académica</t>
        </is>
      </c>
      <c r="B30" t="inlineStr">
        <is>
          <t>For-07. Resuelve problemas lógicos con fluidez.</t>
        </is>
      </c>
      <c r="C30" t="inlineStr">
        <is>
          <t>07. Resuelve problemas lógicos con fluidez.</t>
        </is>
      </c>
      <c r="D30" t="inlineStr">
        <is>
          <t>Fortaleza/Logro</t>
        </is>
      </c>
      <c r="E30" t="n">
        <v>11</v>
      </c>
      <c r="F30" t="n">
        <v>1</v>
      </c>
      <c r="G30" t="n">
        <v>11</v>
      </c>
      <c r="H30" t="inlineStr">
        <is>
          <t>A mejorar</t>
        </is>
      </c>
      <c r="I30" t="inlineStr">
        <is>
          <t>SEPTIMO</t>
        </is>
      </c>
      <c r="J30" t="inlineStr">
        <is>
          <t>TM</t>
        </is>
      </c>
      <c r="K30" t="n">
        <v>0</v>
      </c>
    </row>
    <row r="31">
      <c r="A31" t="inlineStr">
        <is>
          <t>Académica</t>
        </is>
      </c>
      <c r="B31" t="inlineStr">
        <is>
          <t>For-09. Utiliza vocabulario técnico preciso.</t>
        </is>
      </c>
      <c r="C31" t="inlineStr">
        <is>
          <t>09. Utiliza vocabulario técnico preciso.</t>
        </is>
      </c>
      <c r="D31" t="inlineStr">
        <is>
          <t>Fortaleza/Logro</t>
        </is>
      </c>
      <c r="E31" t="n">
        <v>10</v>
      </c>
      <c r="F31" t="n">
        <v>1</v>
      </c>
      <c r="G31" t="n">
        <v>10</v>
      </c>
      <c r="H31" t="inlineStr">
        <is>
          <t>A mejorar</t>
        </is>
      </c>
      <c r="I31" t="inlineStr">
        <is>
          <t>SEPTIMO</t>
        </is>
      </c>
      <c r="J31" t="inlineStr">
        <is>
          <t>TM</t>
        </is>
      </c>
      <c r="K31" t="n">
        <v>0</v>
      </c>
    </row>
    <row r="32">
      <c r="A32" t="inlineStr">
        <is>
          <t>Académica</t>
        </is>
      </c>
      <c r="B32" t="inlineStr">
        <is>
          <t>For-11. Posee excelentes hábitos de lectura.</t>
        </is>
      </c>
      <c r="C32" t="inlineStr">
        <is>
          <t>11. Posee excelentes hábitos de lectura.</t>
        </is>
      </c>
      <c r="D32" t="inlineStr">
        <is>
          <t>Fortaleza/Logro</t>
        </is>
      </c>
      <c r="E32" t="n">
        <v>10</v>
      </c>
      <c r="F32" t="n">
        <v>1</v>
      </c>
      <c r="G32" t="n">
        <v>10</v>
      </c>
      <c r="H32" t="inlineStr">
        <is>
          <t>A mejorar</t>
        </is>
      </c>
      <c r="I32" t="inlineStr">
        <is>
          <t>SEPTIMO</t>
        </is>
      </c>
      <c r="J32" t="inlineStr">
        <is>
          <t>TM</t>
        </is>
      </c>
      <c r="K32" t="n">
        <v>0</v>
      </c>
    </row>
    <row r="33">
      <c r="A33" t="inlineStr">
        <is>
          <t>Académica</t>
        </is>
      </c>
      <c r="B33" t="inlineStr">
        <is>
          <t>For-13. Es autónomo en la realización de tareas.</t>
        </is>
      </c>
      <c r="C33" t="inlineStr">
        <is>
          <t>13. Es autónomo en la realización de tareas.</t>
        </is>
      </c>
      <c r="D33" t="inlineStr">
        <is>
          <t>Fortaleza/Logro</t>
        </is>
      </c>
      <c r="E33" t="n">
        <v>12</v>
      </c>
      <c r="F33" t="n">
        <v>1</v>
      </c>
      <c r="G33" t="n">
        <v>12</v>
      </c>
      <c r="H33" t="inlineStr">
        <is>
          <t>A mejorar</t>
        </is>
      </c>
      <c r="I33" t="inlineStr">
        <is>
          <t>SEPTIMO</t>
        </is>
      </c>
      <c r="J33" t="inlineStr">
        <is>
          <t>TM</t>
        </is>
      </c>
      <c r="K33" t="n">
        <v>0</v>
      </c>
    </row>
    <row r="34">
      <c r="A34" t="inlineStr">
        <is>
          <t>Académica</t>
        </is>
      </c>
      <c r="B34" t="inlineStr">
        <is>
          <t>For-15. Investiga más allá de lo solicitado.</t>
        </is>
      </c>
      <c r="C34" t="inlineStr">
        <is>
          <t>15. Investiga más allá de lo solicitado.</t>
        </is>
      </c>
      <c r="D34" t="inlineStr">
        <is>
          <t>Fortaleza/Logro</t>
        </is>
      </c>
      <c r="E34" t="n">
        <v>13</v>
      </c>
      <c r="F34" t="n">
        <v>1</v>
      </c>
      <c r="G34" t="n">
        <v>13</v>
      </c>
      <c r="H34" t="inlineStr">
        <is>
          <t>A mejorar</t>
        </is>
      </c>
      <c r="I34" t="inlineStr">
        <is>
          <t>SEPTIMO</t>
        </is>
      </c>
      <c r="J34" t="inlineStr">
        <is>
          <t>TM</t>
        </is>
      </c>
      <c r="K34" t="n">
        <v>0</v>
      </c>
    </row>
    <row r="35">
      <c r="A35" t="inlineStr">
        <is>
          <t>Conductual</t>
        </is>
      </c>
      <c r="B35" t="inlineStr">
        <is>
          <t>For-17. Respeta las normas de convivencia.</t>
        </is>
      </c>
      <c r="C35" t="inlineStr">
        <is>
          <t>17. Respeta las normas de convivencia.</t>
        </is>
      </c>
      <c r="D35" t="inlineStr">
        <is>
          <t>Fortaleza/Logro</t>
        </is>
      </c>
      <c r="E35" t="n">
        <v>22</v>
      </c>
      <c r="F35" t="n">
        <v>2</v>
      </c>
      <c r="G35" t="n">
        <v>22</v>
      </c>
      <c r="H35" t="inlineStr">
        <is>
          <t>A mejorar</t>
        </is>
      </c>
      <c r="I35" t="inlineStr">
        <is>
          <t>SEPTIMO</t>
        </is>
      </c>
      <c r="J35" t="inlineStr">
        <is>
          <t>TM</t>
        </is>
      </c>
      <c r="K35" t="n">
        <v>0</v>
      </c>
    </row>
    <row r="36">
      <c r="A36" t="inlineStr">
        <is>
          <t>Conductual</t>
        </is>
      </c>
      <c r="B36" t="inlineStr">
        <is>
          <t>For-19. Es puntual en todas sus obligaciones.</t>
        </is>
      </c>
      <c r="C36" t="inlineStr">
        <is>
          <t>19. Es puntual en todas sus obligaciones.</t>
        </is>
      </c>
      <c r="D36" t="inlineStr">
        <is>
          <t>Fortaleza/Logro</t>
        </is>
      </c>
      <c r="E36" t="n">
        <v>10</v>
      </c>
      <c r="F36" t="n">
        <v>1</v>
      </c>
      <c r="G36" t="n">
        <v>10</v>
      </c>
      <c r="H36" t="inlineStr">
        <is>
          <t>A mejorar</t>
        </is>
      </c>
      <c r="I36" t="inlineStr">
        <is>
          <t>SEPTIMO</t>
        </is>
      </c>
      <c r="J36" t="inlineStr">
        <is>
          <t>TM</t>
        </is>
      </c>
      <c r="K36" t="n">
        <v>0</v>
      </c>
    </row>
    <row r="37">
      <c r="A37" t="inlineStr">
        <is>
          <t>Conductual</t>
        </is>
      </c>
      <c r="B37" t="inlineStr">
        <is>
          <t>For-21. Cuida el material propio y ajeno.</t>
        </is>
      </c>
      <c r="C37" t="inlineStr">
        <is>
          <t>21. Cuida el material propio y ajeno.</t>
        </is>
      </c>
      <c r="D37" t="inlineStr">
        <is>
          <t>Fortaleza/Logro</t>
        </is>
      </c>
      <c r="E37" t="n">
        <v>23</v>
      </c>
      <c r="F37" t="n">
        <v>2</v>
      </c>
      <c r="G37" t="n">
        <v>23</v>
      </c>
      <c r="H37" t="inlineStr">
        <is>
          <t>A mejorar</t>
        </is>
      </c>
      <c r="I37" t="inlineStr">
        <is>
          <t>SEPTIMO</t>
        </is>
      </c>
      <c r="J37" t="inlineStr">
        <is>
          <t>TM</t>
        </is>
      </c>
      <c r="K37" t="n">
        <v>0</v>
      </c>
    </row>
    <row r="38">
      <c r="A38" t="inlineStr">
        <is>
          <t>Conductual</t>
        </is>
      </c>
      <c r="B38" t="inlineStr">
        <is>
          <t>For-23. Escucha con atención y no interrumpe.</t>
        </is>
      </c>
      <c r="C38" t="inlineStr">
        <is>
          <t>23. Escucha con atención y no interrumpe.</t>
        </is>
      </c>
      <c r="D38" t="inlineStr">
        <is>
          <t>Fortaleza/Logro</t>
        </is>
      </c>
      <c r="E38" t="n">
        <v>20</v>
      </c>
      <c r="F38" t="n">
        <v>1</v>
      </c>
      <c r="G38" t="n">
        <v>20</v>
      </c>
      <c r="H38" t="inlineStr">
        <is>
          <t>A mejorar</t>
        </is>
      </c>
      <c r="I38" t="inlineStr">
        <is>
          <t>SEPTIMO</t>
        </is>
      </c>
      <c r="J38" t="inlineStr">
        <is>
          <t>TM</t>
        </is>
      </c>
      <c r="K38" t="n">
        <v>0</v>
      </c>
    </row>
    <row r="39">
      <c r="A39" t="inlineStr">
        <is>
          <t>Conductual</t>
        </is>
      </c>
      <c r="B39" t="inlineStr">
        <is>
          <t>For-25. Utiliza el lenguaje de forma respetuosa.</t>
        </is>
      </c>
      <c r="C39" t="inlineStr">
        <is>
          <t>25. Utiliza el lenguaje de forma respetuosa.</t>
        </is>
      </c>
      <c r="D39" t="inlineStr">
        <is>
          <t>Fortaleza/Logro</t>
        </is>
      </c>
      <c r="E39" t="n">
        <v>13</v>
      </c>
      <c r="F39" t="n">
        <v>1</v>
      </c>
      <c r="G39" t="n">
        <v>13</v>
      </c>
      <c r="H39" t="inlineStr">
        <is>
          <t>A mejorar</t>
        </is>
      </c>
      <c r="I39" t="inlineStr">
        <is>
          <t>SEPTIMO</t>
        </is>
      </c>
      <c r="J39" t="inlineStr">
        <is>
          <t>TM</t>
        </is>
      </c>
      <c r="K39" t="n">
        <v>0</v>
      </c>
    </row>
    <row r="40">
      <c r="A40" t="inlineStr">
        <is>
          <t>Conductual</t>
        </is>
      </c>
      <c r="B40" t="inlineStr">
        <is>
          <t>For-27. Reconoce sus errores honestamente.</t>
        </is>
      </c>
      <c r="C40" t="inlineStr">
        <is>
          <t>27. Reconoce sus errores honestamente.</t>
        </is>
      </c>
      <c r="D40" t="inlineStr">
        <is>
          <t>Fortaleza/Logro</t>
        </is>
      </c>
      <c r="E40" t="n">
        <v>15</v>
      </c>
      <c r="F40" t="n">
        <v>1</v>
      </c>
      <c r="G40" t="n">
        <v>15</v>
      </c>
      <c r="H40" t="inlineStr">
        <is>
          <t>A mejorar</t>
        </is>
      </c>
      <c r="I40" t="inlineStr">
        <is>
          <t>SEPTIMO</t>
        </is>
      </c>
      <c r="J40" t="inlineStr">
        <is>
          <t>TM</t>
        </is>
      </c>
      <c r="K40" t="n">
        <v>0</v>
      </c>
    </row>
    <row r="41">
      <c r="A41" t="inlineStr">
        <is>
          <t>Conductual</t>
        </is>
      </c>
      <c r="B41" t="inlineStr">
        <is>
          <t>For-29. Usa la tecnología con fines educativos.</t>
        </is>
      </c>
      <c r="C41" t="inlineStr">
        <is>
          <t>29. Usa la tecnología con fines educativos.</t>
        </is>
      </c>
      <c r="D41" t="inlineStr">
        <is>
          <t>Fortaleza/Logro</t>
        </is>
      </c>
      <c r="E41" t="n">
        <v>3</v>
      </c>
      <c r="F41" t="n">
        <v>1</v>
      </c>
      <c r="G41" t="n">
        <v>3</v>
      </c>
      <c r="H41" t="inlineStr">
        <is>
          <t>A mejorar</t>
        </is>
      </c>
      <c r="I41" t="inlineStr">
        <is>
          <t>SEPTIMO</t>
        </is>
      </c>
      <c r="J41" t="inlineStr">
        <is>
          <t>TM</t>
        </is>
      </c>
      <c r="K41" t="n">
        <v>0</v>
      </c>
    </row>
    <row r="42">
      <c r="A42" t="inlineStr">
        <is>
          <t>Conductual</t>
        </is>
      </c>
      <c r="B42" t="inlineStr">
        <is>
          <t>For-31. Mantiene el orden en espacios comunes.</t>
        </is>
      </c>
      <c r="C42" t="inlineStr">
        <is>
          <t>31. Mantiene el orden en espacios comunes.</t>
        </is>
      </c>
      <c r="D42" t="inlineStr">
        <is>
          <t>Fortaleza/Logro</t>
        </is>
      </c>
      <c r="E42" t="n">
        <v>11</v>
      </c>
      <c r="F42" t="n">
        <v>1</v>
      </c>
      <c r="G42" t="n">
        <v>11</v>
      </c>
      <c r="H42" t="inlineStr">
        <is>
          <t>A mejorar</t>
        </is>
      </c>
      <c r="I42" t="inlineStr">
        <is>
          <t>SEPTIMO</t>
        </is>
      </c>
      <c r="J42" t="inlineStr">
        <is>
          <t>TM</t>
        </is>
      </c>
      <c r="K42" t="n">
        <v>0</v>
      </c>
    </row>
    <row r="43">
      <c r="A43" t="inlineStr">
        <is>
          <t>Socio-Emocional</t>
        </is>
      </c>
      <c r="B43" t="inlineStr">
        <is>
          <t>For-33. Muestra resiliencia ante el fracaso.</t>
        </is>
      </c>
      <c r="C43" t="inlineStr">
        <is>
          <t>33. Muestra resiliencia ante el fracaso.</t>
        </is>
      </c>
      <c r="D43" t="inlineStr">
        <is>
          <t>Fortaleza/Logro</t>
        </is>
      </c>
      <c r="E43" t="n">
        <v>18</v>
      </c>
      <c r="F43" t="n">
        <v>1</v>
      </c>
      <c r="G43" t="n">
        <v>18</v>
      </c>
      <c r="H43" t="inlineStr">
        <is>
          <t>A mejorar</t>
        </is>
      </c>
      <c r="I43" t="inlineStr">
        <is>
          <t>SEPTIMO</t>
        </is>
      </c>
      <c r="J43" t="inlineStr">
        <is>
          <t>TM</t>
        </is>
      </c>
      <c r="K43" t="n">
        <v>0</v>
      </c>
    </row>
    <row r="44">
      <c r="A44" t="inlineStr">
        <is>
          <t>Socio-Emocional</t>
        </is>
      </c>
      <c r="B44" t="inlineStr">
        <is>
          <t>For-35. Trabaja de forma colaborativa y equitativa.</t>
        </is>
      </c>
      <c r="C44" t="inlineStr">
        <is>
          <t>35. Trabaja de forma colaborativa y equitativa.</t>
        </is>
      </c>
      <c r="D44" t="inlineStr">
        <is>
          <t>Fortaleza/Logro</t>
        </is>
      </c>
      <c r="E44" t="n">
        <v>16</v>
      </c>
      <c r="F44" t="n">
        <v>1</v>
      </c>
      <c r="G44" t="n">
        <v>16</v>
      </c>
      <c r="H44" t="inlineStr">
        <is>
          <t>A mejorar</t>
        </is>
      </c>
      <c r="I44" t="inlineStr">
        <is>
          <t>SEPTIMO</t>
        </is>
      </c>
      <c r="J44" t="inlineStr">
        <is>
          <t>TM</t>
        </is>
      </c>
      <c r="K44" t="n">
        <v>0</v>
      </c>
    </row>
    <row r="45">
      <c r="A45" t="inlineStr">
        <is>
          <t>Socio-Emocional</t>
        </is>
      </c>
      <c r="B45" t="inlineStr">
        <is>
          <t>For-37. Es empático con las necesidades ajenas.</t>
        </is>
      </c>
      <c r="C45" t="inlineStr">
        <is>
          <t>37. Es empático con las necesidades ajenas.</t>
        </is>
      </c>
      <c r="D45" t="inlineStr">
        <is>
          <t>Fortaleza/Logro</t>
        </is>
      </c>
      <c r="E45" t="n">
        <v>18</v>
      </c>
      <c r="F45" t="n">
        <v>1</v>
      </c>
      <c r="G45" t="n">
        <v>18</v>
      </c>
      <c r="H45" t="inlineStr">
        <is>
          <t>A mejorar</t>
        </is>
      </c>
      <c r="I45" t="inlineStr">
        <is>
          <t>SEPTIMO</t>
        </is>
      </c>
      <c r="J45" t="inlineStr">
        <is>
          <t>TM</t>
        </is>
      </c>
      <c r="K45" t="n">
        <v>0</v>
      </c>
    </row>
    <row r="46">
      <c r="A46" t="inlineStr">
        <is>
          <t>Socio-Emocional</t>
        </is>
      </c>
      <c r="B46" t="inlineStr">
        <is>
          <t>For-39. Posee un liderazgo positivo y ético.</t>
        </is>
      </c>
      <c r="C46" t="inlineStr">
        <is>
          <t>39. Posee un liderazgo positivo y ético.</t>
        </is>
      </c>
      <c r="D46" t="inlineStr">
        <is>
          <t>Fortaleza/Logro</t>
        </is>
      </c>
      <c r="E46" t="n">
        <v>4</v>
      </c>
      <c r="F46" t="n">
        <v>1</v>
      </c>
      <c r="G46" t="n">
        <v>4</v>
      </c>
      <c r="H46" t="inlineStr">
        <is>
          <t>A mejorar</t>
        </is>
      </c>
      <c r="I46" t="inlineStr">
        <is>
          <t>SEPTIMO</t>
        </is>
      </c>
      <c r="J46" t="inlineStr">
        <is>
          <t>TM</t>
        </is>
      </c>
      <c r="K46" t="n">
        <v>0</v>
      </c>
    </row>
    <row r="47">
      <c r="A47" t="inlineStr">
        <is>
          <t>Socio-Emocional</t>
        </is>
      </c>
      <c r="B47" t="inlineStr">
        <is>
          <t>For-41. Se comunica de manera asertiva.</t>
        </is>
      </c>
      <c r="C47" t="inlineStr">
        <is>
          <t>41. Se comunica de manera asertiva.</t>
        </is>
      </c>
      <c r="D47" t="inlineStr">
        <is>
          <t>Fortaleza/Logro</t>
        </is>
      </c>
      <c r="E47" t="n">
        <v>6</v>
      </c>
      <c r="F47" t="n">
        <v>1</v>
      </c>
      <c r="G47" t="n">
        <v>6</v>
      </c>
      <c r="H47" t="inlineStr">
        <is>
          <t>A mejorar</t>
        </is>
      </c>
      <c r="I47" t="inlineStr">
        <is>
          <t>SEPTIMO</t>
        </is>
      </c>
      <c r="J47" t="inlineStr">
        <is>
          <t>TM</t>
        </is>
      </c>
      <c r="K47" t="n">
        <v>0</v>
      </c>
    </row>
    <row r="48">
      <c r="A48" t="inlineStr">
        <is>
          <t>Socio-Emocional</t>
        </is>
      </c>
      <c r="B48" t="inlineStr">
        <is>
          <t>For-43. Tiene una autoestima académica sólida.</t>
        </is>
      </c>
      <c r="C48" t="inlineStr">
        <is>
          <t>43. Tiene una autoestima académica sólida.</t>
        </is>
      </c>
      <c r="D48" t="inlineStr">
        <is>
          <t>Fortaleza/Logro</t>
        </is>
      </c>
      <c r="E48" t="n">
        <v>6</v>
      </c>
      <c r="F48" t="n">
        <v>1</v>
      </c>
      <c r="G48" t="n">
        <v>6</v>
      </c>
      <c r="H48" t="inlineStr">
        <is>
          <t>A mejorar</t>
        </is>
      </c>
      <c r="I48" t="inlineStr">
        <is>
          <t>SEPTIMO</t>
        </is>
      </c>
      <c r="J48" t="inlineStr">
        <is>
          <t>TM</t>
        </is>
      </c>
      <c r="K48" t="n">
        <v>0</v>
      </c>
    </row>
    <row r="49">
      <c r="A49" t="inlineStr">
        <is>
          <t>Actitudinal</t>
        </is>
      </c>
      <c r="B49" t="inlineStr">
        <is>
          <t>For-45. Muestra curiosidad e iniciativa propia.</t>
        </is>
      </c>
      <c r="C49" t="inlineStr">
        <is>
          <t>45. Muestra curiosidad e iniciativa propia.</t>
        </is>
      </c>
      <c r="D49" t="inlineStr">
        <is>
          <t>Fortaleza/Logro</t>
        </is>
      </c>
      <c r="E49" t="n">
        <v>16</v>
      </c>
      <c r="F49" t="n">
        <v>1</v>
      </c>
      <c r="G49" t="n">
        <v>16</v>
      </c>
      <c r="H49" t="inlineStr">
        <is>
          <t>A mejorar</t>
        </is>
      </c>
      <c r="I49" t="inlineStr">
        <is>
          <t>SEPTIMO</t>
        </is>
      </c>
      <c r="J49" t="inlineStr">
        <is>
          <t>TM</t>
        </is>
      </c>
      <c r="K49" t="n">
        <v>0</v>
      </c>
    </row>
    <row r="50">
      <c r="A50" t="inlineStr">
        <is>
          <t>Actitudinal</t>
        </is>
      </c>
      <c r="B50" t="inlineStr">
        <is>
          <t>For-47. Es persistente en tareas complejas.</t>
        </is>
      </c>
      <c r="C50" t="inlineStr">
        <is>
          <t>47. Es persistente en tareas complejas.</t>
        </is>
      </c>
      <c r="D50" t="inlineStr">
        <is>
          <t>Fortaleza/Logro</t>
        </is>
      </c>
      <c r="E50" t="n">
        <v>5</v>
      </c>
      <c r="F50" t="n">
        <v>1</v>
      </c>
      <c r="G50" t="n">
        <v>5</v>
      </c>
      <c r="H50" t="inlineStr">
        <is>
          <t>A mejorar</t>
        </is>
      </c>
      <c r="I50" t="inlineStr">
        <is>
          <t>SEPTIMO</t>
        </is>
      </c>
      <c r="J50" t="inlineStr">
        <is>
          <t>TM</t>
        </is>
      </c>
      <c r="K50" t="n">
        <v>0</v>
      </c>
    </row>
    <row r="51">
      <c r="A51" t="inlineStr">
        <is>
          <t>Actitudinal</t>
        </is>
      </c>
      <c r="B51" t="inlineStr">
        <is>
          <t>For-49. Acepta retroalimentación constructiva.</t>
        </is>
      </c>
      <c r="C51" t="inlineStr">
        <is>
          <t>49. Acepta retroalimentación constructiva.</t>
        </is>
      </c>
      <c r="D51" t="inlineStr">
        <is>
          <t>Fortaleza/Logro</t>
        </is>
      </c>
      <c r="E51" t="n">
        <v>12</v>
      </c>
      <c r="F51" t="n">
        <v>1</v>
      </c>
      <c r="G51" t="n">
        <v>12</v>
      </c>
      <c r="H51" t="inlineStr">
        <is>
          <t>A mejorar</t>
        </is>
      </c>
      <c r="I51" t="inlineStr">
        <is>
          <t>SEPTIMO</t>
        </is>
      </c>
      <c r="J51" t="inlineStr">
        <is>
          <t>TM</t>
        </is>
      </c>
      <c r="K51" t="n">
        <v>0</v>
      </c>
    </row>
    <row r="52">
      <c r="A52">
        <f t="array" ref="A52:K102">+septimo_TT_tabla</f>
        <v/>
      </c>
      <c r="B52" t="inlineStr">
        <is>
          <t xml:space="preserve">Indicador </t>
        </is>
      </c>
      <c r="C52" t="inlineStr">
        <is>
          <t xml:space="preserve">Indicador </t>
        </is>
      </c>
      <c r="D52" t="inlineStr">
        <is>
          <t>Tipo de Indicador</t>
        </is>
      </c>
      <c r="E52" t="inlineStr">
        <is>
          <t>Cantidad de veces</t>
        </is>
      </c>
      <c r="F52" t="inlineStr">
        <is>
          <t>NOTA</t>
        </is>
      </c>
      <c r="G52" t="inlineStr">
        <is>
          <t>PR</t>
        </is>
      </c>
      <c r="H52" t="inlineStr">
        <is>
          <t>VALORACION</t>
        </is>
      </c>
      <c r="I52" t="inlineStr">
        <is>
          <t>GRADO</t>
        </is>
      </c>
      <c r="J52" t="inlineStr">
        <is>
          <t>TURNO</t>
        </is>
      </c>
      <c r="K52" t="inlineStr">
        <is>
          <t>NF</t>
        </is>
      </c>
    </row>
    <row r="53">
      <c r="A53" t="inlineStr">
        <is>
          <t>Académica</t>
        </is>
      </c>
      <c r="B53" t="inlineStr">
        <is>
          <t>Ale-02. Presenta lagunas en conocimientos previos.</t>
        </is>
      </c>
      <c r="C53" t="inlineStr">
        <is>
          <t>02. Presenta lagunas en conocimientos previos.</t>
        </is>
      </c>
      <c r="D53" t="inlineStr">
        <is>
          <t>Alerta/Mejora</t>
        </is>
      </c>
      <c r="E53" t="n">
        <v>12</v>
      </c>
      <c r="F53" t="n">
        <v>1</v>
      </c>
      <c r="G53" t="n">
        <v>2</v>
      </c>
      <c r="H53" t="inlineStr">
        <is>
          <t>A mejorar</t>
        </is>
      </c>
      <c r="I53" t="inlineStr">
        <is>
          <t>SEPTIMO</t>
        </is>
      </c>
      <c r="J53" t="inlineStr">
        <is>
          <t>TT</t>
        </is>
      </c>
      <c r="K53" t="n">
        <v>0</v>
      </c>
    </row>
    <row r="54">
      <c r="A54" t="inlineStr">
        <is>
          <t>Académica</t>
        </is>
      </c>
      <c r="B54" t="inlineStr">
        <is>
          <t>Ale-04. Se limita a memorizar sin comprender.</t>
        </is>
      </c>
      <c r="C54" t="inlineStr">
        <is>
          <t>04. Se limita a memorizar sin comprender.</t>
        </is>
      </c>
      <c r="D54" t="inlineStr">
        <is>
          <t>Alerta/Mejora</t>
        </is>
      </c>
      <c r="E54" t="n">
        <v>8</v>
      </c>
      <c r="F54" t="n">
        <v>1</v>
      </c>
      <c r="G54" t="n">
        <v>6</v>
      </c>
      <c r="H54" t="inlineStr">
        <is>
          <t>A mejorar</t>
        </is>
      </c>
      <c r="I54" t="inlineStr">
        <is>
          <t>SEPTIMO</t>
        </is>
      </c>
      <c r="J54" t="inlineStr">
        <is>
          <t>TT</t>
        </is>
      </c>
      <c r="K54" t="n">
        <v>0</v>
      </c>
    </row>
    <row r="55">
      <c r="A55" t="inlineStr">
        <is>
          <t>Académica</t>
        </is>
      </c>
      <c r="B55" t="inlineStr">
        <is>
          <t>Ale-06. Entrega tareas incompletas o descuidadas.</t>
        </is>
      </c>
      <c r="C55" t="inlineStr">
        <is>
          <t>06. Entrega tareas incompletas o descuidadas.</t>
        </is>
      </c>
      <c r="D55" t="inlineStr">
        <is>
          <t>Alerta/Mejora</t>
        </is>
      </c>
      <c r="E55" t="n">
        <v>3</v>
      </c>
      <c r="F55" t="n">
        <v>3</v>
      </c>
      <c r="G55" t="n">
        <v>11</v>
      </c>
      <c r="H55" t="inlineStr">
        <is>
          <t>Bueno</t>
        </is>
      </c>
      <c r="I55" t="inlineStr">
        <is>
          <t>SEPTIMO</t>
        </is>
      </c>
      <c r="J55" t="inlineStr">
        <is>
          <t>TT</t>
        </is>
      </c>
      <c r="K55" t="n">
        <v>0</v>
      </c>
    </row>
    <row r="56">
      <c r="A56" t="inlineStr">
        <is>
          <t>Académica</t>
        </is>
      </c>
      <c r="B56" t="inlineStr">
        <is>
          <t>Ale-08. Se bloquea ante desafíos matemáticos.</t>
        </is>
      </c>
      <c r="C56" t="inlineStr">
        <is>
          <t>08. Se bloquea ante desafíos matemáticos.</t>
        </is>
      </c>
      <c r="D56" t="inlineStr">
        <is>
          <t>Alerta/Mejora</t>
        </is>
      </c>
      <c r="E56" t="n">
        <v>7</v>
      </c>
      <c r="F56" t="n">
        <v>1</v>
      </c>
      <c r="G56" t="n">
        <v>7</v>
      </c>
      <c r="H56" t="inlineStr">
        <is>
          <t>A mejorar</t>
        </is>
      </c>
      <c r="I56" t="inlineStr">
        <is>
          <t>SEPTIMO</t>
        </is>
      </c>
      <c r="J56" t="inlineStr">
        <is>
          <t>TT</t>
        </is>
      </c>
      <c r="K56" t="n">
        <v>0</v>
      </c>
    </row>
    <row r="57">
      <c r="A57" t="inlineStr">
        <is>
          <t>Académica</t>
        </is>
      </c>
      <c r="B57" t="inlineStr">
        <is>
          <t>Ale-10. Tiene dificultades de expresión oral/escrita.</t>
        </is>
      </c>
      <c r="C57" t="inlineStr">
        <is>
          <t>10. Tiene dificultades de expresión oral/escrita.</t>
        </is>
      </c>
      <c r="D57" t="inlineStr">
        <is>
          <t>Alerta/Mejora</t>
        </is>
      </c>
      <c r="E57" t="n">
        <v>2</v>
      </c>
      <c r="F57" t="n">
        <v>4</v>
      </c>
      <c r="G57" t="n">
        <v>12</v>
      </c>
      <c r="H57" t="inlineStr">
        <is>
          <t xml:space="preserve">Muy bueno </t>
        </is>
      </c>
      <c r="I57" t="inlineStr">
        <is>
          <t>SEPTIMO</t>
        </is>
      </c>
      <c r="J57" t="inlineStr">
        <is>
          <t>TT</t>
        </is>
      </c>
      <c r="K57" t="n">
        <v>0</v>
      </c>
    </row>
    <row r="58">
      <c r="A58" t="inlineStr">
        <is>
          <t>Académica</t>
        </is>
      </c>
      <c r="B58" t="inlineStr">
        <is>
          <t>Ale-12. Muestra rechazo o desinterés por la lectura.</t>
        </is>
      </c>
      <c r="C58" t="inlineStr">
        <is>
          <t>12. Muestra rechazo o desinterés por la lectura.</t>
        </is>
      </c>
      <c r="D58" t="inlineStr">
        <is>
          <t>Alerta/Mejora</t>
        </is>
      </c>
      <c r="E58" t="n">
        <v>3</v>
      </c>
      <c r="F58" t="n">
        <v>3</v>
      </c>
      <c r="G58" t="n">
        <v>11</v>
      </c>
      <c r="H58" t="inlineStr">
        <is>
          <t>Bueno</t>
        </is>
      </c>
      <c r="I58" t="inlineStr">
        <is>
          <t>SEPTIMO</t>
        </is>
      </c>
      <c r="J58" t="inlineStr">
        <is>
          <t>TT</t>
        </is>
      </c>
      <c r="K58" t="n">
        <v>0</v>
      </c>
    </row>
    <row r="59">
      <c r="A59" t="inlineStr">
        <is>
          <t>Académica</t>
        </is>
      </c>
      <c r="B59" t="inlineStr">
        <is>
          <t>Ale-14. Requiere supervisión constante para avanzar.</t>
        </is>
      </c>
      <c r="C59" t="inlineStr">
        <is>
          <t>14. Requiere supervisión constante para avanzar.</t>
        </is>
      </c>
      <c r="D59" t="inlineStr">
        <is>
          <t>Alerta/Mejora</t>
        </is>
      </c>
      <c r="E59" t="n">
        <v>3</v>
      </c>
      <c r="F59" t="n">
        <v>3</v>
      </c>
      <c r="G59" t="n">
        <v>11</v>
      </c>
      <c r="H59" t="inlineStr">
        <is>
          <t>Bueno</t>
        </is>
      </c>
      <c r="I59" t="inlineStr">
        <is>
          <t>SEPTIMO</t>
        </is>
      </c>
      <c r="J59" t="inlineStr">
        <is>
          <t>TT</t>
        </is>
      </c>
      <c r="K59" t="n">
        <v>0</v>
      </c>
    </row>
    <row r="60">
      <c r="A60" t="inlineStr">
        <is>
          <t>Académica</t>
        </is>
      </c>
      <c r="B60" t="inlineStr">
        <is>
          <t>Ale-16. Muestra apatía por temas nuevos.</t>
        </is>
      </c>
      <c r="C60" t="inlineStr">
        <is>
          <t>16. Muestra apatía por temas nuevos.</t>
        </is>
      </c>
      <c r="D60" t="inlineStr">
        <is>
          <t>Alerta/Mejora</t>
        </is>
      </c>
      <c r="E60" t="n">
        <v>0</v>
      </c>
      <c r="F60" t="n">
        <v>4</v>
      </c>
      <c r="G60" t="n">
        <v>14</v>
      </c>
      <c r="H60" t="inlineStr">
        <is>
          <t xml:space="preserve">Muy bueno </t>
        </is>
      </c>
      <c r="I60" t="inlineStr">
        <is>
          <t>SEPTIMO</t>
        </is>
      </c>
      <c r="J60" t="inlineStr">
        <is>
          <t>TT</t>
        </is>
      </c>
      <c r="K60" t="n">
        <v>0</v>
      </c>
    </row>
    <row r="61">
      <c r="A61" t="inlineStr">
        <is>
          <t>Conductual</t>
        </is>
      </c>
      <c r="B61" t="inlineStr">
        <is>
          <t>Ale-18. Desafía activamente la autoridad.</t>
        </is>
      </c>
      <c r="C61" t="inlineStr">
        <is>
          <t>18. Desafía activamente la autoridad.</t>
        </is>
      </c>
      <c r="D61" t="inlineStr">
        <is>
          <t>Alerta/Mejora</t>
        </is>
      </c>
      <c r="E61" t="n">
        <v>0</v>
      </c>
      <c r="F61" t="n">
        <v>4</v>
      </c>
      <c r="G61" t="n">
        <v>14</v>
      </c>
      <c r="H61" t="inlineStr">
        <is>
          <t xml:space="preserve">Muy bueno </t>
        </is>
      </c>
      <c r="I61" t="inlineStr">
        <is>
          <t>SEPTIMO</t>
        </is>
      </c>
      <c r="J61" t="inlineStr">
        <is>
          <t>TT</t>
        </is>
      </c>
      <c r="K61" t="n">
        <v>0</v>
      </c>
    </row>
    <row r="62">
      <c r="A62" t="inlineStr">
        <is>
          <t>Conductual</t>
        </is>
      </c>
      <c r="B62" t="inlineStr">
        <is>
          <t>Ale-20. Presenta retardos o inasistencias frecuentes.</t>
        </is>
      </c>
      <c r="C62" t="inlineStr">
        <is>
          <t>20. Presenta retardos o inasistencias frecuentes.</t>
        </is>
      </c>
      <c r="D62" t="inlineStr">
        <is>
          <t>Alerta/Mejora</t>
        </is>
      </c>
      <c r="E62" t="n">
        <v>2</v>
      </c>
      <c r="F62" t="n">
        <v>4</v>
      </c>
      <c r="G62" t="n">
        <v>12</v>
      </c>
      <c r="H62" t="inlineStr">
        <is>
          <t xml:space="preserve">Muy bueno </t>
        </is>
      </c>
      <c r="I62" t="inlineStr">
        <is>
          <t>SEPTIMO</t>
        </is>
      </c>
      <c r="J62" t="inlineStr">
        <is>
          <t>TT</t>
        </is>
      </c>
      <c r="K62" t="n">
        <v>0</v>
      </c>
    </row>
    <row r="63">
      <c r="A63" t="inlineStr">
        <is>
          <t>Conductual</t>
        </is>
      </c>
      <c r="B63" t="inlineStr">
        <is>
          <t>Ale-22. Daña el mobiliario o materiales escolares.</t>
        </is>
      </c>
      <c r="C63" t="inlineStr">
        <is>
          <t>22. Daña el mobiliario o materiales escolares.</t>
        </is>
      </c>
      <c r="D63" t="inlineStr">
        <is>
          <t>Alerta/Mejora</t>
        </is>
      </c>
      <c r="E63" t="n">
        <v>0</v>
      </c>
      <c r="F63" t="n">
        <v>4</v>
      </c>
      <c r="G63" t="n">
        <v>14</v>
      </c>
      <c r="H63" t="inlineStr">
        <is>
          <t xml:space="preserve">Muy bueno </t>
        </is>
      </c>
      <c r="I63" t="inlineStr">
        <is>
          <t>SEPTIMO</t>
        </is>
      </c>
      <c r="J63" t="inlineStr">
        <is>
          <t>TT</t>
        </is>
      </c>
      <c r="K63" t="n">
        <v>0</v>
      </c>
    </row>
    <row r="64">
      <c r="A64" t="inlineStr">
        <is>
          <t>Conductual</t>
        </is>
      </c>
      <c r="B64" t="inlineStr">
        <is>
          <t>Ale-24. Interrumpe constantemente el flujo de clase.</t>
        </is>
      </c>
      <c r="C64" t="inlineStr">
        <is>
          <t>24. Interrumpe constantemente el flujo de clase.</t>
        </is>
      </c>
      <c r="D64" t="inlineStr">
        <is>
          <t>Alerta/Mejora</t>
        </is>
      </c>
      <c r="E64" t="n">
        <v>2</v>
      </c>
      <c r="F64" t="n">
        <v>4</v>
      </c>
      <c r="G64" t="n">
        <v>12</v>
      </c>
      <c r="H64" t="inlineStr">
        <is>
          <t xml:space="preserve">Muy bueno </t>
        </is>
      </c>
      <c r="I64" t="inlineStr">
        <is>
          <t>SEPTIMO</t>
        </is>
      </c>
      <c r="J64" t="inlineStr">
        <is>
          <t>TT</t>
        </is>
      </c>
      <c r="K64" t="n">
        <v>0</v>
      </c>
    </row>
    <row r="65">
      <c r="A65" t="inlineStr">
        <is>
          <t>Conductual</t>
        </is>
      </c>
      <c r="B65" t="inlineStr">
        <is>
          <t>Ale-26. Emplea lenguaje soez o despectivo.</t>
        </is>
      </c>
      <c r="C65" t="inlineStr">
        <is>
          <t>26. Emplea lenguaje soez o despectivo.</t>
        </is>
      </c>
      <c r="D65" t="inlineStr">
        <is>
          <t>Alerta/Mejora</t>
        </is>
      </c>
      <c r="E65" t="n">
        <v>0</v>
      </c>
      <c r="F65" t="n">
        <v>4</v>
      </c>
      <c r="G65" t="n">
        <v>14</v>
      </c>
      <c r="H65" t="inlineStr">
        <is>
          <t xml:space="preserve">Muy bueno </t>
        </is>
      </c>
      <c r="I65" t="inlineStr">
        <is>
          <t>SEPTIMO</t>
        </is>
      </c>
      <c r="J65" t="inlineStr">
        <is>
          <t>TT</t>
        </is>
      </c>
      <c r="K65" t="n">
        <v>0</v>
      </c>
    </row>
    <row r="66">
      <c r="A66" t="inlineStr">
        <is>
          <t>Conductual</t>
        </is>
      </c>
      <c r="B66" t="inlineStr">
        <is>
          <t>Ale-28. Miente o culpa a otros por sus actos.</t>
        </is>
      </c>
      <c r="C66" t="inlineStr">
        <is>
          <t>28. Miente o culpa a otros por sus actos.</t>
        </is>
      </c>
      <c r="D66" t="inlineStr">
        <is>
          <t>Alerta/Mejora</t>
        </is>
      </c>
      <c r="E66" t="n">
        <v>0</v>
      </c>
      <c r="F66" t="n">
        <v>4</v>
      </c>
      <c r="G66" t="n">
        <v>14</v>
      </c>
      <c r="H66" t="inlineStr">
        <is>
          <t xml:space="preserve">Muy bueno </t>
        </is>
      </c>
      <c r="I66" t="inlineStr">
        <is>
          <t>SEPTIMO</t>
        </is>
      </c>
      <c r="J66" t="inlineStr">
        <is>
          <t>TT</t>
        </is>
      </c>
      <c r="K66" t="n">
        <v>0</v>
      </c>
    </row>
    <row r="67">
      <c r="A67" t="inlineStr">
        <is>
          <t>Conductual</t>
        </is>
      </c>
      <c r="B67" t="inlineStr">
        <is>
          <t>Ale-30. Se distrae con dispositivos electrónicos.</t>
        </is>
      </c>
      <c r="C67" t="inlineStr">
        <is>
          <t>30. Se distrae con dispositivos electrónicos.</t>
        </is>
      </c>
      <c r="D67" t="inlineStr">
        <is>
          <t>Alerta/Mejora</t>
        </is>
      </c>
      <c r="E67" t="n">
        <v>0</v>
      </c>
      <c r="F67" t="n">
        <v>4</v>
      </c>
      <c r="G67" t="n">
        <v>14</v>
      </c>
      <c r="H67" t="inlineStr">
        <is>
          <t xml:space="preserve">Muy bueno </t>
        </is>
      </c>
      <c r="I67" t="inlineStr">
        <is>
          <t>SEPTIMO</t>
        </is>
      </c>
      <c r="J67" t="inlineStr">
        <is>
          <t>TT</t>
        </is>
      </c>
      <c r="K67" t="n">
        <v>0</v>
      </c>
    </row>
    <row r="68">
      <c r="A68" t="inlineStr">
        <is>
          <t>Conductual</t>
        </is>
      </c>
      <c r="B68" t="inlineStr">
        <is>
          <t>Ale-32. Fomenta el desorden o el caos en el grupo.</t>
        </is>
      </c>
      <c r="C68" t="inlineStr">
        <is>
          <t>32. Fomenta el desorden o el caos en el grupo.</t>
        </is>
      </c>
      <c r="D68" t="inlineStr">
        <is>
          <t>Alerta/Mejora</t>
        </is>
      </c>
      <c r="E68" t="n">
        <v>0</v>
      </c>
      <c r="F68" t="n">
        <v>4</v>
      </c>
      <c r="G68" t="n">
        <v>14</v>
      </c>
      <c r="H68" t="inlineStr">
        <is>
          <t xml:space="preserve">Muy bueno </t>
        </is>
      </c>
      <c r="I68" t="inlineStr">
        <is>
          <t>SEPTIMO</t>
        </is>
      </c>
      <c r="J68" t="inlineStr">
        <is>
          <t>TT</t>
        </is>
      </c>
      <c r="K68" t="n">
        <v>0</v>
      </c>
    </row>
    <row r="69">
      <c r="A69" t="inlineStr">
        <is>
          <t>Socio-Emocional</t>
        </is>
      </c>
      <c r="B69" t="inlineStr">
        <is>
          <t>Ale-34. Se rinde fácilmente ante la frustración.</t>
        </is>
      </c>
      <c r="C69" t="inlineStr">
        <is>
          <t>34. Se rinde fácilmente ante la frustración.</t>
        </is>
      </c>
      <c r="D69" t="inlineStr">
        <is>
          <t>Alerta/Mejora</t>
        </is>
      </c>
      <c r="E69" t="n">
        <v>2</v>
      </c>
      <c r="F69" t="n">
        <v>4</v>
      </c>
      <c r="G69" t="n">
        <v>12</v>
      </c>
      <c r="H69" t="inlineStr">
        <is>
          <t xml:space="preserve">Muy bueno </t>
        </is>
      </c>
      <c r="I69" t="inlineStr">
        <is>
          <t>SEPTIMO</t>
        </is>
      </c>
      <c r="J69" t="inlineStr">
        <is>
          <t>TT</t>
        </is>
      </c>
      <c r="K69" t="n">
        <v>0</v>
      </c>
    </row>
    <row r="70">
      <c r="A70" t="inlineStr">
        <is>
          <t>Socio-Emocional</t>
        </is>
      </c>
      <c r="B70" t="inlineStr">
        <is>
          <t>Ale-36. Trabaja de forma aislada o es individualista.</t>
        </is>
      </c>
      <c r="C70" t="inlineStr">
        <is>
          <t>36. Trabaja de forma aislada o es individualista.</t>
        </is>
      </c>
      <c r="D70" t="inlineStr">
        <is>
          <t>Alerta/Mejora</t>
        </is>
      </c>
      <c r="E70" t="n">
        <v>1</v>
      </c>
      <c r="F70" t="n">
        <v>4</v>
      </c>
      <c r="G70" t="n">
        <v>13</v>
      </c>
      <c r="H70" t="inlineStr">
        <is>
          <t xml:space="preserve">Muy bueno </t>
        </is>
      </c>
      <c r="I70" t="inlineStr">
        <is>
          <t>SEPTIMO</t>
        </is>
      </c>
      <c r="J70" t="inlineStr">
        <is>
          <t>TT</t>
        </is>
      </c>
      <c r="K70" t="n">
        <v>0</v>
      </c>
    </row>
    <row r="71">
      <c r="A71" t="inlineStr">
        <is>
          <t>Socio-Emocional</t>
        </is>
      </c>
      <c r="B71" t="inlineStr">
        <is>
          <t>Ale-38. Ignora o se burla de los sentimientos de otros.</t>
        </is>
      </c>
      <c r="C71" t="inlineStr">
        <is>
          <t>38. Ignora o se burla de los sentimientos de otros.</t>
        </is>
      </c>
      <c r="D71" t="inlineStr">
        <is>
          <t>Alerta/Mejora</t>
        </is>
      </c>
      <c r="E71" t="n">
        <v>3</v>
      </c>
      <c r="F71" t="n">
        <v>3</v>
      </c>
      <c r="G71" t="n">
        <v>11</v>
      </c>
      <c r="H71" t="inlineStr">
        <is>
          <t>Bueno</t>
        </is>
      </c>
      <c r="I71" t="inlineStr">
        <is>
          <t>SEPTIMO</t>
        </is>
      </c>
      <c r="J71" t="inlineStr">
        <is>
          <t>TT</t>
        </is>
      </c>
      <c r="K71" t="n">
        <v>0</v>
      </c>
    </row>
    <row r="72">
      <c r="A72" t="inlineStr">
        <is>
          <t>Socio-Emocional</t>
        </is>
      </c>
      <c r="B72" t="inlineStr">
        <is>
          <t>Ale-40. Ejerce presión negativa o bullying.</t>
        </is>
      </c>
      <c r="C72" t="inlineStr">
        <is>
          <t>40. Ejerce presión negativa o bullying.</t>
        </is>
      </c>
      <c r="D72" t="inlineStr">
        <is>
          <t>Alerta/Mejora</t>
        </is>
      </c>
      <c r="E72" t="n">
        <v>1</v>
      </c>
      <c r="F72" t="n">
        <v>4</v>
      </c>
      <c r="G72" t="n">
        <v>13</v>
      </c>
      <c r="H72" t="inlineStr">
        <is>
          <t xml:space="preserve">Muy bueno </t>
        </is>
      </c>
      <c r="I72" t="inlineStr">
        <is>
          <t>SEPTIMO</t>
        </is>
      </c>
      <c r="J72" t="inlineStr">
        <is>
          <t>TT</t>
        </is>
      </c>
      <c r="K72" t="n">
        <v>0</v>
      </c>
    </row>
    <row r="73">
      <c r="A73" t="inlineStr">
        <is>
          <t>Socio-Emocional</t>
        </is>
      </c>
      <c r="B73" t="inlineStr">
        <is>
          <t>Ale-42. Reacciona de forma agresiva o impulsiva.</t>
        </is>
      </c>
      <c r="C73" t="inlineStr">
        <is>
          <t>42. Reacciona de forma agresiva o impulsiva.</t>
        </is>
      </c>
      <c r="D73" t="inlineStr">
        <is>
          <t>Alerta/Mejora</t>
        </is>
      </c>
      <c r="E73" t="n">
        <v>1</v>
      </c>
      <c r="F73" t="n">
        <v>4</v>
      </c>
      <c r="G73" t="n">
        <v>13</v>
      </c>
      <c r="H73" t="inlineStr">
        <is>
          <t xml:space="preserve">Muy bueno </t>
        </is>
      </c>
      <c r="I73" t="inlineStr">
        <is>
          <t>SEPTIMO</t>
        </is>
      </c>
      <c r="J73" t="inlineStr">
        <is>
          <t>TT</t>
        </is>
      </c>
      <c r="K73" t="n">
        <v>0</v>
      </c>
    </row>
    <row r="74">
      <c r="A74" t="inlineStr">
        <is>
          <t>Socio-Emocional</t>
        </is>
      </c>
      <c r="B74" t="inlineStr">
        <is>
          <t>Ale-44. Expresa inseguridad constante ("no puedo").</t>
        </is>
      </c>
      <c r="C74" t="inlineStr">
        <is>
          <t>44. Expresa inseguridad constante ("no puedo").</t>
        </is>
      </c>
      <c r="D74" t="inlineStr">
        <is>
          <t>Alerta/Mejora</t>
        </is>
      </c>
      <c r="E74" t="n">
        <v>1</v>
      </c>
      <c r="F74" t="n">
        <v>4</v>
      </c>
      <c r="G74" t="n">
        <v>13</v>
      </c>
      <c r="H74" t="inlineStr">
        <is>
          <t xml:space="preserve">Muy bueno </t>
        </is>
      </c>
      <c r="I74" t="inlineStr">
        <is>
          <t>SEPTIMO</t>
        </is>
      </c>
      <c r="J74" t="inlineStr">
        <is>
          <t>TT</t>
        </is>
      </c>
      <c r="K74" t="n">
        <v>0</v>
      </c>
    </row>
    <row r="75">
      <c r="A75" t="inlineStr">
        <is>
          <t>Actitudinal</t>
        </is>
      </c>
      <c r="B75" t="inlineStr">
        <is>
          <t>Ale-46. Requiere estímulos externos para trabajar.</t>
        </is>
      </c>
      <c r="C75" t="inlineStr">
        <is>
          <t>46. Requiere estímulos externos para trabajar.</t>
        </is>
      </c>
      <c r="D75" t="inlineStr">
        <is>
          <t>Alerta/Mejora</t>
        </is>
      </c>
      <c r="E75" t="n">
        <v>2</v>
      </c>
      <c r="F75" t="n">
        <v>4</v>
      </c>
      <c r="G75" t="n">
        <v>12</v>
      </c>
      <c r="H75" t="inlineStr">
        <is>
          <t xml:space="preserve">Muy bueno </t>
        </is>
      </c>
      <c r="I75" t="inlineStr">
        <is>
          <t>SEPTIMO</t>
        </is>
      </c>
      <c r="J75" t="inlineStr">
        <is>
          <t>TT</t>
        </is>
      </c>
      <c r="K75" t="n">
        <v>0</v>
      </c>
    </row>
    <row r="76">
      <c r="A76" t="inlineStr">
        <is>
          <t>Actitudinal</t>
        </is>
      </c>
      <c r="B76" t="inlineStr">
        <is>
          <t>Ale-48. Abandona proyectos a mitad de camino.</t>
        </is>
      </c>
      <c r="C76" t="inlineStr">
        <is>
          <t>48. Abandona proyectos a mitad de camino.</t>
        </is>
      </c>
      <c r="D76" t="inlineStr">
        <is>
          <t>Alerta/Mejora</t>
        </is>
      </c>
      <c r="E76" t="n">
        <v>0</v>
      </c>
      <c r="F76" t="n">
        <v>4</v>
      </c>
      <c r="G76" t="n">
        <v>14</v>
      </c>
      <c r="H76" t="inlineStr">
        <is>
          <t xml:space="preserve">Muy bueno </t>
        </is>
      </c>
      <c r="I76" t="inlineStr">
        <is>
          <t>SEPTIMO</t>
        </is>
      </c>
      <c r="J76" t="inlineStr">
        <is>
          <t>TT</t>
        </is>
      </c>
      <c r="K76" t="n">
        <v>0</v>
      </c>
    </row>
    <row r="77">
      <c r="A77" t="inlineStr">
        <is>
          <t>Actitudinal</t>
        </is>
      </c>
      <c r="B77" t="inlineStr">
        <is>
          <t>Ale-50. Se muestra a la defensiva ante críticas.</t>
        </is>
      </c>
      <c r="C77" t="inlineStr">
        <is>
          <t>50. Se muestra a la defensiva ante críticas.</t>
        </is>
      </c>
      <c r="D77" t="inlineStr">
        <is>
          <t>Alerta/Mejora</t>
        </is>
      </c>
      <c r="E77" t="n">
        <v>0</v>
      </c>
      <c r="F77" t="n">
        <v>4</v>
      </c>
      <c r="G77" t="n">
        <v>14</v>
      </c>
      <c r="H77" t="inlineStr">
        <is>
          <t xml:space="preserve">Muy bueno </t>
        </is>
      </c>
      <c r="I77" t="inlineStr">
        <is>
          <t>SEPTIMO</t>
        </is>
      </c>
      <c r="J77" t="inlineStr">
        <is>
          <t>TT</t>
        </is>
      </c>
      <c r="K77" t="n">
        <v>0</v>
      </c>
    </row>
    <row r="78">
      <c r="A78" t="inlineStr">
        <is>
          <t>Académica</t>
        </is>
      </c>
      <c r="B78" t="inlineStr">
        <is>
          <t>For-01. Domina los conceptos clave del grado.</t>
        </is>
      </c>
      <c r="C78" t="inlineStr">
        <is>
          <t>01. Domina los conceptos clave del grado.</t>
        </is>
      </c>
      <c r="D78" t="inlineStr">
        <is>
          <t>Fortaleza/Logro</t>
        </is>
      </c>
      <c r="E78" t="n">
        <v>12</v>
      </c>
      <c r="F78" t="n">
        <v>4</v>
      </c>
      <c r="G78" t="n">
        <v>12</v>
      </c>
      <c r="H78" t="inlineStr">
        <is>
          <t xml:space="preserve">Muy bueno </t>
        </is>
      </c>
      <c r="I78" t="inlineStr">
        <is>
          <t>SEPTIMO</t>
        </is>
      </c>
      <c r="J78" t="inlineStr">
        <is>
          <t>TT</t>
        </is>
      </c>
      <c r="K78" t="n">
        <v>0</v>
      </c>
    </row>
    <row r="79">
      <c r="A79" t="inlineStr">
        <is>
          <t>Académica</t>
        </is>
      </c>
      <c r="B79" t="inlineStr">
        <is>
          <t>For-03. Posee un pensamiento crítico y analítico.</t>
        </is>
      </c>
      <c r="C79" t="inlineStr">
        <is>
          <t>03. Posee un pensamiento crítico y analítico.</t>
        </is>
      </c>
      <c r="D79" t="inlineStr">
        <is>
          <t>Fortaleza/Logro</t>
        </is>
      </c>
      <c r="E79" t="n">
        <v>14</v>
      </c>
      <c r="F79" t="n">
        <v>4</v>
      </c>
      <c r="G79" t="n">
        <v>14</v>
      </c>
      <c r="H79" t="inlineStr">
        <is>
          <t xml:space="preserve">Muy bueno </t>
        </is>
      </c>
      <c r="I79" t="inlineStr">
        <is>
          <t>SEPTIMO</t>
        </is>
      </c>
      <c r="J79" t="inlineStr">
        <is>
          <t>TT</t>
        </is>
      </c>
      <c r="K79" t="n">
        <v>0</v>
      </c>
    </row>
    <row r="80">
      <c r="A80" t="inlineStr">
        <is>
          <t>Académica</t>
        </is>
      </c>
      <c r="B80" t="inlineStr">
        <is>
          <t>For-05. Entrega trabajos con alta calidad y orden.</t>
        </is>
      </c>
      <c r="C80" t="inlineStr">
        <is>
          <t>05. Entrega trabajos con alta calidad y orden.</t>
        </is>
      </c>
      <c r="D80" t="inlineStr">
        <is>
          <t>Fortaleza/Logro</t>
        </is>
      </c>
      <c r="E80" t="n">
        <v>12</v>
      </c>
      <c r="F80" t="n">
        <v>4</v>
      </c>
      <c r="G80" t="n">
        <v>12</v>
      </c>
      <c r="H80" t="inlineStr">
        <is>
          <t xml:space="preserve">Muy bueno </t>
        </is>
      </c>
      <c r="I80" t="inlineStr">
        <is>
          <t>SEPTIMO</t>
        </is>
      </c>
      <c r="J80" t="inlineStr">
        <is>
          <t>TT</t>
        </is>
      </c>
      <c r="K80" t="n">
        <v>0</v>
      </c>
    </row>
    <row r="81">
      <c r="A81" t="inlineStr">
        <is>
          <t>Académica</t>
        </is>
      </c>
      <c r="B81" t="inlineStr">
        <is>
          <t>For-07. Resuelve problemas lógicos con fluidez.</t>
        </is>
      </c>
      <c r="C81" t="inlineStr">
        <is>
          <t>07. Resuelve problemas lógicos con fluidez.</t>
        </is>
      </c>
      <c r="D81" t="inlineStr">
        <is>
          <t>Fortaleza/Logro</t>
        </is>
      </c>
      <c r="E81" t="n">
        <v>12</v>
      </c>
      <c r="F81" t="n">
        <v>4</v>
      </c>
      <c r="G81" t="n">
        <v>12</v>
      </c>
      <c r="H81" t="inlineStr">
        <is>
          <t xml:space="preserve">Muy bueno </t>
        </is>
      </c>
      <c r="I81" t="inlineStr">
        <is>
          <t>SEPTIMO</t>
        </is>
      </c>
      <c r="J81" t="inlineStr">
        <is>
          <t>TT</t>
        </is>
      </c>
      <c r="K81" t="n">
        <v>0</v>
      </c>
    </row>
    <row r="82">
      <c r="A82" t="inlineStr">
        <is>
          <t>Académica</t>
        </is>
      </c>
      <c r="B82" t="inlineStr">
        <is>
          <t>For-09. Utiliza vocabulario técnico preciso.</t>
        </is>
      </c>
      <c r="C82" t="inlineStr">
        <is>
          <t>09. Utiliza vocabulario técnico preciso.</t>
        </is>
      </c>
      <c r="D82" t="inlineStr">
        <is>
          <t>Fortaleza/Logro</t>
        </is>
      </c>
      <c r="E82" t="n">
        <v>12</v>
      </c>
      <c r="F82" t="n">
        <v>4</v>
      </c>
      <c r="G82" t="n">
        <v>12</v>
      </c>
      <c r="H82" t="inlineStr">
        <is>
          <t xml:space="preserve">Muy bueno </t>
        </is>
      </c>
      <c r="I82" t="inlineStr">
        <is>
          <t>SEPTIMO</t>
        </is>
      </c>
      <c r="J82" t="inlineStr">
        <is>
          <t>TT</t>
        </is>
      </c>
      <c r="K82" t="n">
        <v>0</v>
      </c>
    </row>
    <row r="83">
      <c r="A83" t="inlineStr">
        <is>
          <t>Académica</t>
        </is>
      </c>
      <c r="B83" t="inlineStr">
        <is>
          <t>For-11. Posee excelentes hábitos de lectura.</t>
        </is>
      </c>
      <c r="C83" t="inlineStr">
        <is>
          <t>11. Posee excelentes hábitos de lectura.</t>
        </is>
      </c>
      <c r="D83" t="inlineStr">
        <is>
          <t>Fortaleza/Logro</t>
        </is>
      </c>
      <c r="E83" t="n">
        <v>11</v>
      </c>
      <c r="F83" t="n">
        <v>3</v>
      </c>
      <c r="G83" t="n">
        <v>11</v>
      </c>
      <c r="H83" t="inlineStr">
        <is>
          <t>Bueno</t>
        </is>
      </c>
      <c r="I83" t="inlineStr">
        <is>
          <t>SEPTIMO</t>
        </is>
      </c>
      <c r="J83" t="inlineStr">
        <is>
          <t>TT</t>
        </is>
      </c>
      <c r="K83" t="n">
        <v>0</v>
      </c>
    </row>
    <row r="84">
      <c r="A84" t="inlineStr">
        <is>
          <t>Académica</t>
        </is>
      </c>
      <c r="B84" t="inlineStr">
        <is>
          <t>For-13. Es autónomo en la realización de tareas.</t>
        </is>
      </c>
      <c r="C84" t="inlineStr">
        <is>
          <t>13. Es autónomo en la realización de tareas.</t>
        </is>
      </c>
      <c r="D84" t="inlineStr">
        <is>
          <t>Fortaleza/Logro</t>
        </is>
      </c>
      <c r="E84" t="n">
        <v>14</v>
      </c>
      <c r="F84" t="n">
        <v>4</v>
      </c>
      <c r="G84" t="n">
        <v>14</v>
      </c>
      <c r="H84" t="inlineStr">
        <is>
          <t xml:space="preserve">Muy bueno </t>
        </is>
      </c>
      <c r="I84" t="inlineStr">
        <is>
          <t>SEPTIMO</t>
        </is>
      </c>
      <c r="J84" t="inlineStr">
        <is>
          <t>TT</t>
        </is>
      </c>
      <c r="K84" t="n">
        <v>0</v>
      </c>
    </row>
    <row r="85">
      <c r="A85" t="inlineStr">
        <is>
          <t>Académica</t>
        </is>
      </c>
      <c r="B85" t="inlineStr">
        <is>
          <t>For-15. Investiga más allá de lo solicitado.</t>
        </is>
      </c>
      <c r="C85" t="inlineStr">
        <is>
          <t>15. Investiga más allá de lo solicitado.</t>
        </is>
      </c>
      <c r="D85" t="inlineStr">
        <is>
          <t>Fortaleza/Logro</t>
        </is>
      </c>
      <c r="E85" t="n">
        <v>12</v>
      </c>
      <c r="F85" t="n">
        <v>4</v>
      </c>
      <c r="G85" t="n">
        <v>12</v>
      </c>
      <c r="H85" t="inlineStr">
        <is>
          <t xml:space="preserve">Muy bueno </t>
        </is>
      </c>
      <c r="I85" t="inlineStr">
        <is>
          <t>SEPTIMO</t>
        </is>
      </c>
      <c r="J85" t="inlineStr">
        <is>
          <t>TT</t>
        </is>
      </c>
      <c r="K85" t="n">
        <v>0</v>
      </c>
    </row>
    <row r="86">
      <c r="A86" t="inlineStr">
        <is>
          <t>Conductual</t>
        </is>
      </c>
      <c r="B86" t="inlineStr">
        <is>
          <t>For-17. Respeta las normas de convivencia.</t>
        </is>
      </c>
      <c r="C86" t="inlineStr">
        <is>
          <t>17. Respeta las normas de convivencia.</t>
        </is>
      </c>
      <c r="D86" t="inlineStr">
        <is>
          <t>Fortaleza/Logro</t>
        </is>
      </c>
      <c r="E86" t="n">
        <v>14</v>
      </c>
      <c r="F86" t="n">
        <v>4</v>
      </c>
      <c r="G86" t="n">
        <v>14</v>
      </c>
      <c r="H86" t="inlineStr">
        <is>
          <t xml:space="preserve">Muy bueno </t>
        </is>
      </c>
      <c r="I86" t="inlineStr">
        <is>
          <t>SEPTIMO</t>
        </is>
      </c>
      <c r="J86" t="inlineStr">
        <is>
          <t>TT</t>
        </is>
      </c>
      <c r="K86" t="n">
        <v>0</v>
      </c>
    </row>
    <row r="87">
      <c r="A87" t="inlineStr">
        <is>
          <t>Conductual</t>
        </is>
      </c>
      <c r="B87" t="inlineStr">
        <is>
          <t>For-19. Es puntual en todas sus obligaciones.</t>
        </is>
      </c>
      <c r="C87" t="inlineStr">
        <is>
          <t>19. Es puntual en todas sus obligaciones.</t>
        </is>
      </c>
      <c r="D87" t="inlineStr">
        <is>
          <t>Fortaleza/Logro</t>
        </is>
      </c>
      <c r="E87" t="n">
        <v>12</v>
      </c>
      <c r="F87" t="n">
        <v>4</v>
      </c>
      <c r="G87" t="n">
        <v>12</v>
      </c>
      <c r="H87" t="inlineStr">
        <is>
          <t xml:space="preserve">Muy bueno </t>
        </is>
      </c>
      <c r="I87" t="inlineStr">
        <is>
          <t>SEPTIMO</t>
        </is>
      </c>
      <c r="J87" t="inlineStr">
        <is>
          <t>TT</t>
        </is>
      </c>
      <c r="K87" t="n">
        <v>0</v>
      </c>
    </row>
    <row r="88">
      <c r="A88" t="inlineStr">
        <is>
          <t>Conductual</t>
        </is>
      </c>
      <c r="B88" t="inlineStr">
        <is>
          <t>For-21. Cuida el material propio y ajeno.</t>
        </is>
      </c>
      <c r="C88" t="inlineStr">
        <is>
          <t>21. Cuida el material propio y ajeno.</t>
        </is>
      </c>
      <c r="D88" t="inlineStr">
        <is>
          <t>Fortaleza/Logro</t>
        </is>
      </c>
      <c r="E88" t="n">
        <v>14</v>
      </c>
      <c r="F88" t="n">
        <v>4</v>
      </c>
      <c r="G88" t="n">
        <v>14</v>
      </c>
      <c r="H88" t="inlineStr">
        <is>
          <t xml:space="preserve">Muy bueno </t>
        </is>
      </c>
      <c r="I88" t="inlineStr">
        <is>
          <t>SEPTIMO</t>
        </is>
      </c>
      <c r="J88" t="inlineStr">
        <is>
          <t>TT</t>
        </is>
      </c>
      <c r="K88" t="n">
        <v>0</v>
      </c>
    </row>
    <row r="89">
      <c r="A89" t="inlineStr">
        <is>
          <t>Conductual</t>
        </is>
      </c>
      <c r="B89" t="inlineStr">
        <is>
          <t>For-23. Escucha con atención y no interrumpe.</t>
        </is>
      </c>
      <c r="C89" t="inlineStr">
        <is>
          <t>23. Escucha con atención y no interrumpe.</t>
        </is>
      </c>
      <c r="D89" t="inlineStr">
        <is>
          <t>Fortaleza/Logro</t>
        </is>
      </c>
      <c r="E89" t="n">
        <v>14</v>
      </c>
      <c r="F89" t="n">
        <v>4</v>
      </c>
      <c r="G89" t="n">
        <v>14</v>
      </c>
      <c r="H89" t="inlineStr">
        <is>
          <t xml:space="preserve">Muy bueno </t>
        </is>
      </c>
      <c r="I89" t="inlineStr">
        <is>
          <t>SEPTIMO</t>
        </is>
      </c>
      <c r="J89" t="inlineStr">
        <is>
          <t>TT</t>
        </is>
      </c>
      <c r="K89" t="n">
        <v>0</v>
      </c>
    </row>
    <row r="90">
      <c r="A90" t="inlineStr">
        <is>
          <t>Conductual</t>
        </is>
      </c>
      <c r="B90" t="inlineStr">
        <is>
          <t>For-25. Utiliza el lenguaje de forma respetuosa.</t>
        </is>
      </c>
      <c r="C90" t="inlineStr">
        <is>
          <t>25. Utiliza el lenguaje de forma respetuosa.</t>
        </is>
      </c>
      <c r="D90" t="inlineStr">
        <is>
          <t>Fortaleza/Logro</t>
        </is>
      </c>
      <c r="E90" t="n">
        <v>14</v>
      </c>
      <c r="F90" t="n">
        <v>4</v>
      </c>
      <c r="G90" t="n">
        <v>14</v>
      </c>
      <c r="H90" t="inlineStr">
        <is>
          <t xml:space="preserve">Muy bueno </t>
        </is>
      </c>
      <c r="I90" t="inlineStr">
        <is>
          <t>SEPTIMO</t>
        </is>
      </c>
      <c r="J90" t="inlineStr">
        <is>
          <t>TT</t>
        </is>
      </c>
      <c r="K90" t="n">
        <v>0</v>
      </c>
    </row>
    <row r="91">
      <c r="A91" t="inlineStr">
        <is>
          <t>Conductual</t>
        </is>
      </c>
      <c r="B91" t="inlineStr">
        <is>
          <t>For-27. Reconoce sus errores honestamente.</t>
        </is>
      </c>
      <c r="C91" t="inlineStr">
        <is>
          <t>27. Reconoce sus errores honestamente.</t>
        </is>
      </c>
      <c r="D91" t="inlineStr">
        <is>
          <t>Fortaleza/Logro</t>
        </is>
      </c>
      <c r="E91" t="n">
        <v>14</v>
      </c>
      <c r="F91" t="n">
        <v>4</v>
      </c>
      <c r="G91" t="n">
        <v>14</v>
      </c>
      <c r="H91" t="inlineStr">
        <is>
          <t xml:space="preserve">Muy bueno </t>
        </is>
      </c>
      <c r="I91" t="inlineStr">
        <is>
          <t>SEPTIMO</t>
        </is>
      </c>
      <c r="J91" t="inlineStr">
        <is>
          <t>TT</t>
        </is>
      </c>
      <c r="K91" t="n">
        <v>0</v>
      </c>
    </row>
    <row r="92">
      <c r="A92" t="inlineStr">
        <is>
          <t>Conductual</t>
        </is>
      </c>
      <c r="B92" t="inlineStr">
        <is>
          <t>For-29. Usa la tecnología con fines educativos.</t>
        </is>
      </c>
      <c r="C92" t="inlineStr">
        <is>
          <t>29. Usa la tecnología con fines educativos.</t>
        </is>
      </c>
      <c r="D92" t="inlineStr">
        <is>
          <t>Fortaleza/Logro</t>
        </is>
      </c>
      <c r="E92" t="n">
        <v>12</v>
      </c>
      <c r="F92" t="n">
        <v>4</v>
      </c>
      <c r="G92" t="n">
        <v>12</v>
      </c>
      <c r="H92" t="inlineStr">
        <is>
          <t xml:space="preserve">Muy bueno </t>
        </is>
      </c>
      <c r="I92" t="inlineStr">
        <is>
          <t>SEPTIMO</t>
        </is>
      </c>
      <c r="J92" t="inlineStr">
        <is>
          <t>TT</t>
        </is>
      </c>
      <c r="K92" t="n">
        <v>0</v>
      </c>
    </row>
    <row r="93">
      <c r="A93" t="inlineStr">
        <is>
          <t>Conductual</t>
        </is>
      </c>
      <c r="B93" t="inlineStr">
        <is>
          <t>For-31. Mantiene el orden en espacios comunes.</t>
        </is>
      </c>
      <c r="C93" t="inlineStr">
        <is>
          <t>31. Mantiene el orden en espacios comunes.</t>
        </is>
      </c>
      <c r="D93" t="inlineStr">
        <is>
          <t>Fortaleza/Logro</t>
        </is>
      </c>
      <c r="E93" t="n">
        <v>11</v>
      </c>
      <c r="F93" t="n">
        <v>3</v>
      </c>
      <c r="G93" t="n">
        <v>11</v>
      </c>
      <c r="H93" t="inlineStr">
        <is>
          <t>Bueno</t>
        </is>
      </c>
      <c r="I93" t="inlineStr">
        <is>
          <t>SEPTIMO</t>
        </is>
      </c>
      <c r="J93" t="inlineStr">
        <is>
          <t>TT</t>
        </is>
      </c>
      <c r="K93" t="n">
        <v>0</v>
      </c>
    </row>
    <row r="94">
      <c r="A94" t="inlineStr">
        <is>
          <t>Socio-Emocional</t>
        </is>
      </c>
      <c r="B94" t="inlineStr">
        <is>
          <t>For-33. Muestra resiliencia ante el fracaso.</t>
        </is>
      </c>
      <c r="C94" t="inlineStr">
        <is>
          <t>33. Muestra resiliencia ante el fracaso.</t>
        </is>
      </c>
      <c r="D94" t="inlineStr">
        <is>
          <t>Fortaleza/Logro</t>
        </is>
      </c>
      <c r="E94" t="n">
        <v>12</v>
      </c>
      <c r="F94" t="n">
        <v>4</v>
      </c>
      <c r="G94" t="n">
        <v>12</v>
      </c>
      <c r="H94" t="inlineStr">
        <is>
          <t xml:space="preserve">Muy bueno </t>
        </is>
      </c>
      <c r="I94" t="inlineStr">
        <is>
          <t>SEPTIMO</t>
        </is>
      </c>
      <c r="J94" t="inlineStr">
        <is>
          <t>TT</t>
        </is>
      </c>
      <c r="K94" t="n">
        <v>0</v>
      </c>
    </row>
    <row r="95">
      <c r="A95" t="inlineStr">
        <is>
          <t>Socio-Emocional</t>
        </is>
      </c>
      <c r="B95" t="inlineStr">
        <is>
          <t>For-35. Trabaja de forma colaborativa y equitativa.</t>
        </is>
      </c>
      <c r="C95" t="inlineStr">
        <is>
          <t>35. Trabaja de forma colaborativa y equitativa.</t>
        </is>
      </c>
      <c r="D95" t="inlineStr">
        <is>
          <t>Fortaleza/Logro</t>
        </is>
      </c>
      <c r="E95" t="n">
        <v>12</v>
      </c>
      <c r="F95" t="n">
        <v>4</v>
      </c>
      <c r="G95" t="n">
        <v>12</v>
      </c>
      <c r="H95" t="inlineStr">
        <is>
          <t xml:space="preserve">Muy bueno </t>
        </is>
      </c>
      <c r="I95" t="inlineStr">
        <is>
          <t>SEPTIMO</t>
        </is>
      </c>
      <c r="J95" t="inlineStr">
        <is>
          <t>TT</t>
        </is>
      </c>
      <c r="K95" t="n">
        <v>0</v>
      </c>
    </row>
    <row r="96">
      <c r="A96" t="inlineStr">
        <is>
          <t>Socio-Emocional</t>
        </is>
      </c>
      <c r="B96" t="inlineStr">
        <is>
          <t>For-37. Es empático con las necesidades ajenas.</t>
        </is>
      </c>
      <c r="C96" t="inlineStr">
        <is>
          <t>37. Es empático con las necesidades ajenas.</t>
        </is>
      </c>
      <c r="D96" t="inlineStr">
        <is>
          <t>Fortaleza/Logro</t>
        </is>
      </c>
      <c r="E96" t="n">
        <v>12</v>
      </c>
      <c r="F96" t="n">
        <v>4</v>
      </c>
      <c r="G96" t="n">
        <v>12</v>
      </c>
      <c r="H96" t="inlineStr">
        <is>
          <t xml:space="preserve">Muy bueno </t>
        </is>
      </c>
      <c r="I96" t="inlineStr">
        <is>
          <t>SEPTIMO</t>
        </is>
      </c>
      <c r="J96" t="inlineStr">
        <is>
          <t>TT</t>
        </is>
      </c>
      <c r="K96" t="n">
        <v>0</v>
      </c>
    </row>
    <row r="97">
      <c r="A97" t="inlineStr">
        <is>
          <t>Socio-Emocional</t>
        </is>
      </c>
      <c r="B97" t="inlineStr">
        <is>
          <t>For-39. Posee un liderazgo positivo y ético.</t>
        </is>
      </c>
      <c r="C97" t="inlineStr">
        <is>
          <t>39. Posee un liderazgo positivo y ético.</t>
        </is>
      </c>
      <c r="D97" t="inlineStr">
        <is>
          <t>Fortaleza/Logro</t>
        </is>
      </c>
      <c r="E97" t="n">
        <v>12</v>
      </c>
      <c r="F97" t="n">
        <v>4</v>
      </c>
      <c r="G97" t="n">
        <v>12</v>
      </c>
      <c r="H97" t="inlineStr">
        <is>
          <t xml:space="preserve">Muy bueno </t>
        </is>
      </c>
      <c r="I97" t="inlineStr">
        <is>
          <t>SEPTIMO</t>
        </is>
      </c>
      <c r="J97" t="inlineStr">
        <is>
          <t>TT</t>
        </is>
      </c>
      <c r="K97" t="n">
        <v>0</v>
      </c>
    </row>
    <row r="98">
      <c r="A98" t="inlineStr">
        <is>
          <t>Socio-Emocional</t>
        </is>
      </c>
      <c r="B98" t="inlineStr">
        <is>
          <t>For-41. Se comunica de manera asertiva.</t>
        </is>
      </c>
      <c r="C98" t="inlineStr">
        <is>
          <t>41. Se comunica de manera asertiva.</t>
        </is>
      </c>
      <c r="D98" t="inlineStr">
        <is>
          <t>Fortaleza/Logro</t>
        </is>
      </c>
      <c r="E98" t="n">
        <v>12</v>
      </c>
      <c r="F98" t="n">
        <v>4</v>
      </c>
      <c r="G98" t="n">
        <v>12</v>
      </c>
      <c r="H98" t="inlineStr">
        <is>
          <t xml:space="preserve">Muy bueno </t>
        </is>
      </c>
      <c r="I98" t="inlineStr">
        <is>
          <t>SEPTIMO</t>
        </is>
      </c>
      <c r="J98" t="inlineStr">
        <is>
          <t>TT</t>
        </is>
      </c>
      <c r="K98" t="n">
        <v>0</v>
      </c>
    </row>
    <row r="99">
      <c r="A99" t="inlineStr">
        <is>
          <t>Socio-Emocional</t>
        </is>
      </c>
      <c r="B99" t="inlineStr">
        <is>
          <t>For-43. Tiene una autoestima académica sólida.</t>
        </is>
      </c>
      <c r="C99" t="inlineStr">
        <is>
          <t>43. Tiene una autoestima académica sólida.</t>
        </is>
      </c>
      <c r="D99" t="inlineStr">
        <is>
          <t>Fortaleza/Logro</t>
        </is>
      </c>
      <c r="E99" t="n">
        <v>12</v>
      </c>
      <c r="F99" t="n">
        <v>4</v>
      </c>
      <c r="G99" t="n">
        <v>12</v>
      </c>
      <c r="H99" t="inlineStr">
        <is>
          <t xml:space="preserve">Muy bueno </t>
        </is>
      </c>
      <c r="I99" t="inlineStr">
        <is>
          <t>SEPTIMO</t>
        </is>
      </c>
      <c r="J99" t="inlineStr">
        <is>
          <t>TT</t>
        </is>
      </c>
      <c r="K99" t="n">
        <v>0</v>
      </c>
    </row>
    <row r="100">
      <c r="A100" t="inlineStr">
        <is>
          <t>Actitudinal</t>
        </is>
      </c>
      <c r="B100" t="inlineStr">
        <is>
          <t>For-45. Muestra curiosidad e iniciativa propia.</t>
        </is>
      </c>
      <c r="C100" t="inlineStr">
        <is>
          <t>45. Muestra curiosidad e iniciativa propia.</t>
        </is>
      </c>
      <c r="D100" t="inlineStr">
        <is>
          <t>Fortaleza/Logro</t>
        </is>
      </c>
      <c r="E100" t="n">
        <v>12</v>
      </c>
      <c r="F100" t="n">
        <v>4</v>
      </c>
      <c r="G100" t="n">
        <v>12</v>
      </c>
      <c r="H100" t="inlineStr">
        <is>
          <t xml:space="preserve">Muy bueno </t>
        </is>
      </c>
      <c r="I100" t="inlineStr">
        <is>
          <t>SEPTIMO</t>
        </is>
      </c>
      <c r="J100" t="inlineStr">
        <is>
          <t>TT</t>
        </is>
      </c>
      <c r="K100" t="n">
        <v>0</v>
      </c>
    </row>
    <row r="101">
      <c r="A101" t="inlineStr">
        <is>
          <t>Actitudinal</t>
        </is>
      </c>
      <c r="B101" t="inlineStr">
        <is>
          <t>For-47. Es persistente en tareas complejas.</t>
        </is>
      </c>
      <c r="C101" t="inlineStr">
        <is>
          <t>47. Es persistente en tareas complejas.</t>
        </is>
      </c>
      <c r="D101" t="inlineStr">
        <is>
          <t>Fortaleza/Logro</t>
        </is>
      </c>
      <c r="E101" t="n">
        <v>10</v>
      </c>
      <c r="F101" t="n">
        <v>3</v>
      </c>
      <c r="G101" t="n">
        <v>10</v>
      </c>
      <c r="H101" t="inlineStr">
        <is>
          <t>Bueno</t>
        </is>
      </c>
      <c r="I101" t="inlineStr">
        <is>
          <t>SEPTIMO</t>
        </is>
      </c>
      <c r="J101" t="inlineStr">
        <is>
          <t>TT</t>
        </is>
      </c>
      <c r="K101" t="n">
        <v>0</v>
      </c>
    </row>
    <row r="102">
      <c r="A102" t="inlineStr">
        <is>
          <t>Actitudinal</t>
        </is>
      </c>
      <c r="B102" t="inlineStr">
        <is>
          <t>For-49. Acepta retroalimentación constructiva.</t>
        </is>
      </c>
      <c r="C102" t="inlineStr">
        <is>
          <t>49. Acepta retroalimentación constructiva.</t>
        </is>
      </c>
      <c r="D102" t="inlineStr">
        <is>
          <t>Fortaleza/Logro</t>
        </is>
      </c>
      <c r="E102" t="n">
        <v>12</v>
      </c>
      <c r="F102" t="n">
        <v>4</v>
      </c>
      <c r="G102" t="n">
        <v>12</v>
      </c>
      <c r="H102" t="inlineStr">
        <is>
          <t xml:space="preserve">Muy bueno </t>
        </is>
      </c>
      <c r="I102" t="inlineStr">
        <is>
          <t>SEPTIMO</t>
        </is>
      </c>
      <c r="J102" t="inlineStr">
        <is>
          <t>TT</t>
        </is>
      </c>
      <c r="K102" t="n">
        <v>0</v>
      </c>
    </row>
    <row r="103">
      <c r="A103">
        <f t="array" ref="A103:K153">+octablo_tabla</f>
        <v/>
      </c>
      <c r="B103" t="inlineStr">
        <is>
          <t xml:space="preserve">Indicador </t>
        </is>
      </c>
      <c r="C103" t="inlineStr">
        <is>
          <t xml:space="preserve">Indicador </t>
        </is>
      </c>
      <c r="D103" t="inlineStr">
        <is>
          <t>Tipo de Indicador</t>
        </is>
      </c>
      <c r="E103" t="inlineStr">
        <is>
          <t>Cantidad de veces</t>
        </is>
      </c>
      <c r="F103" t="inlineStr">
        <is>
          <t>NOTA</t>
        </is>
      </c>
      <c r="G103" t="inlineStr">
        <is>
          <t>PR</t>
        </is>
      </c>
      <c r="H103" t="inlineStr">
        <is>
          <t>VALORACION</t>
        </is>
      </c>
      <c r="I103" t="inlineStr">
        <is>
          <t>GRADO</t>
        </is>
      </c>
      <c r="J103" t="inlineStr">
        <is>
          <t>TURNO</t>
        </is>
      </c>
      <c r="K103" t="inlineStr">
        <is>
          <t>NF</t>
        </is>
      </c>
    </row>
    <row r="104">
      <c r="A104" t="inlineStr">
        <is>
          <t>Académica</t>
        </is>
      </c>
      <c r="B104" t="inlineStr">
        <is>
          <t>Ale-02. Presenta lagunas en conocimientos previos.</t>
        </is>
      </c>
      <c r="C104" t="inlineStr">
        <is>
          <t>02. Presenta lagunas en conocimientos previos.</t>
        </is>
      </c>
      <c r="D104" t="inlineStr">
        <is>
          <t>Alerta/Mejora</t>
        </is>
      </c>
      <c r="E104" t="n">
        <v>8</v>
      </c>
      <c r="F104" t="n">
        <v>4</v>
      </c>
      <c r="G104" t="n">
        <v>34</v>
      </c>
      <c r="H104" t="inlineStr">
        <is>
          <t xml:space="preserve">Muy bueno </t>
        </is>
      </c>
      <c r="I104" t="inlineStr">
        <is>
          <t>OCTAVO</t>
        </is>
      </c>
      <c r="J104" t="inlineStr">
        <is>
          <t>TM</t>
        </is>
      </c>
      <c r="K104" t="n">
        <v>0.1904761904761905</v>
      </c>
    </row>
    <row r="105">
      <c r="A105" t="inlineStr">
        <is>
          <t>Académica</t>
        </is>
      </c>
      <c r="B105" t="inlineStr">
        <is>
          <t>Ale-04. Se limita a memorizar sin comprender.</t>
        </is>
      </c>
      <c r="C105" t="inlineStr">
        <is>
          <t>04. Se limita a memorizar sin comprender.</t>
        </is>
      </c>
      <c r="D105" t="inlineStr">
        <is>
          <t>Alerta/Mejora</t>
        </is>
      </c>
      <c r="E105" t="n">
        <v>6</v>
      </c>
      <c r="F105" t="n">
        <v>4</v>
      </c>
      <c r="G105" t="n">
        <v>36</v>
      </c>
      <c r="H105" t="inlineStr">
        <is>
          <t xml:space="preserve">Muy bueno </t>
        </is>
      </c>
      <c r="I105" t="inlineStr">
        <is>
          <t>OCTAVO</t>
        </is>
      </c>
      <c r="J105" t="inlineStr">
        <is>
          <t>TM</t>
        </is>
      </c>
      <c r="K105" t="n">
        <v>0.1428571428571428</v>
      </c>
    </row>
    <row r="106">
      <c r="A106" t="inlineStr">
        <is>
          <t>Académica</t>
        </is>
      </c>
      <c r="B106" t="inlineStr">
        <is>
          <t>Ale-06. Entrega tareas incompletas o descuidadas.</t>
        </is>
      </c>
      <c r="C106" t="inlineStr">
        <is>
          <t>06. Entrega tareas incompletas o descuidadas.</t>
        </is>
      </c>
      <c r="D106" t="inlineStr">
        <is>
          <t>Alerta/Mejora</t>
        </is>
      </c>
      <c r="E106" t="n">
        <v>4</v>
      </c>
      <c r="F106" t="n">
        <v>4</v>
      </c>
      <c r="G106" t="n">
        <v>38</v>
      </c>
      <c r="H106" t="inlineStr">
        <is>
          <t xml:space="preserve">Muy bueno </t>
        </is>
      </c>
      <c r="I106" t="inlineStr">
        <is>
          <t>OCTAVO</t>
        </is>
      </c>
      <c r="J106" t="inlineStr">
        <is>
          <t>TM</t>
        </is>
      </c>
      <c r="K106" t="n">
        <v>0.09523809523809523</v>
      </c>
    </row>
    <row r="107">
      <c r="A107" t="inlineStr">
        <is>
          <t>Académica</t>
        </is>
      </c>
      <c r="B107" t="inlineStr">
        <is>
          <t>Ale-08. Se bloquea ante desafíos matemáticos.</t>
        </is>
      </c>
      <c r="C107" t="inlineStr">
        <is>
          <t>08. Se bloquea ante desafíos matemáticos.</t>
        </is>
      </c>
      <c r="D107" t="inlineStr">
        <is>
          <t>Alerta/Mejora</t>
        </is>
      </c>
      <c r="E107" t="n">
        <v>7</v>
      </c>
      <c r="F107" t="n">
        <v>4</v>
      </c>
      <c r="G107" t="n">
        <v>35</v>
      </c>
      <c r="H107" t="inlineStr">
        <is>
          <t xml:space="preserve">Muy bueno </t>
        </is>
      </c>
      <c r="I107" t="inlineStr">
        <is>
          <t>OCTAVO</t>
        </is>
      </c>
      <c r="J107" t="inlineStr">
        <is>
          <t>TM</t>
        </is>
      </c>
      <c r="K107" t="n">
        <v>0.1666666666666667</v>
      </c>
    </row>
    <row r="108">
      <c r="A108" t="inlineStr">
        <is>
          <t>Académica</t>
        </is>
      </c>
      <c r="B108" t="inlineStr">
        <is>
          <t>Ale-10. Tiene dificultades de expresión oral/escrita.</t>
        </is>
      </c>
      <c r="C108" t="inlineStr">
        <is>
          <t>10. Tiene dificultades de expresión oral/escrita.</t>
        </is>
      </c>
      <c r="D108" t="inlineStr">
        <is>
          <t>Alerta/Mejora</t>
        </is>
      </c>
      <c r="E108" t="n">
        <v>5</v>
      </c>
      <c r="F108" t="n">
        <v>4</v>
      </c>
      <c r="G108" t="n">
        <v>37</v>
      </c>
      <c r="H108" t="inlineStr">
        <is>
          <t xml:space="preserve">Muy bueno </t>
        </is>
      </c>
      <c r="I108" t="inlineStr">
        <is>
          <t>OCTAVO</t>
        </is>
      </c>
      <c r="J108" t="inlineStr">
        <is>
          <t>TM</t>
        </is>
      </c>
      <c r="K108" t="n">
        <v>0.119047619047619</v>
      </c>
    </row>
    <row r="109">
      <c r="A109" t="inlineStr">
        <is>
          <t>Académica</t>
        </is>
      </c>
      <c r="B109" t="inlineStr">
        <is>
          <t>Ale-12. Muestra rechazo o desinterés por la lectura.</t>
        </is>
      </c>
      <c r="C109" t="inlineStr">
        <is>
          <t>12. Muestra rechazo o desinterés por la lectura.</t>
        </is>
      </c>
      <c r="D109" t="inlineStr">
        <is>
          <t>Alerta/Mejora</t>
        </is>
      </c>
      <c r="E109" t="n">
        <v>6</v>
      </c>
      <c r="F109" t="n">
        <v>4</v>
      </c>
      <c r="G109" t="n">
        <v>36</v>
      </c>
      <c r="H109" t="inlineStr">
        <is>
          <t xml:space="preserve">Muy bueno </t>
        </is>
      </c>
      <c r="I109" t="inlineStr">
        <is>
          <t>OCTAVO</t>
        </is>
      </c>
      <c r="J109" t="inlineStr">
        <is>
          <t>TM</t>
        </is>
      </c>
      <c r="K109" t="n">
        <v>0.1428571428571428</v>
      </c>
    </row>
    <row r="110">
      <c r="A110" t="inlineStr">
        <is>
          <t>Académica</t>
        </is>
      </c>
      <c r="B110" t="inlineStr">
        <is>
          <t>Ale-14. Requiere supervisión constante para avanzar.</t>
        </is>
      </c>
      <c r="C110" t="inlineStr">
        <is>
          <t>14. Requiere supervisión constante para avanzar.</t>
        </is>
      </c>
      <c r="D110" t="inlineStr">
        <is>
          <t>Alerta/Mejora</t>
        </is>
      </c>
      <c r="E110" t="n">
        <v>7</v>
      </c>
      <c r="F110" t="n">
        <v>4</v>
      </c>
      <c r="G110" t="n">
        <v>35</v>
      </c>
      <c r="H110" t="inlineStr">
        <is>
          <t xml:space="preserve">Muy bueno </t>
        </is>
      </c>
      <c r="I110" t="inlineStr">
        <is>
          <t>OCTAVO</t>
        </is>
      </c>
      <c r="J110" t="inlineStr">
        <is>
          <t>TM</t>
        </is>
      </c>
      <c r="K110" t="n">
        <v>0.1666666666666667</v>
      </c>
    </row>
    <row r="111">
      <c r="A111" t="inlineStr">
        <is>
          <t>Académica</t>
        </is>
      </c>
      <c r="B111" t="inlineStr">
        <is>
          <t>Ale-16. Muestra apatía por temas nuevos.</t>
        </is>
      </c>
      <c r="C111" t="inlineStr">
        <is>
          <t>16. Muestra apatía por temas nuevos.</t>
        </is>
      </c>
      <c r="D111" t="inlineStr">
        <is>
          <t>Alerta/Mejora</t>
        </is>
      </c>
      <c r="E111" t="n">
        <v>2</v>
      </c>
      <c r="F111" t="n">
        <v>5</v>
      </c>
      <c r="G111" t="n">
        <v>40</v>
      </c>
      <c r="H111" t="inlineStr">
        <is>
          <t xml:space="preserve">Muy bueno </t>
        </is>
      </c>
      <c r="I111" t="inlineStr">
        <is>
          <t>OCTAVO</t>
        </is>
      </c>
      <c r="J111" t="inlineStr">
        <is>
          <t>TM</t>
        </is>
      </c>
      <c r="K111" t="n">
        <v>0.04761904761904762</v>
      </c>
    </row>
    <row r="112">
      <c r="A112" t="inlineStr">
        <is>
          <t>Conductual</t>
        </is>
      </c>
      <c r="B112" t="inlineStr">
        <is>
          <t>Ale-18. Desafía activamente la autoridad.</t>
        </is>
      </c>
      <c r="C112" t="inlineStr">
        <is>
          <t>18. Desafía activamente la autoridad.</t>
        </is>
      </c>
      <c r="D112" t="inlineStr">
        <is>
          <t>Alerta/Mejora</t>
        </is>
      </c>
      <c r="E112" t="n">
        <v>1</v>
      </c>
      <c r="F112" t="n">
        <v>5</v>
      </c>
      <c r="G112" t="n">
        <v>41</v>
      </c>
      <c r="H112" t="inlineStr">
        <is>
          <t xml:space="preserve">Muy bueno </t>
        </is>
      </c>
      <c r="I112" t="inlineStr">
        <is>
          <t>OCTAVO</t>
        </is>
      </c>
      <c r="J112" t="inlineStr">
        <is>
          <t>TM</t>
        </is>
      </c>
      <c r="K112" t="n">
        <v>0.02380952380952381</v>
      </c>
    </row>
    <row r="113">
      <c r="A113" t="inlineStr">
        <is>
          <t>Conductual</t>
        </is>
      </c>
      <c r="B113" t="inlineStr">
        <is>
          <t>Ale-20. Presenta retardos o inasistencias frecuentes.</t>
        </is>
      </c>
      <c r="C113" t="inlineStr">
        <is>
          <t>20. Presenta retardos o inasistencias frecuentes.</t>
        </is>
      </c>
      <c r="D113" t="inlineStr">
        <is>
          <t>Alerta/Mejora</t>
        </is>
      </c>
      <c r="E113" t="n">
        <v>4</v>
      </c>
      <c r="F113" t="n">
        <v>4</v>
      </c>
      <c r="G113" t="n">
        <v>38</v>
      </c>
      <c r="H113" t="inlineStr">
        <is>
          <t xml:space="preserve">Muy bueno </t>
        </is>
      </c>
      <c r="I113" t="inlineStr">
        <is>
          <t>OCTAVO</t>
        </is>
      </c>
      <c r="J113" t="inlineStr">
        <is>
          <t>TM</t>
        </is>
      </c>
      <c r="K113" t="n">
        <v>0.09523809523809523</v>
      </c>
    </row>
    <row r="114">
      <c r="A114" t="inlineStr">
        <is>
          <t>Conductual</t>
        </is>
      </c>
      <c r="B114" t="inlineStr">
        <is>
          <t>Ale-22. Daña el mobiliario o materiales escolares.</t>
        </is>
      </c>
      <c r="C114" t="inlineStr">
        <is>
          <t>22. Daña el mobiliario o materiales escolares.</t>
        </is>
      </c>
      <c r="D114" t="inlineStr">
        <is>
          <t>Alerta/Mejora</t>
        </is>
      </c>
      <c r="E114" t="n">
        <v>1</v>
      </c>
      <c r="F114" t="n">
        <v>5</v>
      </c>
      <c r="G114" t="n">
        <v>41</v>
      </c>
      <c r="H114" t="inlineStr">
        <is>
          <t xml:space="preserve">Muy bueno </t>
        </is>
      </c>
      <c r="I114" t="inlineStr">
        <is>
          <t>OCTAVO</t>
        </is>
      </c>
      <c r="J114" t="inlineStr">
        <is>
          <t>TM</t>
        </is>
      </c>
      <c r="K114" t="n">
        <v>0.02380952380952381</v>
      </c>
    </row>
    <row r="115">
      <c r="A115" t="inlineStr">
        <is>
          <t>Conductual</t>
        </is>
      </c>
      <c r="B115" t="inlineStr">
        <is>
          <t>Ale-24. Interrumpe constantemente el flujo de clase.</t>
        </is>
      </c>
      <c r="C115" t="inlineStr">
        <is>
          <t>24. Interrumpe constantemente el flujo de clase.</t>
        </is>
      </c>
      <c r="D115" t="inlineStr">
        <is>
          <t>Alerta/Mejora</t>
        </is>
      </c>
      <c r="E115" t="n">
        <v>9</v>
      </c>
      <c r="F115" t="n">
        <v>3</v>
      </c>
      <c r="G115" t="n">
        <v>33</v>
      </c>
      <c r="H115" t="inlineStr">
        <is>
          <t>Bueno</t>
        </is>
      </c>
      <c r="I115" t="inlineStr">
        <is>
          <t>OCTAVO</t>
        </is>
      </c>
      <c r="J115" t="inlineStr">
        <is>
          <t>TM</t>
        </is>
      </c>
      <c r="K115" t="n">
        <v>0.2142857142857143</v>
      </c>
    </row>
    <row r="116">
      <c r="A116" t="inlineStr">
        <is>
          <t>Conductual</t>
        </is>
      </c>
      <c r="B116" t="inlineStr">
        <is>
          <t>Ale-26. Emplea lenguaje soez o despectivo.</t>
        </is>
      </c>
      <c r="C116" t="inlineStr">
        <is>
          <t>26. Emplea lenguaje soez o despectivo.</t>
        </is>
      </c>
      <c r="D116" t="inlineStr">
        <is>
          <t>Alerta/Mejora</t>
        </is>
      </c>
      <c r="E116" t="n">
        <v>2</v>
      </c>
      <c r="F116" t="n">
        <v>5</v>
      </c>
      <c r="G116" t="n">
        <v>40</v>
      </c>
      <c r="H116" t="inlineStr">
        <is>
          <t xml:space="preserve">Muy bueno </t>
        </is>
      </c>
      <c r="I116" t="inlineStr">
        <is>
          <t>OCTAVO</t>
        </is>
      </c>
      <c r="J116" t="inlineStr">
        <is>
          <t>TM</t>
        </is>
      </c>
      <c r="K116" t="n">
        <v>0.04761904761904762</v>
      </c>
    </row>
    <row r="117">
      <c r="A117" t="inlineStr">
        <is>
          <t>Conductual</t>
        </is>
      </c>
      <c r="B117" t="inlineStr">
        <is>
          <t>Ale-28. Miente o culpa a otros por sus actos.</t>
        </is>
      </c>
      <c r="C117" t="inlineStr">
        <is>
          <t>28. Miente o culpa a otros por sus actos.</t>
        </is>
      </c>
      <c r="D117" t="inlineStr">
        <is>
          <t>Alerta/Mejora</t>
        </is>
      </c>
      <c r="E117" t="n">
        <v>2</v>
      </c>
      <c r="F117" t="n">
        <v>5</v>
      </c>
      <c r="G117" t="n">
        <v>40</v>
      </c>
      <c r="H117" t="inlineStr">
        <is>
          <t xml:space="preserve">Muy bueno </t>
        </is>
      </c>
      <c r="I117" t="inlineStr">
        <is>
          <t>OCTAVO</t>
        </is>
      </c>
      <c r="J117" t="inlineStr">
        <is>
          <t>TM</t>
        </is>
      </c>
      <c r="K117" t="n">
        <v>0.04761904761904762</v>
      </c>
    </row>
    <row r="118">
      <c r="A118" t="inlineStr">
        <is>
          <t>Conductual</t>
        </is>
      </c>
      <c r="B118" t="inlineStr">
        <is>
          <t>Ale-30. Se distrae con dispositivos electrónicos.</t>
        </is>
      </c>
      <c r="C118" t="inlineStr">
        <is>
          <t>30. Se distrae con dispositivos electrónicos.</t>
        </is>
      </c>
      <c r="D118" t="inlineStr">
        <is>
          <t>Alerta/Mejora</t>
        </is>
      </c>
      <c r="E118" t="n">
        <v>8</v>
      </c>
      <c r="F118" t="n">
        <v>4</v>
      </c>
      <c r="G118" t="n">
        <v>34</v>
      </c>
      <c r="H118" t="inlineStr">
        <is>
          <t xml:space="preserve">Muy bueno </t>
        </is>
      </c>
      <c r="I118" t="inlineStr">
        <is>
          <t>OCTAVO</t>
        </is>
      </c>
      <c r="J118" t="inlineStr">
        <is>
          <t>TM</t>
        </is>
      </c>
      <c r="K118" t="n">
        <v>0.1904761904761905</v>
      </c>
    </row>
    <row r="119">
      <c r="A119" t="inlineStr">
        <is>
          <t>Conductual</t>
        </is>
      </c>
      <c r="B119" t="inlineStr">
        <is>
          <t>Ale-32. Fomenta el desorden o el caos en el grupo.</t>
        </is>
      </c>
      <c r="C119" t="inlineStr">
        <is>
          <t>32. Fomenta el desorden o el caos en el grupo.</t>
        </is>
      </c>
      <c r="D119" t="inlineStr">
        <is>
          <t>Alerta/Mejora</t>
        </is>
      </c>
      <c r="E119" t="n">
        <v>5</v>
      </c>
      <c r="F119" t="n">
        <v>4</v>
      </c>
      <c r="G119" t="n">
        <v>37</v>
      </c>
      <c r="H119" t="inlineStr">
        <is>
          <t xml:space="preserve">Muy bueno </t>
        </is>
      </c>
      <c r="I119" t="inlineStr">
        <is>
          <t>OCTAVO</t>
        </is>
      </c>
      <c r="J119" t="inlineStr">
        <is>
          <t>TM</t>
        </is>
      </c>
      <c r="K119" t="n">
        <v>0.119047619047619</v>
      </c>
    </row>
    <row r="120">
      <c r="A120" t="inlineStr">
        <is>
          <t>Socio-Emocional</t>
        </is>
      </c>
      <c r="B120" t="inlineStr">
        <is>
          <t>Ale-34. Se rinde fácilmente ante la frustración.</t>
        </is>
      </c>
      <c r="C120" t="inlineStr">
        <is>
          <t>34. Se rinde fácilmente ante la frustración.</t>
        </is>
      </c>
      <c r="D120" t="inlineStr">
        <is>
          <t>Alerta/Mejora</t>
        </is>
      </c>
      <c r="E120" t="n">
        <v>6</v>
      </c>
      <c r="F120" t="n">
        <v>4</v>
      </c>
      <c r="G120" t="n">
        <v>36</v>
      </c>
      <c r="H120" t="inlineStr">
        <is>
          <t xml:space="preserve">Muy bueno </t>
        </is>
      </c>
      <c r="I120" t="inlineStr">
        <is>
          <t>OCTAVO</t>
        </is>
      </c>
      <c r="J120" t="inlineStr">
        <is>
          <t>TM</t>
        </is>
      </c>
      <c r="K120" t="n">
        <v>0.1428571428571428</v>
      </c>
    </row>
    <row r="121">
      <c r="A121" t="inlineStr">
        <is>
          <t>Socio-Emocional</t>
        </is>
      </c>
      <c r="B121" t="inlineStr">
        <is>
          <t>Ale-36. Trabaja de forma aislada o es individualista.</t>
        </is>
      </c>
      <c r="C121" t="inlineStr">
        <is>
          <t>36. Trabaja de forma aislada o es individualista.</t>
        </is>
      </c>
      <c r="D121" t="inlineStr">
        <is>
          <t>Alerta/Mejora</t>
        </is>
      </c>
      <c r="E121" t="n">
        <v>3</v>
      </c>
      <c r="F121" t="n">
        <v>5</v>
      </c>
      <c r="G121" t="n">
        <v>39</v>
      </c>
      <c r="H121" t="inlineStr">
        <is>
          <t xml:space="preserve">Muy bueno </t>
        </is>
      </c>
      <c r="I121" t="inlineStr">
        <is>
          <t>OCTAVO</t>
        </is>
      </c>
      <c r="J121" t="inlineStr">
        <is>
          <t>TM</t>
        </is>
      </c>
      <c r="K121" t="n">
        <v>0.07142857142857142</v>
      </c>
    </row>
    <row r="122">
      <c r="A122" t="inlineStr">
        <is>
          <t>Socio-Emocional</t>
        </is>
      </c>
      <c r="B122" t="inlineStr">
        <is>
          <t>Ale-38. Ignora o se burla de los sentimientos de otros.</t>
        </is>
      </c>
      <c r="C122" t="inlineStr">
        <is>
          <t>38. Ignora o se burla de los sentimientos de otros.</t>
        </is>
      </c>
      <c r="D122" t="inlineStr">
        <is>
          <t>Alerta/Mejora</t>
        </is>
      </c>
      <c r="E122" t="n">
        <v>2</v>
      </c>
      <c r="F122" t="n">
        <v>5</v>
      </c>
      <c r="G122" t="n">
        <v>40</v>
      </c>
      <c r="H122" t="inlineStr">
        <is>
          <t xml:space="preserve">Muy bueno </t>
        </is>
      </c>
      <c r="I122" t="inlineStr">
        <is>
          <t>OCTAVO</t>
        </is>
      </c>
      <c r="J122" t="inlineStr">
        <is>
          <t>TM</t>
        </is>
      </c>
      <c r="K122" t="n">
        <v>0.04761904761904762</v>
      </c>
    </row>
    <row r="123">
      <c r="A123" t="inlineStr">
        <is>
          <t>Socio-Emocional</t>
        </is>
      </c>
      <c r="B123" t="inlineStr">
        <is>
          <t>Ale-40. Ejerce presión negativa o bullying.</t>
        </is>
      </c>
      <c r="C123" t="inlineStr">
        <is>
          <t>40. Ejerce presión negativa o bullying.</t>
        </is>
      </c>
      <c r="D123" t="inlineStr">
        <is>
          <t>Alerta/Mejora</t>
        </is>
      </c>
      <c r="E123" t="n">
        <v>1</v>
      </c>
      <c r="F123" t="n">
        <v>5</v>
      </c>
      <c r="G123" t="n">
        <v>41</v>
      </c>
      <c r="H123" t="inlineStr">
        <is>
          <t xml:space="preserve">Muy bueno </t>
        </is>
      </c>
      <c r="I123" t="inlineStr">
        <is>
          <t>OCTAVO</t>
        </is>
      </c>
      <c r="J123" t="inlineStr">
        <is>
          <t>TM</t>
        </is>
      </c>
      <c r="K123" t="n">
        <v>0.02380952380952381</v>
      </c>
    </row>
    <row r="124">
      <c r="A124" t="inlineStr">
        <is>
          <t>Socio-Emocional</t>
        </is>
      </c>
      <c r="B124" t="inlineStr">
        <is>
          <t>Ale-42. Reacciona de forma agresiva o impulsiva.</t>
        </is>
      </c>
      <c r="C124" t="inlineStr">
        <is>
          <t>42. Reacciona de forma agresiva o impulsiva.</t>
        </is>
      </c>
      <c r="D124" t="inlineStr">
        <is>
          <t>Alerta/Mejora</t>
        </is>
      </c>
      <c r="E124" t="n">
        <v>2</v>
      </c>
      <c r="F124" t="n">
        <v>5</v>
      </c>
      <c r="G124" t="n">
        <v>40</v>
      </c>
      <c r="H124" t="inlineStr">
        <is>
          <t xml:space="preserve">Muy bueno </t>
        </is>
      </c>
      <c r="I124" t="inlineStr">
        <is>
          <t>OCTAVO</t>
        </is>
      </c>
      <c r="J124" t="inlineStr">
        <is>
          <t>TM</t>
        </is>
      </c>
      <c r="K124" t="n">
        <v>0.04761904761904762</v>
      </c>
    </row>
    <row r="125">
      <c r="A125" t="inlineStr">
        <is>
          <t>Socio-Emocional</t>
        </is>
      </c>
      <c r="B125" t="inlineStr">
        <is>
          <t>Ale-44. Expresa inseguridad constante ("no puedo").</t>
        </is>
      </c>
      <c r="C125" t="inlineStr">
        <is>
          <t>44. Expresa inseguridad constante ("no puedo").</t>
        </is>
      </c>
      <c r="D125" t="inlineStr">
        <is>
          <t>Alerta/Mejora</t>
        </is>
      </c>
      <c r="E125" t="n">
        <v>5</v>
      </c>
      <c r="F125" t="n">
        <v>4</v>
      </c>
      <c r="G125" t="n">
        <v>37</v>
      </c>
      <c r="H125" t="inlineStr">
        <is>
          <t xml:space="preserve">Muy bueno </t>
        </is>
      </c>
      <c r="I125" t="inlineStr">
        <is>
          <t>OCTAVO</t>
        </is>
      </c>
      <c r="J125" t="inlineStr">
        <is>
          <t>TM</t>
        </is>
      </c>
      <c r="K125" t="n">
        <v>0.119047619047619</v>
      </c>
    </row>
    <row r="126">
      <c r="A126" t="inlineStr">
        <is>
          <t>Actitudinal</t>
        </is>
      </c>
      <c r="B126" t="inlineStr">
        <is>
          <t>Ale-46. Requiere estímulos externos para trabajar.</t>
        </is>
      </c>
      <c r="C126" t="inlineStr">
        <is>
          <t>46. Requiere estímulos externos para trabajar.</t>
        </is>
      </c>
      <c r="D126" t="inlineStr">
        <is>
          <t>Alerta/Mejora</t>
        </is>
      </c>
      <c r="E126" t="n">
        <v>7</v>
      </c>
      <c r="F126" t="n">
        <v>4</v>
      </c>
      <c r="G126" t="n">
        <v>35</v>
      </c>
      <c r="H126" t="inlineStr">
        <is>
          <t xml:space="preserve">Muy bueno </t>
        </is>
      </c>
      <c r="I126" t="inlineStr">
        <is>
          <t>OCTAVO</t>
        </is>
      </c>
      <c r="J126" t="inlineStr">
        <is>
          <t>TM</t>
        </is>
      </c>
      <c r="K126" t="n">
        <v>0.1666666666666667</v>
      </c>
    </row>
    <row r="127">
      <c r="A127" t="inlineStr">
        <is>
          <t>Actitudinal</t>
        </is>
      </c>
      <c r="B127" t="inlineStr">
        <is>
          <t>Ale-48. Abandona proyectos a mitad de camino.</t>
        </is>
      </c>
      <c r="C127" t="inlineStr">
        <is>
          <t>48. Abandona proyectos a mitad de camino.</t>
        </is>
      </c>
      <c r="D127" t="inlineStr">
        <is>
          <t>Alerta/Mejora</t>
        </is>
      </c>
      <c r="E127" t="n">
        <v>3</v>
      </c>
      <c r="F127" t="n">
        <v>5</v>
      </c>
      <c r="G127" t="n">
        <v>39</v>
      </c>
      <c r="H127" t="inlineStr">
        <is>
          <t xml:space="preserve">Muy bueno </t>
        </is>
      </c>
      <c r="I127" t="inlineStr">
        <is>
          <t>OCTAVO</t>
        </is>
      </c>
      <c r="J127" t="inlineStr">
        <is>
          <t>TM</t>
        </is>
      </c>
      <c r="K127" t="n">
        <v>0.07142857142857142</v>
      </c>
    </row>
    <row r="128">
      <c r="A128" t="inlineStr">
        <is>
          <t>Actitudinal</t>
        </is>
      </c>
      <c r="B128" t="inlineStr">
        <is>
          <t>Ale-50. Se muestra a la defensiva ante críticas.</t>
        </is>
      </c>
      <c r="C128" t="inlineStr">
        <is>
          <t>50. Se muestra a la defensiva ante críticas.</t>
        </is>
      </c>
      <c r="D128" t="inlineStr">
        <is>
          <t>Alerta/Mejora</t>
        </is>
      </c>
      <c r="E128" t="n">
        <v>4</v>
      </c>
      <c r="F128" t="n">
        <v>4</v>
      </c>
      <c r="G128" t="n">
        <v>38</v>
      </c>
      <c r="H128" t="inlineStr">
        <is>
          <t xml:space="preserve">Muy bueno </t>
        </is>
      </c>
      <c r="I128" t="inlineStr">
        <is>
          <t>OCTAVO</t>
        </is>
      </c>
      <c r="J128" t="inlineStr">
        <is>
          <t>TM</t>
        </is>
      </c>
      <c r="K128" t="n">
        <v>0.09523809523809523</v>
      </c>
    </row>
    <row r="129">
      <c r="A129" t="inlineStr">
        <is>
          <t>Académica</t>
        </is>
      </c>
      <c r="B129" t="inlineStr">
        <is>
          <t>For-01. Domina los conceptos clave del grado.</t>
        </is>
      </c>
      <c r="C129" t="inlineStr">
        <is>
          <t>01. Domina los conceptos clave del grado.</t>
        </is>
      </c>
      <c r="D129" t="inlineStr">
        <is>
          <t>Fortaleza/Logro</t>
        </is>
      </c>
      <c r="E129" t="n">
        <v>12</v>
      </c>
      <c r="F129" t="n">
        <v>1</v>
      </c>
      <c r="G129" t="n">
        <v>12</v>
      </c>
      <c r="H129" t="inlineStr">
        <is>
          <t>A mejorar</t>
        </is>
      </c>
      <c r="I129" t="inlineStr">
        <is>
          <t>OCTAVO</t>
        </is>
      </c>
      <c r="J129" t="inlineStr">
        <is>
          <t>TM</t>
        </is>
      </c>
      <c r="K129" t="n">
        <v>0.2857142857142857</v>
      </c>
    </row>
    <row r="130">
      <c r="A130" t="inlineStr">
        <is>
          <t>Académica</t>
        </is>
      </c>
      <c r="B130" t="inlineStr">
        <is>
          <t>For-03. Posee un pensamiento crítico y analítico.</t>
        </is>
      </c>
      <c r="C130" t="inlineStr">
        <is>
          <t>03. Posee un pensamiento crítico y analítico.</t>
        </is>
      </c>
      <c r="D130" t="inlineStr">
        <is>
          <t>Fortaleza/Logro</t>
        </is>
      </c>
      <c r="E130" t="n">
        <v>11</v>
      </c>
      <c r="F130" t="n">
        <v>1</v>
      </c>
      <c r="G130" t="n">
        <v>11</v>
      </c>
      <c r="H130" t="inlineStr">
        <is>
          <t>A mejorar</t>
        </is>
      </c>
      <c r="I130" t="inlineStr">
        <is>
          <t>OCTAVO</t>
        </is>
      </c>
      <c r="J130" t="inlineStr">
        <is>
          <t>TM</t>
        </is>
      </c>
      <c r="K130" t="n">
        <v>0.2619047619047619</v>
      </c>
    </row>
    <row r="131">
      <c r="A131" t="inlineStr">
        <is>
          <t>Académica</t>
        </is>
      </c>
      <c r="B131" t="inlineStr">
        <is>
          <t>For-05. Entrega trabajos con alta calidad y orden.</t>
        </is>
      </c>
      <c r="C131" t="inlineStr">
        <is>
          <t>05. Entrega trabajos con alta calidad y orden.</t>
        </is>
      </c>
      <c r="D131" t="inlineStr">
        <is>
          <t>Fortaleza/Logro</t>
        </is>
      </c>
      <c r="E131" t="n">
        <v>13</v>
      </c>
      <c r="F131" t="n">
        <v>1</v>
      </c>
      <c r="G131" t="n">
        <v>13</v>
      </c>
      <c r="H131" t="inlineStr">
        <is>
          <t>A mejorar</t>
        </is>
      </c>
      <c r="I131" t="inlineStr">
        <is>
          <t>OCTAVO</t>
        </is>
      </c>
      <c r="J131" t="inlineStr">
        <is>
          <t>TM</t>
        </is>
      </c>
      <c r="K131" t="n">
        <v>0.3095238095238095</v>
      </c>
    </row>
    <row r="132">
      <c r="A132" t="inlineStr">
        <is>
          <t>Académica</t>
        </is>
      </c>
      <c r="B132" t="inlineStr">
        <is>
          <t>For-07. Resuelve problemas lógicos con fluidez.</t>
        </is>
      </c>
      <c r="C132" t="inlineStr">
        <is>
          <t>07. Resuelve problemas lógicos con fluidez.</t>
        </is>
      </c>
      <c r="D132" t="inlineStr">
        <is>
          <t>Fortaleza/Logro</t>
        </is>
      </c>
      <c r="E132" t="n">
        <v>10</v>
      </c>
      <c r="F132" t="n">
        <v>1</v>
      </c>
      <c r="G132" t="n">
        <v>10</v>
      </c>
      <c r="H132" t="inlineStr">
        <is>
          <t>A mejorar</t>
        </is>
      </c>
      <c r="I132" t="inlineStr">
        <is>
          <t>OCTAVO</t>
        </is>
      </c>
      <c r="J132" t="inlineStr">
        <is>
          <t>TM</t>
        </is>
      </c>
      <c r="K132" t="n">
        <v>0.2380952380952381</v>
      </c>
    </row>
    <row r="133">
      <c r="A133" t="inlineStr">
        <is>
          <t>Académica</t>
        </is>
      </c>
      <c r="B133" t="inlineStr">
        <is>
          <t>For-09. Utiliza vocabulario técnico preciso.</t>
        </is>
      </c>
      <c r="C133" t="inlineStr">
        <is>
          <t>09. Utiliza vocabulario técnico preciso.</t>
        </is>
      </c>
      <c r="D133" t="inlineStr">
        <is>
          <t>Fortaleza/Logro</t>
        </is>
      </c>
      <c r="E133" t="n">
        <v>12</v>
      </c>
      <c r="F133" t="n">
        <v>1</v>
      </c>
      <c r="G133" t="n">
        <v>12</v>
      </c>
      <c r="H133" t="inlineStr">
        <is>
          <t>A mejorar</t>
        </is>
      </c>
      <c r="I133" t="inlineStr">
        <is>
          <t>OCTAVO</t>
        </is>
      </c>
      <c r="J133" t="inlineStr">
        <is>
          <t>TM</t>
        </is>
      </c>
      <c r="K133" t="n">
        <v>0.2857142857142857</v>
      </c>
    </row>
    <row r="134">
      <c r="A134" t="inlineStr">
        <is>
          <t>Académica</t>
        </is>
      </c>
      <c r="B134" t="inlineStr">
        <is>
          <t>For-11. Posee excelentes hábitos de lectura.</t>
        </is>
      </c>
      <c r="C134" t="inlineStr">
        <is>
          <t>11. Posee excelentes hábitos de lectura.</t>
        </is>
      </c>
      <c r="D134" t="inlineStr">
        <is>
          <t>Fortaleza/Logro</t>
        </is>
      </c>
      <c r="E134" t="n">
        <v>11</v>
      </c>
      <c r="F134" t="n">
        <v>1</v>
      </c>
      <c r="G134" t="n">
        <v>11</v>
      </c>
      <c r="H134" t="inlineStr">
        <is>
          <t>A mejorar</t>
        </is>
      </c>
      <c r="I134" t="inlineStr">
        <is>
          <t>OCTAVO</t>
        </is>
      </c>
      <c r="J134" t="inlineStr">
        <is>
          <t>TM</t>
        </is>
      </c>
      <c r="K134" t="n">
        <v>0.2619047619047619</v>
      </c>
    </row>
    <row r="135">
      <c r="A135" t="inlineStr">
        <is>
          <t>Académica</t>
        </is>
      </c>
      <c r="B135" t="inlineStr">
        <is>
          <t>For-13. Es autónomo en la realización de tareas.</t>
        </is>
      </c>
      <c r="C135" t="inlineStr">
        <is>
          <t>13. Es autónomo en la realización de tareas.</t>
        </is>
      </c>
      <c r="D135" t="inlineStr">
        <is>
          <t>Fortaleza/Logro</t>
        </is>
      </c>
      <c r="E135" t="n">
        <v>14</v>
      </c>
      <c r="F135" t="n">
        <v>1</v>
      </c>
      <c r="G135" t="n">
        <v>14</v>
      </c>
      <c r="H135" t="inlineStr">
        <is>
          <t>A mejorar</t>
        </is>
      </c>
      <c r="I135" t="inlineStr">
        <is>
          <t>OCTAVO</t>
        </is>
      </c>
      <c r="J135" t="inlineStr">
        <is>
          <t>TM</t>
        </is>
      </c>
      <c r="K135" t="n">
        <v>0.3333333333333333</v>
      </c>
    </row>
    <row r="136">
      <c r="A136" t="inlineStr">
        <is>
          <t>Académica</t>
        </is>
      </c>
      <c r="B136" t="inlineStr">
        <is>
          <t>For-15. Investiga más allá de lo solicitado.</t>
        </is>
      </c>
      <c r="C136" t="inlineStr">
        <is>
          <t>15. Investiga más allá de lo solicitado.</t>
        </is>
      </c>
      <c r="D136" t="inlineStr">
        <is>
          <t>Fortaleza/Logro</t>
        </is>
      </c>
      <c r="E136" t="n">
        <v>10</v>
      </c>
      <c r="F136" t="n">
        <v>1</v>
      </c>
      <c r="G136" t="n">
        <v>10</v>
      </c>
      <c r="H136" t="inlineStr">
        <is>
          <t>A mejorar</t>
        </is>
      </c>
      <c r="I136" t="inlineStr">
        <is>
          <t>OCTAVO</t>
        </is>
      </c>
      <c r="J136" t="inlineStr">
        <is>
          <t>TM</t>
        </is>
      </c>
      <c r="K136" t="n">
        <v>0.2380952380952381</v>
      </c>
    </row>
    <row r="137">
      <c r="A137" t="inlineStr">
        <is>
          <t>Conductual</t>
        </is>
      </c>
      <c r="B137" t="inlineStr">
        <is>
          <t>For-17. Respeta las normas de convivencia.</t>
        </is>
      </c>
      <c r="C137" t="inlineStr">
        <is>
          <t>17. Respeta las normas de convivencia.</t>
        </is>
      </c>
      <c r="D137" t="inlineStr">
        <is>
          <t>Fortaleza/Logro</t>
        </is>
      </c>
      <c r="E137" t="n">
        <v>13</v>
      </c>
      <c r="F137" t="n">
        <v>1</v>
      </c>
      <c r="G137" t="n">
        <v>13</v>
      </c>
      <c r="H137" t="inlineStr">
        <is>
          <t>A mejorar</t>
        </is>
      </c>
      <c r="I137" t="inlineStr">
        <is>
          <t>OCTAVO</t>
        </is>
      </c>
      <c r="J137" t="inlineStr">
        <is>
          <t>TM</t>
        </is>
      </c>
      <c r="K137" t="n">
        <v>0.3095238095238095</v>
      </c>
    </row>
    <row r="138">
      <c r="A138" t="inlineStr">
        <is>
          <t>Conductual</t>
        </is>
      </c>
      <c r="B138" t="inlineStr">
        <is>
          <t>For-19. Es puntual en todas sus obligaciones.</t>
        </is>
      </c>
      <c r="C138" t="inlineStr">
        <is>
          <t>19. Es puntual en todas sus obligaciones.</t>
        </is>
      </c>
      <c r="D138" t="inlineStr">
        <is>
          <t>Fortaleza/Logro</t>
        </is>
      </c>
      <c r="E138" t="n">
        <v>12</v>
      </c>
      <c r="F138" t="n">
        <v>1</v>
      </c>
      <c r="G138" t="n">
        <v>12</v>
      </c>
      <c r="H138" t="inlineStr">
        <is>
          <t>A mejorar</t>
        </is>
      </c>
      <c r="I138" t="inlineStr">
        <is>
          <t>OCTAVO</t>
        </is>
      </c>
      <c r="J138" t="inlineStr">
        <is>
          <t>TM</t>
        </is>
      </c>
      <c r="K138" t="n">
        <v>0.2857142857142857</v>
      </c>
    </row>
    <row r="139">
      <c r="A139" t="inlineStr">
        <is>
          <t>Conductual</t>
        </is>
      </c>
      <c r="B139" t="inlineStr">
        <is>
          <t>For-21. Cuida el material propio y ajeno.</t>
        </is>
      </c>
      <c r="C139" t="inlineStr">
        <is>
          <t>21. Cuida el material propio y ajeno.</t>
        </is>
      </c>
      <c r="D139" t="inlineStr">
        <is>
          <t>Fortaleza/Logro</t>
        </is>
      </c>
      <c r="E139" t="n">
        <v>14</v>
      </c>
      <c r="F139" t="n">
        <v>1</v>
      </c>
      <c r="G139" t="n">
        <v>14</v>
      </c>
      <c r="H139" t="inlineStr">
        <is>
          <t>A mejorar</t>
        </is>
      </c>
      <c r="I139" t="inlineStr">
        <is>
          <t>OCTAVO</t>
        </is>
      </c>
      <c r="J139" t="inlineStr">
        <is>
          <t>TM</t>
        </is>
      </c>
      <c r="K139" t="n">
        <v>0.3333333333333333</v>
      </c>
    </row>
    <row r="140">
      <c r="A140" t="inlineStr">
        <is>
          <t>Conductual</t>
        </is>
      </c>
      <c r="B140" t="inlineStr">
        <is>
          <t>For-23. Escucha con atención y no interrumpe.</t>
        </is>
      </c>
      <c r="C140" t="inlineStr">
        <is>
          <t>23. Escucha con atención y no interrumpe.</t>
        </is>
      </c>
      <c r="D140" t="inlineStr">
        <is>
          <t>Fortaleza/Logro</t>
        </is>
      </c>
      <c r="E140" t="n">
        <v>12</v>
      </c>
      <c r="F140" t="n">
        <v>1</v>
      </c>
      <c r="G140" t="n">
        <v>12</v>
      </c>
      <c r="H140" t="inlineStr">
        <is>
          <t>A mejorar</t>
        </is>
      </c>
      <c r="I140" t="inlineStr">
        <is>
          <t>OCTAVO</t>
        </is>
      </c>
      <c r="J140" t="inlineStr">
        <is>
          <t>TM</t>
        </is>
      </c>
      <c r="K140" t="n">
        <v>0.2857142857142857</v>
      </c>
    </row>
    <row r="141">
      <c r="A141" t="inlineStr">
        <is>
          <t>Conductual</t>
        </is>
      </c>
      <c r="B141" t="inlineStr">
        <is>
          <t>For-25. Utiliza el lenguaje de forma respetuosa.</t>
        </is>
      </c>
      <c r="C141" t="inlineStr">
        <is>
          <t>25. Utiliza el lenguaje de forma respetuosa.</t>
        </is>
      </c>
      <c r="D141" t="inlineStr">
        <is>
          <t>Fortaleza/Logro</t>
        </is>
      </c>
      <c r="E141" t="n">
        <v>14</v>
      </c>
      <c r="F141" t="n">
        <v>1</v>
      </c>
      <c r="G141" t="n">
        <v>14</v>
      </c>
      <c r="H141" t="inlineStr">
        <is>
          <t>A mejorar</t>
        </is>
      </c>
      <c r="I141" t="inlineStr">
        <is>
          <t>OCTAVO</t>
        </is>
      </c>
      <c r="J141" t="inlineStr">
        <is>
          <t>TM</t>
        </is>
      </c>
      <c r="K141" t="n">
        <v>0.3333333333333333</v>
      </c>
    </row>
    <row r="142">
      <c r="A142" t="inlineStr">
        <is>
          <t>Conductual</t>
        </is>
      </c>
      <c r="B142" t="inlineStr">
        <is>
          <t>For-27. Reconoce sus errores honestamente.</t>
        </is>
      </c>
      <c r="C142" t="inlineStr">
        <is>
          <t>27. Reconoce sus errores honestamente.</t>
        </is>
      </c>
      <c r="D142" t="inlineStr">
        <is>
          <t>Fortaleza/Logro</t>
        </is>
      </c>
      <c r="E142" t="n">
        <v>13</v>
      </c>
      <c r="F142" t="n">
        <v>1</v>
      </c>
      <c r="G142" t="n">
        <v>13</v>
      </c>
      <c r="H142" t="inlineStr">
        <is>
          <t>A mejorar</t>
        </is>
      </c>
      <c r="I142" t="inlineStr">
        <is>
          <t>OCTAVO</t>
        </is>
      </c>
      <c r="J142" t="inlineStr">
        <is>
          <t>TM</t>
        </is>
      </c>
      <c r="K142" t="n">
        <v>0.3095238095238095</v>
      </c>
    </row>
    <row r="143">
      <c r="A143" t="inlineStr">
        <is>
          <t>Conductual</t>
        </is>
      </c>
      <c r="B143" t="inlineStr">
        <is>
          <t>For-29. Usa la tecnología con fines educativos.</t>
        </is>
      </c>
      <c r="C143" t="inlineStr">
        <is>
          <t>29. Usa la tecnología con fines educativos.</t>
        </is>
      </c>
      <c r="D143" t="inlineStr">
        <is>
          <t>Fortaleza/Logro</t>
        </is>
      </c>
      <c r="E143" t="n">
        <v>11</v>
      </c>
      <c r="F143" t="n">
        <v>1</v>
      </c>
      <c r="G143" t="n">
        <v>11</v>
      </c>
      <c r="H143" t="inlineStr">
        <is>
          <t>A mejorar</t>
        </is>
      </c>
      <c r="I143" t="inlineStr">
        <is>
          <t>OCTAVO</t>
        </is>
      </c>
      <c r="J143" t="inlineStr">
        <is>
          <t>TM</t>
        </is>
      </c>
      <c r="K143" t="n">
        <v>0.2619047619047619</v>
      </c>
    </row>
    <row r="144">
      <c r="A144" t="inlineStr">
        <is>
          <t>Conductual</t>
        </is>
      </c>
      <c r="B144" t="inlineStr">
        <is>
          <t>For-31. Mantiene el orden en espacios comunes.</t>
        </is>
      </c>
      <c r="C144" t="inlineStr">
        <is>
          <t>31. Mantiene el orden en espacios comunes.</t>
        </is>
      </c>
      <c r="D144" t="inlineStr">
        <is>
          <t>Fortaleza/Logro</t>
        </is>
      </c>
      <c r="E144" t="n">
        <v>12</v>
      </c>
      <c r="F144" t="n">
        <v>1</v>
      </c>
      <c r="G144" t="n">
        <v>12</v>
      </c>
      <c r="H144" t="inlineStr">
        <is>
          <t>A mejorar</t>
        </is>
      </c>
      <c r="I144" t="inlineStr">
        <is>
          <t>OCTAVO</t>
        </is>
      </c>
      <c r="J144" t="inlineStr">
        <is>
          <t>TM</t>
        </is>
      </c>
      <c r="K144" t="n">
        <v>0.2857142857142857</v>
      </c>
    </row>
    <row r="145">
      <c r="A145" t="inlineStr">
        <is>
          <t>Socio-Emocional</t>
        </is>
      </c>
      <c r="B145" t="inlineStr">
        <is>
          <t>For-33. Muestra resiliencia ante el fracaso.</t>
        </is>
      </c>
      <c r="C145" t="inlineStr">
        <is>
          <t>33. Muestra resiliencia ante el fracaso.</t>
        </is>
      </c>
      <c r="D145" t="inlineStr">
        <is>
          <t>Fortaleza/Logro</t>
        </is>
      </c>
      <c r="E145" t="n">
        <v>11</v>
      </c>
      <c r="F145" t="n">
        <v>1</v>
      </c>
      <c r="G145" t="n">
        <v>11</v>
      </c>
      <c r="H145" t="inlineStr">
        <is>
          <t>A mejorar</t>
        </is>
      </c>
      <c r="I145" t="inlineStr">
        <is>
          <t>OCTAVO</t>
        </is>
      </c>
      <c r="J145" t="inlineStr">
        <is>
          <t>TM</t>
        </is>
      </c>
      <c r="K145" t="n">
        <v>0.2619047619047619</v>
      </c>
    </row>
    <row r="146">
      <c r="A146" t="inlineStr">
        <is>
          <t>Socio-Emocional</t>
        </is>
      </c>
      <c r="B146" t="inlineStr">
        <is>
          <t>For-35. Trabaja de forma colaborativa y equitativa.</t>
        </is>
      </c>
      <c r="C146" t="inlineStr">
        <is>
          <t>35. Trabaja de forma colaborativa y equitativa.</t>
        </is>
      </c>
      <c r="D146" t="inlineStr">
        <is>
          <t>Fortaleza/Logro</t>
        </is>
      </c>
      <c r="E146" t="n">
        <v>14</v>
      </c>
      <c r="F146" t="n">
        <v>1</v>
      </c>
      <c r="G146" t="n">
        <v>14</v>
      </c>
      <c r="H146" t="inlineStr">
        <is>
          <t>A mejorar</t>
        </is>
      </c>
      <c r="I146" t="inlineStr">
        <is>
          <t>OCTAVO</t>
        </is>
      </c>
      <c r="J146" t="inlineStr">
        <is>
          <t>TM</t>
        </is>
      </c>
      <c r="K146" t="n">
        <v>0.3333333333333333</v>
      </c>
    </row>
    <row r="147">
      <c r="A147" t="inlineStr">
        <is>
          <t>Socio-Emocional</t>
        </is>
      </c>
      <c r="B147" t="inlineStr">
        <is>
          <t>For-37. Es empático con las necesidades ajenas.</t>
        </is>
      </c>
      <c r="C147" t="inlineStr">
        <is>
          <t>37. Es empático con las necesidades ajenas.</t>
        </is>
      </c>
      <c r="D147" t="inlineStr">
        <is>
          <t>Fortaleza/Logro</t>
        </is>
      </c>
      <c r="E147" t="n">
        <v>13</v>
      </c>
      <c r="F147" t="n">
        <v>1</v>
      </c>
      <c r="G147" t="n">
        <v>13</v>
      </c>
      <c r="H147" t="inlineStr">
        <is>
          <t>A mejorar</t>
        </is>
      </c>
      <c r="I147" t="inlineStr">
        <is>
          <t>OCTAVO</t>
        </is>
      </c>
      <c r="J147" t="inlineStr">
        <is>
          <t>TM</t>
        </is>
      </c>
      <c r="K147" t="n">
        <v>0.3095238095238095</v>
      </c>
    </row>
    <row r="148">
      <c r="A148" t="inlineStr">
        <is>
          <t>Socio-Emocional</t>
        </is>
      </c>
      <c r="B148" t="inlineStr">
        <is>
          <t>For-39. Posee un liderazgo positivo y ético.</t>
        </is>
      </c>
      <c r="C148" t="inlineStr">
        <is>
          <t>39. Posee un liderazgo positivo y ético.</t>
        </is>
      </c>
      <c r="D148" t="inlineStr">
        <is>
          <t>Fortaleza/Logro</t>
        </is>
      </c>
      <c r="E148" t="n">
        <v>11</v>
      </c>
      <c r="F148" t="n">
        <v>1</v>
      </c>
      <c r="G148" t="n">
        <v>11</v>
      </c>
      <c r="H148" t="inlineStr">
        <is>
          <t>A mejorar</t>
        </is>
      </c>
      <c r="I148" t="inlineStr">
        <is>
          <t>OCTAVO</t>
        </is>
      </c>
      <c r="J148" t="inlineStr">
        <is>
          <t>TM</t>
        </is>
      </c>
      <c r="K148" t="n">
        <v>0.2619047619047619</v>
      </c>
    </row>
    <row r="149">
      <c r="A149" t="inlineStr">
        <is>
          <t>Socio-Emocional</t>
        </is>
      </c>
      <c r="B149" t="inlineStr">
        <is>
          <t>For-41. Se comunica de manera asertiva.</t>
        </is>
      </c>
      <c r="C149" t="inlineStr">
        <is>
          <t>41. Se comunica de manera asertiva.</t>
        </is>
      </c>
      <c r="D149" t="inlineStr">
        <is>
          <t>Fortaleza/Logro</t>
        </is>
      </c>
      <c r="E149" t="n">
        <v>12</v>
      </c>
      <c r="F149" t="n">
        <v>1</v>
      </c>
      <c r="G149" t="n">
        <v>12</v>
      </c>
      <c r="H149" t="inlineStr">
        <is>
          <t>A mejorar</t>
        </is>
      </c>
      <c r="I149" t="inlineStr">
        <is>
          <t>OCTAVO</t>
        </is>
      </c>
      <c r="J149" t="inlineStr">
        <is>
          <t>TM</t>
        </is>
      </c>
      <c r="K149" t="n">
        <v>0.2857142857142857</v>
      </c>
    </row>
    <row r="150">
      <c r="A150" t="inlineStr">
        <is>
          <t>Socio-Emocional</t>
        </is>
      </c>
      <c r="B150" t="inlineStr">
        <is>
          <t>For-43. Tiene una autoestima académica sólida.</t>
        </is>
      </c>
      <c r="C150" t="inlineStr">
        <is>
          <t>43. Tiene una autoestima académica sólida.</t>
        </is>
      </c>
      <c r="D150" t="inlineStr">
        <is>
          <t>Fortaleza/Logro</t>
        </is>
      </c>
      <c r="E150" t="n">
        <v>12</v>
      </c>
      <c r="F150" t="n">
        <v>1</v>
      </c>
      <c r="G150" t="n">
        <v>12</v>
      </c>
      <c r="H150" t="inlineStr">
        <is>
          <t>A mejorar</t>
        </is>
      </c>
      <c r="I150" t="inlineStr">
        <is>
          <t>OCTAVO</t>
        </is>
      </c>
      <c r="J150" t="inlineStr">
        <is>
          <t>TM</t>
        </is>
      </c>
      <c r="K150" t="n">
        <v>0.2857142857142857</v>
      </c>
    </row>
    <row r="151">
      <c r="A151" t="inlineStr">
        <is>
          <t>Actitudinal</t>
        </is>
      </c>
      <c r="B151" t="inlineStr">
        <is>
          <t>For-45. Muestra curiosidad e iniciativa propia.</t>
        </is>
      </c>
      <c r="C151" t="inlineStr">
        <is>
          <t>45. Muestra curiosidad e iniciativa propia.</t>
        </is>
      </c>
      <c r="D151" t="inlineStr">
        <is>
          <t>Fortaleza/Logro</t>
        </is>
      </c>
      <c r="E151" t="n">
        <v>14</v>
      </c>
      <c r="F151" t="n">
        <v>1</v>
      </c>
      <c r="G151" t="n">
        <v>14</v>
      </c>
      <c r="H151" t="inlineStr">
        <is>
          <t>A mejorar</t>
        </is>
      </c>
      <c r="I151" t="inlineStr">
        <is>
          <t>OCTAVO</t>
        </is>
      </c>
      <c r="J151" t="inlineStr">
        <is>
          <t>TM</t>
        </is>
      </c>
      <c r="K151" t="n">
        <v>0.3333333333333333</v>
      </c>
    </row>
    <row r="152">
      <c r="A152" t="inlineStr">
        <is>
          <t>Actitudinal</t>
        </is>
      </c>
      <c r="B152" t="inlineStr">
        <is>
          <t>For-47. Es persistente en tareas complejas.</t>
        </is>
      </c>
      <c r="C152" t="inlineStr">
        <is>
          <t>47. Es persistente en tareas complejas.</t>
        </is>
      </c>
      <c r="D152" t="inlineStr">
        <is>
          <t>Fortaleza/Logro</t>
        </is>
      </c>
      <c r="E152" t="n">
        <v>11</v>
      </c>
      <c r="F152" t="n">
        <v>1</v>
      </c>
      <c r="G152" t="n">
        <v>11</v>
      </c>
      <c r="H152" t="inlineStr">
        <is>
          <t>A mejorar</t>
        </is>
      </c>
      <c r="I152" t="inlineStr">
        <is>
          <t>OCTAVO</t>
        </is>
      </c>
      <c r="J152" t="inlineStr">
        <is>
          <t>TM</t>
        </is>
      </c>
      <c r="K152" t="n">
        <v>0.2619047619047619</v>
      </c>
    </row>
    <row r="153">
      <c r="A153" t="inlineStr">
        <is>
          <t>Actitudinal</t>
        </is>
      </c>
      <c r="B153" t="inlineStr">
        <is>
          <t>For-49. Acepta retroalimentación constructiva.</t>
        </is>
      </c>
      <c r="C153" t="inlineStr">
        <is>
          <t>49. Acepta retroalimentación constructiva.</t>
        </is>
      </c>
      <c r="D153" t="inlineStr">
        <is>
          <t>Fortaleza/Logro</t>
        </is>
      </c>
      <c r="E153" t="n">
        <v>13</v>
      </c>
      <c r="F153" t="n">
        <v>1</v>
      </c>
      <c r="G153" t="n">
        <v>13</v>
      </c>
      <c r="H153" t="inlineStr">
        <is>
          <t>A mejorar</t>
        </is>
      </c>
      <c r="I153" t="inlineStr">
        <is>
          <t>OCTAVO</t>
        </is>
      </c>
      <c r="J153" t="inlineStr">
        <is>
          <t>TM</t>
        </is>
      </c>
      <c r="K153" t="n">
        <v>0.3095238095238095</v>
      </c>
    </row>
    <row r="154">
      <c r="A154">
        <f t="array" ref="A154:K204">+noveno_tabla</f>
        <v/>
      </c>
      <c r="B154" t="inlineStr">
        <is>
          <t xml:space="preserve">Indicador </t>
        </is>
      </c>
      <c r="C154" t="inlineStr">
        <is>
          <t xml:space="preserve">Indicador </t>
        </is>
      </c>
      <c r="D154" t="inlineStr">
        <is>
          <t>Tipo de Indicador</t>
        </is>
      </c>
      <c r="E154" t="inlineStr">
        <is>
          <t>Cantidad de veces</t>
        </is>
      </c>
      <c r="F154" t="inlineStr">
        <is>
          <t>NOTA</t>
        </is>
      </c>
      <c r="G154" t="inlineStr">
        <is>
          <t>PR</t>
        </is>
      </c>
      <c r="H154" t="inlineStr">
        <is>
          <t>VALORACION</t>
        </is>
      </c>
      <c r="I154" t="inlineStr">
        <is>
          <t>GRADO</t>
        </is>
      </c>
      <c r="J154" t="inlineStr">
        <is>
          <t>TURNO</t>
        </is>
      </c>
      <c r="K154" t="inlineStr">
        <is>
          <t>NF</t>
        </is>
      </c>
    </row>
    <row r="155">
      <c r="A155" t="inlineStr">
        <is>
          <t>Académica</t>
        </is>
      </c>
      <c r="B155" t="inlineStr">
        <is>
          <t>Ale-02. Presenta lagunas en conocimientos previos.</t>
        </is>
      </c>
      <c r="C155" t="inlineStr">
        <is>
          <t>02. Presenta lagunas en conocimientos previos.</t>
        </is>
      </c>
      <c r="D155" t="inlineStr">
        <is>
          <t>Alerta/Mejora</t>
        </is>
      </c>
      <c r="E155" t="n">
        <v>14</v>
      </c>
      <c r="F155" t="n">
        <v>2</v>
      </c>
      <c r="G155" t="n">
        <v>28</v>
      </c>
      <c r="H155" t="inlineStr">
        <is>
          <t>A mejorar</t>
        </is>
      </c>
      <c r="I155" t="inlineStr">
        <is>
          <t>NOVENO</t>
        </is>
      </c>
      <c r="J155" t="inlineStr">
        <is>
          <t>TM</t>
        </is>
      </c>
      <c r="K155" t="n">
        <v>0.3333333333333333</v>
      </c>
    </row>
    <row r="156">
      <c r="A156" t="inlineStr">
        <is>
          <t>Académica</t>
        </is>
      </c>
      <c r="B156" t="inlineStr">
        <is>
          <t>Ale-04. Se limita a memorizar sin comprender.</t>
        </is>
      </c>
      <c r="C156" t="inlineStr">
        <is>
          <t>04. Se limita a memorizar sin comprender.</t>
        </is>
      </c>
      <c r="D156" t="inlineStr">
        <is>
          <t>Alerta/Mejora</t>
        </is>
      </c>
      <c r="E156" t="n">
        <v>12</v>
      </c>
      <c r="F156" t="n">
        <v>3</v>
      </c>
      <c r="G156" t="n">
        <v>30</v>
      </c>
      <c r="H156" t="inlineStr">
        <is>
          <t>Bueno</t>
        </is>
      </c>
      <c r="I156" t="inlineStr">
        <is>
          <t>NOVENO</t>
        </is>
      </c>
      <c r="J156" t="inlineStr">
        <is>
          <t>TM</t>
        </is>
      </c>
      <c r="K156" t="n">
        <v>0.2857142857142857</v>
      </c>
    </row>
    <row r="157">
      <c r="A157" t="inlineStr">
        <is>
          <t>Académica</t>
        </is>
      </c>
      <c r="B157" t="inlineStr">
        <is>
          <t>Ale-06. Entrega tareas incompletas o descuidadas.</t>
        </is>
      </c>
      <c r="C157" t="inlineStr">
        <is>
          <t>06. Entrega tareas incompletas o descuidadas.</t>
        </is>
      </c>
      <c r="D157" t="inlineStr">
        <is>
          <t>Alerta/Mejora</t>
        </is>
      </c>
      <c r="E157" t="n">
        <v>9</v>
      </c>
      <c r="F157" t="n">
        <v>3</v>
      </c>
      <c r="G157" t="n">
        <v>33</v>
      </c>
      <c r="H157" t="inlineStr">
        <is>
          <t>Bueno</t>
        </is>
      </c>
      <c r="I157" t="inlineStr">
        <is>
          <t>NOVENO</t>
        </is>
      </c>
      <c r="J157" t="inlineStr">
        <is>
          <t>TM</t>
        </is>
      </c>
      <c r="K157" t="n">
        <v>0.2142857142857143</v>
      </c>
    </row>
    <row r="158">
      <c r="A158" t="inlineStr">
        <is>
          <t>Académica</t>
        </is>
      </c>
      <c r="B158" t="inlineStr">
        <is>
          <t>Ale-08. Se bloquea ante desafíos matemáticos.</t>
        </is>
      </c>
      <c r="C158" t="inlineStr">
        <is>
          <t>08. Se bloquea ante desafíos matemáticos.</t>
        </is>
      </c>
      <c r="D158" t="inlineStr">
        <is>
          <t>Alerta/Mejora</t>
        </is>
      </c>
      <c r="E158" t="n">
        <v>15</v>
      </c>
      <c r="F158" t="n">
        <v>2</v>
      </c>
      <c r="G158" t="n">
        <v>27</v>
      </c>
      <c r="H158" t="inlineStr">
        <is>
          <t>A mejorar</t>
        </is>
      </c>
      <c r="I158" t="inlineStr">
        <is>
          <t>NOVENO</t>
        </is>
      </c>
      <c r="J158" t="inlineStr">
        <is>
          <t>TM</t>
        </is>
      </c>
      <c r="K158" t="n">
        <v>0.3571428571428572</v>
      </c>
    </row>
    <row r="159">
      <c r="A159" t="inlineStr">
        <is>
          <t>Académica</t>
        </is>
      </c>
      <c r="B159" t="inlineStr">
        <is>
          <t>Ale-10. Tiene dificultades de expresión oral/escrita.</t>
        </is>
      </c>
      <c r="C159" t="inlineStr">
        <is>
          <t>10. Tiene dificultades de expresión oral/escrita.</t>
        </is>
      </c>
      <c r="D159" t="inlineStr">
        <is>
          <t>Alerta/Mejora</t>
        </is>
      </c>
      <c r="E159" t="n">
        <v>8</v>
      </c>
      <c r="F159" t="n">
        <v>4</v>
      </c>
      <c r="G159" t="n">
        <v>34</v>
      </c>
      <c r="H159" t="inlineStr">
        <is>
          <t xml:space="preserve">Muy bueno </t>
        </is>
      </c>
      <c r="I159" t="inlineStr">
        <is>
          <t>NOVENO</t>
        </is>
      </c>
      <c r="J159" t="inlineStr">
        <is>
          <t>TM</t>
        </is>
      </c>
      <c r="K159" t="n">
        <v>0.1904761904761905</v>
      </c>
    </row>
    <row r="160">
      <c r="A160" t="inlineStr">
        <is>
          <t>Académica</t>
        </is>
      </c>
      <c r="B160" t="inlineStr">
        <is>
          <t>Ale-12. Muestra rechazo o desinterés por la lectura.</t>
        </is>
      </c>
      <c r="C160" t="inlineStr">
        <is>
          <t>12. Muestra rechazo o desinterés por la lectura.</t>
        </is>
      </c>
      <c r="D160" t="inlineStr">
        <is>
          <t>Alerta/Mejora</t>
        </is>
      </c>
      <c r="E160" t="n">
        <v>3</v>
      </c>
      <c r="F160" t="n">
        <v>5</v>
      </c>
      <c r="G160" t="n">
        <v>39</v>
      </c>
      <c r="H160" t="inlineStr">
        <is>
          <t xml:space="preserve">Muy bueno </t>
        </is>
      </c>
      <c r="I160" t="inlineStr">
        <is>
          <t>NOVENO</t>
        </is>
      </c>
      <c r="J160" t="inlineStr">
        <is>
          <t>TM</t>
        </is>
      </c>
      <c r="K160" t="n">
        <v>0.07142857142857142</v>
      </c>
    </row>
    <row r="161">
      <c r="A161" t="inlineStr">
        <is>
          <t>Académica</t>
        </is>
      </c>
      <c r="B161" t="inlineStr">
        <is>
          <t>Ale-14. Requiere supervisión constante para avanzar.</t>
        </is>
      </c>
      <c r="C161" t="inlineStr">
        <is>
          <t>14. Requiere supervisión constante para avanzar.</t>
        </is>
      </c>
      <c r="D161" t="inlineStr">
        <is>
          <t>Alerta/Mejora</t>
        </is>
      </c>
      <c r="E161" t="n">
        <v>7</v>
      </c>
      <c r="F161" t="n">
        <v>4</v>
      </c>
      <c r="G161" t="n">
        <v>35</v>
      </c>
      <c r="H161" t="inlineStr">
        <is>
          <t xml:space="preserve">Muy bueno </t>
        </is>
      </c>
      <c r="I161" t="inlineStr">
        <is>
          <t>NOVENO</t>
        </is>
      </c>
      <c r="J161" t="inlineStr">
        <is>
          <t>TM</t>
        </is>
      </c>
      <c r="K161" t="n">
        <v>0.1666666666666667</v>
      </c>
    </row>
    <row r="162">
      <c r="A162" t="inlineStr">
        <is>
          <t>Académica</t>
        </is>
      </c>
      <c r="B162" t="inlineStr">
        <is>
          <t>Ale-16. Muestra apatía por temas nuevos.</t>
        </is>
      </c>
      <c r="C162" t="inlineStr">
        <is>
          <t>16. Muestra apatía por temas nuevos.</t>
        </is>
      </c>
      <c r="D162" t="inlineStr">
        <is>
          <t>Alerta/Mejora</t>
        </is>
      </c>
      <c r="E162" t="n">
        <v>5</v>
      </c>
      <c r="F162" t="n">
        <v>4</v>
      </c>
      <c r="G162" t="n">
        <v>37</v>
      </c>
      <c r="H162" t="inlineStr">
        <is>
          <t xml:space="preserve">Muy bueno </t>
        </is>
      </c>
      <c r="I162" t="inlineStr">
        <is>
          <t>NOVENO</t>
        </is>
      </c>
      <c r="J162" t="inlineStr">
        <is>
          <t>TM</t>
        </is>
      </c>
      <c r="K162" t="n">
        <v>0.119047619047619</v>
      </c>
    </row>
    <row r="163">
      <c r="A163" t="inlineStr">
        <is>
          <t>Conductual</t>
        </is>
      </c>
      <c r="B163" t="inlineStr">
        <is>
          <t>Ale-18. Desafía activamente la autoridad.</t>
        </is>
      </c>
      <c r="C163" t="inlineStr">
        <is>
          <t>18. Desafía activamente la autoridad.</t>
        </is>
      </c>
      <c r="D163" t="inlineStr">
        <is>
          <t>Alerta/Mejora</t>
        </is>
      </c>
      <c r="E163" t="n">
        <v>2</v>
      </c>
      <c r="F163" t="n">
        <v>5</v>
      </c>
      <c r="G163" t="n">
        <v>40</v>
      </c>
      <c r="H163" t="inlineStr">
        <is>
          <t xml:space="preserve">Muy bueno </t>
        </is>
      </c>
      <c r="I163" t="inlineStr">
        <is>
          <t>NOVENO</t>
        </is>
      </c>
      <c r="J163" t="inlineStr">
        <is>
          <t>TM</t>
        </is>
      </c>
      <c r="K163" t="n">
        <v>0.04761904761904762</v>
      </c>
    </row>
    <row r="164">
      <c r="A164" t="inlineStr">
        <is>
          <t>Conductual</t>
        </is>
      </c>
      <c r="B164" t="inlineStr">
        <is>
          <t>Ale-20. Presenta retardos o inasistencias frecuentes.</t>
        </is>
      </c>
      <c r="C164" t="inlineStr">
        <is>
          <t>20. Presenta retardos o inasistencias frecuentes.</t>
        </is>
      </c>
      <c r="D164" t="inlineStr">
        <is>
          <t>Alerta/Mejora</t>
        </is>
      </c>
      <c r="E164" t="n">
        <v>4</v>
      </c>
      <c r="F164" t="n">
        <v>4</v>
      </c>
      <c r="G164" t="n">
        <v>38</v>
      </c>
      <c r="H164" t="inlineStr">
        <is>
          <t xml:space="preserve">Muy bueno </t>
        </is>
      </c>
      <c r="I164" t="inlineStr">
        <is>
          <t>NOVENO</t>
        </is>
      </c>
      <c r="J164" t="inlineStr">
        <is>
          <t>TM</t>
        </is>
      </c>
      <c r="K164" t="n">
        <v>0.09523809523809523</v>
      </c>
    </row>
    <row r="165">
      <c r="A165" t="inlineStr">
        <is>
          <t>Conductual</t>
        </is>
      </c>
      <c r="B165" t="inlineStr">
        <is>
          <t>Ale-22. Daña el mobiliario o materiales escolares.</t>
        </is>
      </c>
      <c r="C165" t="inlineStr">
        <is>
          <t>22. Daña el mobiliario o materiales escolares.</t>
        </is>
      </c>
      <c r="D165" t="inlineStr">
        <is>
          <t>Alerta/Mejora</t>
        </is>
      </c>
      <c r="E165" t="n">
        <v>0</v>
      </c>
      <c r="F165" t="n">
        <v>5</v>
      </c>
      <c r="G165" t="n">
        <v>42</v>
      </c>
      <c r="H165" t="inlineStr">
        <is>
          <t xml:space="preserve">Muy bueno </t>
        </is>
      </c>
      <c r="I165" t="inlineStr">
        <is>
          <t>NOVENO</t>
        </is>
      </c>
      <c r="J165" t="inlineStr">
        <is>
          <t>TM</t>
        </is>
      </c>
      <c r="K165" t="n">
        <v>0</v>
      </c>
    </row>
    <row r="166">
      <c r="A166" t="inlineStr">
        <is>
          <t>Conductual</t>
        </is>
      </c>
      <c r="B166" t="inlineStr">
        <is>
          <t>Ale-24. Interrumpe constantemente el flujo de clase.</t>
        </is>
      </c>
      <c r="C166" t="inlineStr">
        <is>
          <t>24. Interrumpe constantemente el flujo de clase.</t>
        </is>
      </c>
      <c r="D166" t="inlineStr">
        <is>
          <t>Alerta/Mejora</t>
        </is>
      </c>
      <c r="E166" t="n">
        <v>26</v>
      </c>
      <c r="F166" t="n">
        <v>1</v>
      </c>
      <c r="G166" t="n">
        <v>16</v>
      </c>
      <c r="H166" t="inlineStr">
        <is>
          <t>A mejorar</t>
        </is>
      </c>
      <c r="I166" t="inlineStr">
        <is>
          <t>NOVENO</t>
        </is>
      </c>
      <c r="J166" t="inlineStr">
        <is>
          <t>TM</t>
        </is>
      </c>
      <c r="K166" t="n">
        <v>0.6190476190476191</v>
      </c>
    </row>
    <row r="167">
      <c r="A167" t="inlineStr">
        <is>
          <t>Conductual</t>
        </is>
      </c>
      <c r="B167" t="inlineStr">
        <is>
          <t>Ale-26. Emplea lenguaje soez o despectivo.</t>
        </is>
      </c>
      <c r="C167" t="inlineStr">
        <is>
          <t>26. Emplea lenguaje soez o despectivo.</t>
        </is>
      </c>
      <c r="D167" t="inlineStr">
        <is>
          <t>Alerta/Mejora</t>
        </is>
      </c>
      <c r="E167" t="n">
        <v>0</v>
      </c>
      <c r="F167" t="n">
        <v>5</v>
      </c>
      <c r="G167" t="n">
        <v>42</v>
      </c>
      <c r="H167" t="inlineStr">
        <is>
          <t xml:space="preserve">Muy bueno </t>
        </is>
      </c>
      <c r="I167" t="inlineStr">
        <is>
          <t>NOVENO</t>
        </is>
      </c>
      <c r="J167" t="inlineStr">
        <is>
          <t>TM</t>
        </is>
      </c>
      <c r="K167" t="n">
        <v>0</v>
      </c>
    </row>
    <row r="168">
      <c r="A168" t="inlineStr">
        <is>
          <t>Conductual</t>
        </is>
      </c>
      <c r="B168" t="inlineStr">
        <is>
          <t>Ale-28. Miente o culpa a otros por sus actos.</t>
        </is>
      </c>
      <c r="C168" t="inlineStr">
        <is>
          <t>28. Miente o culpa a otros por sus actos.</t>
        </is>
      </c>
      <c r="D168" t="inlineStr">
        <is>
          <t>Alerta/Mejora</t>
        </is>
      </c>
      <c r="E168" t="n">
        <v>4</v>
      </c>
      <c r="F168" t="n">
        <v>4</v>
      </c>
      <c r="G168" t="n">
        <v>38</v>
      </c>
      <c r="H168" t="inlineStr">
        <is>
          <t xml:space="preserve">Muy bueno </t>
        </is>
      </c>
      <c r="I168" t="inlineStr">
        <is>
          <t>NOVENO</t>
        </is>
      </c>
      <c r="J168" t="inlineStr">
        <is>
          <t>TM</t>
        </is>
      </c>
      <c r="K168" t="n">
        <v>0.09523809523809523</v>
      </c>
    </row>
    <row r="169">
      <c r="A169" t="inlineStr">
        <is>
          <t>Conductual</t>
        </is>
      </c>
      <c r="B169" t="inlineStr">
        <is>
          <t>Ale-30. Se distrae con dispositivos electrónicos.</t>
        </is>
      </c>
      <c r="C169" t="inlineStr">
        <is>
          <t>30. Se distrae con dispositivos electrónicos.</t>
        </is>
      </c>
      <c r="D169" t="inlineStr">
        <is>
          <t>Alerta/Mejora</t>
        </is>
      </c>
      <c r="E169" t="n">
        <v>10</v>
      </c>
      <c r="F169" t="n">
        <v>3</v>
      </c>
      <c r="G169" t="n">
        <v>32</v>
      </c>
      <c r="H169" t="inlineStr">
        <is>
          <t>Bueno</t>
        </is>
      </c>
      <c r="I169" t="inlineStr">
        <is>
          <t>NOVENO</t>
        </is>
      </c>
      <c r="J169" t="inlineStr">
        <is>
          <t>TM</t>
        </is>
      </c>
      <c r="K169" t="n">
        <v>0.2380952380952381</v>
      </c>
    </row>
    <row r="170">
      <c r="A170" t="inlineStr">
        <is>
          <t>Conductual</t>
        </is>
      </c>
      <c r="B170" t="inlineStr">
        <is>
          <t>Ale-32. Fomenta el desorden o el caos en el grupo.</t>
        </is>
      </c>
      <c r="C170" t="inlineStr">
        <is>
          <t>32. Fomenta el desorden o el caos en el grupo.</t>
        </is>
      </c>
      <c r="D170" t="inlineStr">
        <is>
          <t>Alerta/Mejora</t>
        </is>
      </c>
      <c r="E170" t="n">
        <v>22</v>
      </c>
      <c r="F170" t="n">
        <v>1</v>
      </c>
      <c r="G170" t="n">
        <v>20</v>
      </c>
      <c r="H170" t="inlineStr">
        <is>
          <t>A mejorar</t>
        </is>
      </c>
      <c r="I170" t="inlineStr">
        <is>
          <t>NOVENO</t>
        </is>
      </c>
      <c r="J170" t="inlineStr">
        <is>
          <t>TM</t>
        </is>
      </c>
      <c r="K170" t="n">
        <v>0.5238095238095238</v>
      </c>
    </row>
    <row r="171">
      <c r="A171" t="inlineStr">
        <is>
          <t>Socio-Emocional</t>
        </is>
      </c>
      <c r="B171" t="inlineStr">
        <is>
          <t>Ale-34. Se rinde fácilmente ante la frustración.</t>
        </is>
      </c>
      <c r="C171" t="inlineStr">
        <is>
          <t>34. Se rinde fácilmente ante la frustración.</t>
        </is>
      </c>
      <c r="D171" t="inlineStr">
        <is>
          <t>Alerta/Mejora</t>
        </is>
      </c>
      <c r="E171" t="n">
        <v>9</v>
      </c>
      <c r="F171" t="n">
        <v>3</v>
      </c>
      <c r="G171" t="n">
        <v>33</v>
      </c>
      <c r="H171" t="inlineStr">
        <is>
          <t>Bueno</t>
        </is>
      </c>
      <c r="I171" t="inlineStr">
        <is>
          <t>NOVENO</t>
        </is>
      </c>
      <c r="J171" t="inlineStr">
        <is>
          <t>TM</t>
        </is>
      </c>
      <c r="K171" t="n">
        <v>0.2142857142857143</v>
      </c>
    </row>
    <row r="172">
      <c r="A172" t="inlineStr">
        <is>
          <t>Socio-Emocional</t>
        </is>
      </c>
      <c r="B172" t="inlineStr">
        <is>
          <t>Ale-36. Trabaja de forma aislada o es individualista.</t>
        </is>
      </c>
      <c r="C172" t="inlineStr">
        <is>
          <t>36. Trabaja de forma aislada o es individualista.</t>
        </is>
      </c>
      <c r="D172" t="inlineStr">
        <is>
          <t>Alerta/Mejora</t>
        </is>
      </c>
      <c r="E172" t="n">
        <v>3</v>
      </c>
      <c r="F172" t="n">
        <v>5</v>
      </c>
      <c r="G172" t="n">
        <v>39</v>
      </c>
      <c r="H172" t="inlineStr">
        <is>
          <t xml:space="preserve">Muy bueno </t>
        </is>
      </c>
      <c r="I172" t="inlineStr">
        <is>
          <t>NOVENO</t>
        </is>
      </c>
      <c r="J172" t="inlineStr">
        <is>
          <t>TM</t>
        </is>
      </c>
      <c r="K172" t="n">
        <v>0.07142857142857142</v>
      </c>
    </row>
    <row r="173">
      <c r="A173" t="inlineStr">
        <is>
          <t>Socio-Emocional</t>
        </is>
      </c>
      <c r="B173" t="inlineStr">
        <is>
          <t>Ale-38. Ignora o se burla de los sentimientos de otros.</t>
        </is>
      </c>
      <c r="C173" t="inlineStr">
        <is>
          <t>38. Ignora o se burla de los sentimientos de otros.</t>
        </is>
      </c>
      <c r="D173" t="inlineStr">
        <is>
          <t>Alerta/Mejora</t>
        </is>
      </c>
      <c r="E173" t="n">
        <v>2</v>
      </c>
      <c r="F173" t="n">
        <v>5</v>
      </c>
      <c r="G173" t="n">
        <v>40</v>
      </c>
      <c r="H173" t="inlineStr">
        <is>
          <t xml:space="preserve">Muy bueno </t>
        </is>
      </c>
      <c r="I173" t="inlineStr">
        <is>
          <t>NOVENO</t>
        </is>
      </c>
      <c r="J173" t="inlineStr">
        <is>
          <t>TM</t>
        </is>
      </c>
      <c r="K173" t="n">
        <v>0.04761904761904762</v>
      </c>
    </row>
    <row r="174">
      <c r="A174" t="inlineStr">
        <is>
          <t>Socio-Emocional</t>
        </is>
      </c>
      <c r="B174" t="inlineStr">
        <is>
          <t>Ale-40. Ejerce presión negativa o bullying.</t>
        </is>
      </c>
      <c r="C174" t="inlineStr">
        <is>
          <t>40. Ejerce presión negativa o bullying.</t>
        </is>
      </c>
      <c r="D174" t="inlineStr">
        <is>
          <t>Alerta/Mejora</t>
        </is>
      </c>
      <c r="E174" t="n">
        <v>0</v>
      </c>
      <c r="F174" t="n">
        <v>5</v>
      </c>
      <c r="G174" t="n">
        <v>42</v>
      </c>
      <c r="H174" t="inlineStr">
        <is>
          <t xml:space="preserve">Muy bueno </t>
        </is>
      </c>
      <c r="I174" t="inlineStr">
        <is>
          <t>NOVENO</t>
        </is>
      </c>
      <c r="J174" t="inlineStr">
        <is>
          <t>TM</t>
        </is>
      </c>
      <c r="K174" t="n">
        <v>0</v>
      </c>
    </row>
    <row r="175">
      <c r="A175" t="inlineStr">
        <is>
          <t>Socio-Emocional</t>
        </is>
      </c>
      <c r="B175" t="inlineStr">
        <is>
          <t>Ale-42. Reacciona de forma agresiva o impulsiva.</t>
        </is>
      </c>
      <c r="C175" t="inlineStr">
        <is>
          <t>42. Reacciona de forma agresiva o impulsiva.</t>
        </is>
      </c>
      <c r="D175" t="inlineStr">
        <is>
          <t>Alerta/Mejora</t>
        </is>
      </c>
      <c r="E175" t="n">
        <v>0</v>
      </c>
      <c r="F175" t="n">
        <v>5</v>
      </c>
      <c r="G175" t="n">
        <v>42</v>
      </c>
      <c r="H175" t="inlineStr">
        <is>
          <t xml:space="preserve">Muy bueno </t>
        </is>
      </c>
      <c r="I175" t="inlineStr">
        <is>
          <t>NOVENO</t>
        </is>
      </c>
      <c r="J175" t="inlineStr">
        <is>
          <t>TM</t>
        </is>
      </c>
      <c r="K175" t="n">
        <v>0</v>
      </c>
    </row>
    <row r="176">
      <c r="A176" t="inlineStr">
        <is>
          <t>Socio-Emocional</t>
        </is>
      </c>
      <c r="B176" t="inlineStr">
        <is>
          <t>Ale-44. Expresa inseguridad constante ("no puedo").</t>
        </is>
      </c>
      <c r="C176" t="inlineStr">
        <is>
          <t>44. Expresa inseguridad constante ("no puedo").</t>
        </is>
      </c>
      <c r="D176" t="inlineStr">
        <is>
          <t>Alerta/Mejora</t>
        </is>
      </c>
      <c r="E176" t="n">
        <v>8</v>
      </c>
      <c r="F176" t="n">
        <v>4</v>
      </c>
      <c r="G176" t="n">
        <v>34</v>
      </c>
      <c r="H176" t="inlineStr">
        <is>
          <t xml:space="preserve">Muy bueno </t>
        </is>
      </c>
      <c r="I176" t="inlineStr">
        <is>
          <t>NOVENO</t>
        </is>
      </c>
      <c r="J176" t="inlineStr">
        <is>
          <t>TM</t>
        </is>
      </c>
      <c r="K176" t="n">
        <v>0.1904761904761905</v>
      </c>
    </row>
    <row r="177">
      <c r="A177" t="inlineStr">
        <is>
          <t>Actitudinal</t>
        </is>
      </c>
      <c r="B177" t="inlineStr">
        <is>
          <t>Ale-46. Requiere estímulos externos para trabajar.</t>
        </is>
      </c>
      <c r="C177" t="inlineStr">
        <is>
          <t>46. Requiere estímulos externos para trabajar.</t>
        </is>
      </c>
      <c r="D177" t="inlineStr">
        <is>
          <t>Alerta/Mejora</t>
        </is>
      </c>
      <c r="E177" t="n">
        <v>16</v>
      </c>
      <c r="F177" t="n">
        <v>2</v>
      </c>
      <c r="G177" t="n">
        <v>26</v>
      </c>
      <c r="H177" t="inlineStr">
        <is>
          <t>A mejorar</t>
        </is>
      </c>
      <c r="I177" t="inlineStr">
        <is>
          <t>NOVENO</t>
        </is>
      </c>
      <c r="J177" t="inlineStr">
        <is>
          <t>TM</t>
        </is>
      </c>
      <c r="K177" t="n">
        <v>0.3809523809523809</v>
      </c>
    </row>
    <row r="178">
      <c r="A178" t="inlineStr">
        <is>
          <t>Actitudinal</t>
        </is>
      </c>
      <c r="B178" t="inlineStr">
        <is>
          <t>Ale-48. Abandona proyectos a mitad de camino.</t>
        </is>
      </c>
      <c r="C178" t="inlineStr">
        <is>
          <t>48. Abandona proyectos a mitad de camino.</t>
        </is>
      </c>
      <c r="D178" t="inlineStr">
        <is>
          <t>Alerta/Mejora</t>
        </is>
      </c>
      <c r="E178" t="n">
        <v>7</v>
      </c>
      <c r="F178" t="n">
        <v>4</v>
      </c>
      <c r="G178" t="n">
        <v>35</v>
      </c>
      <c r="H178" t="inlineStr">
        <is>
          <t xml:space="preserve">Muy bueno </t>
        </is>
      </c>
      <c r="I178" t="inlineStr">
        <is>
          <t>NOVENO</t>
        </is>
      </c>
      <c r="J178" t="inlineStr">
        <is>
          <t>TM</t>
        </is>
      </c>
      <c r="K178" t="n">
        <v>0.1666666666666667</v>
      </c>
    </row>
    <row r="179">
      <c r="A179" t="inlineStr">
        <is>
          <t>Actitudinal</t>
        </is>
      </c>
      <c r="B179" t="inlineStr">
        <is>
          <t>Ale-50. Se muestra a la defensiva ante críticas.</t>
        </is>
      </c>
      <c r="C179" t="inlineStr">
        <is>
          <t>50. Se muestra a la defensiva ante críticas.</t>
        </is>
      </c>
      <c r="D179" t="inlineStr">
        <is>
          <t>Alerta/Mejora</t>
        </is>
      </c>
      <c r="E179" t="n">
        <v>4</v>
      </c>
      <c r="F179" t="n">
        <v>4</v>
      </c>
      <c r="G179" t="n">
        <v>38</v>
      </c>
      <c r="H179" t="inlineStr">
        <is>
          <t xml:space="preserve">Muy bueno </t>
        </is>
      </c>
      <c r="I179" t="inlineStr">
        <is>
          <t>NOVENO</t>
        </is>
      </c>
      <c r="J179" t="inlineStr">
        <is>
          <t>TM</t>
        </is>
      </c>
      <c r="K179" t="n">
        <v>0.09523809523809523</v>
      </c>
    </row>
    <row r="180">
      <c r="A180" t="inlineStr">
        <is>
          <t>Académica</t>
        </is>
      </c>
      <c r="B180" t="inlineStr">
        <is>
          <t>For-01. Domina los conceptos clave del grado.</t>
        </is>
      </c>
      <c r="C180" t="inlineStr">
        <is>
          <t>01. Domina los conceptos clave del grado.</t>
        </is>
      </c>
      <c r="D180" t="inlineStr">
        <is>
          <t>Fortaleza/Logro</t>
        </is>
      </c>
      <c r="E180" t="n">
        <v>16</v>
      </c>
      <c r="F180" t="n">
        <v>1</v>
      </c>
      <c r="G180" t="n">
        <v>16</v>
      </c>
      <c r="H180" t="inlineStr">
        <is>
          <t>A mejorar</t>
        </is>
      </c>
      <c r="I180" t="inlineStr">
        <is>
          <t>NOVENO</t>
        </is>
      </c>
      <c r="J180" t="inlineStr">
        <is>
          <t>TM</t>
        </is>
      </c>
      <c r="K180" t="n">
        <v>0.3809523809523809</v>
      </c>
    </row>
    <row r="181">
      <c r="A181" t="inlineStr">
        <is>
          <t>Académica</t>
        </is>
      </c>
      <c r="B181" t="inlineStr">
        <is>
          <t>For-03. Posee un pensamiento crítico y analítico.</t>
        </is>
      </c>
      <c r="C181" t="inlineStr">
        <is>
          <t>03. Posee un pensamiento crítico y analítico.</t>
        </is>
      </c>
      <c r="D181" t="inlineStr">
        <is>
          <t>Fortaleza/Logro</t>
        </is>
      </c>
      <c r="E181" t="n">
        <v>14</v>
      </c>
      <c r="F181" t="n">
        <v>1</v>
      </c>
      <c r="G181" t="n">
        <v>14</v>
      </c>
      <c r="H181" t="inlineStr">
        <is>
          <t>A mejorar</t>
        </is>
      </c>
      <c r="I181" t="inlineStr">
        <is>
          <t>NOVENO</t>
        </is>
      </c>
      <c r="J181" t="inlineStr">
        <is>
          <t>TM</t>
        </is>
      </c>
      <c r="K181" t="n">
        <v>0.3333333333333333</v>
      </c>
    </row>
    <row r="182">
      <c r="A182" t="inlineStr">
        <is>
          <t>Académica</t>
        </is>
      </c>
      <c r="B182" t="inlineStr">
        <is>
          <t>For-05. Entrega trabajos con alta calidad y orden.</t>
        </is>
      </c>
      <c r="C182" t="inlineStr">
        <is>
          <t>05. Entrega trabajos con alta calidad y orden.</t>
        </is>
      </c>
      <c r="D182" t="inlineStr">
        <is>
          <t>Fortaleza/Logro</t>
        </is>
      </c>
      <c r="E182" t="n">
        <v>21</v>
      </c>
      <c r="F182" t="n">
        <v>1</v>
      </c>
      <c r="G182" t="n">
        <v>21</v>
      </c>
      <c r="H182" t="inlineStr">
        <is>
          <t>A mejorar</t>
        </is>
      </c>
      <c r="I182" t="inlineStr">
        <is>
          <t>NOVENO</t>
        </is>
      </c>
      <c r="J182" t="inlineStr">
        <is>
          <t>TM</t>
        </is>
      </c>
      <c r="K182" t="n">
        <v>0.5</v>
      </c>
    </row>
    <row r="183">
      <c r="A183" t="inlineStr">
        <is>
          <t>Académica</t>
        </is>
      </c>
      <c r="B183" t="inlineStr">
        <is>
          <t>For-07. Resuelve problemas lógicos con fluidez.</t>
        </is>
      </c>
      <c r="C183" t="inlineStr">
        <is>
          <t>07. Resuelve problemas lógicos con fluidez.</t>
        </is>
      </c>
      <c r="D183" t="inlineStr">
        <is>
          <t>Fortaleza/Logro</t>
        </is>
      </c>
      <c r="E183" t="n">
        <v>15</v>
      </c>
      <c r="F183" t="n">
        <v>1</v>
      </c>
      <c r="G183" t="n">
        <v>15</v>
      </c>
      <c r="H183" t="inlineStr">
        <is>
          <t>A mejorar</t>
        </is>
      </c>
      <c r="I183" t="inlineStr">
        <is>
          <t>NOVENO</t>
        </is>
      </c>
      <c r="J183" t="inlineStr">
        <is>
          <t>TM</t>
        </is>
      </c>
      <c r="K183" t="n">
        <v>0.3571428571428572</v>
      </c>
    </row>
    <row r="184">
      <c r="A184" t="inlineStr">
        <is>
          <t>Académica</t>
        </is>
      </c>
      <c r="B184" t="inlineStr">
        <is>
          <t>For-09. Utiliza vocabulario técnico preciso.</t>
        </is>
      </c>
      <c r="C184" t="inlineStr">
        <is>
          <t>09. Utiliza vocabulario técnico preciso.</t>
        </is>
      </c>
      <c r="D184" t="inlineStr">
        <is>
          <t>Fortaleza/Logro</t>
        </is>
      </c>
      <c r="E184" t="n">
        <v>10</v>
      </c>
      <c r="F184" t="n">
        <v>1</v>
      </c>
      <c r="G184" t="n">
        <v>10</v>
      </c>
      <c r="H184" t="inlineStr">
        <is>
          <t>A mejorar</t>
        </is>
      </c>
      <c r="I184" t="inlineStr">
        <is>
          <t>NOVENO</t>
        </is>
      </c>
      <c r="J184" t="inlineStr">
        <is>
          <t>TM</t>
        </is>
      </c>
      <c r="K184" t="n">
        <v>0.2380952380952381</v>
      </c>
    </row>
    <row r="185">
      <c r="A185" t="inlineStr">
        <is>
          <t>Académica</t>
        </is>
      </c>
      <c r="B185" t="inlineStr">
        <is>
          <t>For-11. Posee excelentes hábitos de lectura.</t>
        </is>
      </c>
      <c r="C185" t="inlineStr">
        <is>
          <t>11. Posee excelentes hábitos de lectura.</t>
        </is>
      </c>
      <c r="D185" t="inlineStr">
        <is>
          <t>Fortaleza/Logro</t>
        </is>
      </c>
      <c r="E185" t="n">
        <v>6</v>
      </c>
      <c r="F185" t="n">
        <v>1</v>
      </c>
      <c r="G185" t="n">
        <v>6</v>
      </c>
      <c r="H185" t="inlineStr">
        <is>
          <t>A mejorar</t>
        </is>
      </c>
      <c r="I185" t="inlineStr">
        <is>
          <t>NOVENO</t>
        </is>
      </c>
      <c r="J185" t="inlineStr">
        <is>
          <t>TM</t>
        </is>
      </c>
      <c r="K185" t="n">
        <v>0.1428571428571428</v>
      </c>
    </row>
    <row r="186">
      <c r="A186" t="inlineStr">
        <is>
          <t>Académica</t>
        </is>
      </c>
      <c r="B186" t="inlineStr">
        <is>
          <t>For-13. Es autónomo en la realización de tareas.</t>
        </is>
      </c>
      <c r="C186" t="inlineStr">
        <is>
          <t>13. Es autónomo en la realización de tareas.</t>
        </is>
      </c>
      <c r="D186" t="inlineStr">
        <is>
          <t>Fortaleza/Logro</t>
        </is>
      </c>
      <c r="E186" t="n">
        <v>21</v>
      </c>
      <c r="F186" t="n">
        <v>1</v>
      </c>
      <c r="G186" t="n">
        <v>21</v>
      </c>
      <c r="H186" t="inlineStr">
        <is>
          <t>A mejorar</t>
        </is>
      </c>
      <c r="I186" t="inlineStr">
        <is>
          <t>NOVENO</t>
        </is>
      </c>
      <c r="J186" t="inlineStr">
        <is>
          <t>TM</t>
        </is>
      </c>
      <c r="K186" t="n">
        <v>0.5</v>
      </c>
    </row>
    <row r="187">
      <c r="A187" t="inlineStr">
        <is>
          <t>Académica</t>
        </is>
      </c>
      <c r="B187" t="inlineStr">
        <is>
          <t>For-15. Investiga más allá de lo solicitado.</t>
        </is>
      </c>
      <c r="C187" t="inlineStr">
        <is>
          <t>15. Investiga más allá de lo solicitado.</t>
        </is>
      </c>
      <c r="D187" t="inlineStr">
        <is>
          <t>Fortaleza/Logro</t>
        </is>
      </c>
      <c r="E187" t="n">
        <v>9</v>
      </c>
      <c r="F187" t="n">
        <v>1</v>
      </c>
      <c r="G187" t="n">
        <v>9</v>
      </c>
      <c r="H187" t="inlineStr">
        <is>
          <t>A mejorar</t>
        </is>
      </c>
      <c r="I187" t="inlineStr">
        <is>
          <t>NOVENO</t>
        </is>
      </c>
      <c r="J187" t="inlineStr">
        <is>
          <t>TM</t>
        </is>
      </c>
      <c r="K187" t="n">
        <v>0.2142857142857143</v>
      </c>
    </row>
    <row r="188">
      <c r="A188" t="inlineStr">
        <is>
          <t>Conductual</t>
        </is>
      </c>
      <c r="B188" t="inlineStr">
        <is>
          <t>For-17. Respeta las normas de convivencia.</t>
        </is>
      </c>
      <c r="C188" t="inlineStr">
        <is>
          <t>17. Respeta las normas de convivencia.</t>
        </is>
      </c>
      <c r="D188" t="inlineStr">
        <is>
          <t>Fortaleza/Logro</t>
        </is>
      </c>
      <c r="E188" t="n">
        <v>25</v>
      </c>
      <c r="F188" t="n">
        <v>2</v>
      </c>
      <c r="G188" t="n">
        <v>25</v>
      </c>
      <c r="H188" t="inlineStr">
        <is>
          <t>A mejorar</t>
        </is>
      </c>
      <c r="I188" t="inlineStr">
        <is>
          <t>NOVENO</t>
        </is>
      </c>
      <c r="J188" t="inlineStr">
        <is>
          <t>TM</t>
        </is>
      </c>
      <c r="K188" t="n">
        <v>0.5952380952380952</v>
      </c>
    </row>
    <row r="189">
      <c r="A189" t="inlineStr">
        <is>
          <t>Conductual</t>
        </is>
      </c>
      <c r="B189" t="inlineStr">
        <is>
          <t>For-19. Es puntual en todas sus obligaciones.</t>
        </is>
      </c>
      <c r="C189" t="inlineStr">
        <is>
          <t>19. Es puntual en todas sus obligaciones.</t>
        </is>
      </c>
      <c r="D189" t="inlineStr">
        <is>
          <t>Fortaleza/Logro</t>
        </is>
      </c>
      <c r="E189" t="n">
        <v>21</v>
      </c>
      <c r="F189" t="n">
        <v>1</v>
      </c>
      <c r="G189" t="n">
        <v>21</v>
      </c>
      <c r="H189" t="inlineStr">
        <is>
          <t>A mejorar</t>
        </is>
      </c>
      <c r="I189" t="inlineStr">
        <is>
          <t>NOVENO</t>
        </is>
      </c>
      <c r="J189" t="inlineStr">
        <is>
          <t>TM</t>
        </is>
      </c>
      <c r="K189" t="n">
        <v>0.5</v>
      </c>
    </row>
    <row r="190">
      <c r="A190" t="inlineStr">
        <is>
          <t>Conductual</t>
        </is>
      </c>
      <c r="B190" t="inlineStr">
        <is>
          <t>For-21. Cuida el material propio y ajeno.</t>
        </is>
      </c>
      <c r="C190" t="inlineStr">
        <is>
          <t>21. Cuida el material propio y ajeno.</t>
        </is>
      </c>
      <c r="D190" t="inlineStr">
        <is>
          <t>Fortaleza/Logro</t>
        </is>
      </c>
      <c r="E190" t="n">
        <v>30</v>
      </c>
      <c r="F190" t="n">
        <v>3</v>
      </c>
      <c r="G190" t="n">
        <v>30</v>
      </c>
      <c r="H190" t="inlineStr">
        <is>
          <t>Bueno</t>
        </is>
      </c>
      <c r="I190" t="inlineStr">
        <is>
          <t>NOVENO</t>
        </is>
      </c>
      <c r="J190" t="inlineStr">
        <is>
          <t>TM</t>
        </is>
      </c>
      <c r="K190" t="n">
        <v>0.7142857142857143</v>
      </c>
    </row>
    <row r="191">
      <c r="A191" t="inlineStr">
        <is>
          <t>Conductual</t>
        </is>
      </c>
      <c r="B191" t="inlineStr">
        <is>
          <t>For-23. Escucha con atención y no interrumpe.</t>
        </is>
      </c>
      <c r="C191" t="inlineStr">
        <is>
          <t>23. Escucha con atención y no interrumpe.</t>
        </is>
      </c>
      <c r="D191" t="inlineStr">
        <is>
          <t>Fortaleza/Logro</t>
        </is>
      </c>
      <c r="E191" t="n">
        <v>4</v>
      </c>
      <c r="F191" t="n">
        <v>1</v>
      </c>
      <c r="G191" t="n">
        <v>4</v>
      </c>
      <c r="H191" t="inlineStr">
        <is>
          <t>A mejorar</t>
        </is>
      </c>
      <c r="I191" t="inlineStr">
        <is>
          <t>NOVENO</t>
        </is>
      </c>
      <c r="J191" t="inlineStr">
        <is>
          <t>TM</t>
        </is>
      </c>
      <c r="K191" t="n">
        <v>0.09523809523809523</v>
      </c>
    </row>
    <row r="192">
      <c r="A192" t="inlineStr">
        <is>
          <t>Conductual</t>
        </is>
      </c>
      <c r="B192" t="inlineStr">
        <is>
          <t>For-25. Utiliza el lenguaje de forma respetuosa.</t>
        </is>
      </c>
      <c r="C192" t="inlineStr">
        <is>
          <t>25. Utiliza el lenguaje de forma respetuosa.</t>
        </is>
      </c>
      <c r="D192" t="inlineStr">
        <is>
          <t>Fortaleza/Logro</t>
        </is>
      </c>
      <c r="E192" t="n">
        <v>30</v>
      </c>
      <c r="F192" t="n">
        <v>3</v>
      </c>
      <c r="G192" t="n">
        <v>30</v>
      </c>
      <c r="H192" t="inlineStr">
        <is>
          <t>Bueno</t>
        </is>
      </c>
      <c r="I192" t="inlineStr">
        <is>
          <t>NOVENO</t>
        </is>
      </c>
      <c r="J192" t="inlineStr">
        <is>
          <t>TM</t>
        </is>
      </c>
      <c r="K192" t="n">
        <v>0.7142857142857143</v>
      </c>
    </row>
    <row r="193">
      <c r="A193" t="inlineStr">
        <is>
          <t>Conductual</t>
        </is>
      </c>
      <c r="B193" t="inlineStr">
        <is>
          <t>For-27. Reconoce sus errores honestamente.</t>
        </is>
      </c>
      <c r="C193" t="inlineStr">
        <is>
          <t>27. Reconoce sus errores honestamente.</t>
        </is>
      </c>
      <c r="D193" t="inlineStr">
        <is>
          <t>Fortaleza/Logro</t>
        </is>
      </c>
      <c r="E193" t="n">
        <v>26</v>
      </c>
      <c r="F193" t="n">
        <v>2</v>
      </c>
      <c r="G193" t="n">
        <v>26</v>
      </c>
      <c r="H193" t="inlineStr">
        <is>
          <t>A mejorar</t>
        </is>
      </c>
      <c r="I193" t="inlineStr">
        <is>
          <t>NOVENO</t>
        </is>
      </c>
      <c r="J193" t="inlineStr">
        <is>
          <t>TM</t>
        </is>
      </c>
      <c r="K193" t="n">
        <v>0.6190476190476191</v>
      </c>
    </row>
    <row r="194">
      <c r="A194" t="inlineStr">
        <is>
          <t>Conductual</t>
        </is>
      </c>
      <c r="B194" t="inlineStr">
        <is>
          <t>For-29. Usa la tecnología con fines educativos.</t>
        </is>
      </c>
      <c r="C194" t="inlineStr">
        <is>
          <t>29. Usa la tecnología con fines educativos.</t>
        </is>
      </c>
      <c r="D194" t="inlineStr">
        <is>
          <t>Fortaleza/Logro</t>
        </is>
      </c>
      <c r="E194" t="n">
        <v>18</v>
      </c>
      <c r="F194" t="n">
        <v>1</v>
      </c>
      <c r="G194" t="n">
        <v>18</v>
      </c>
      <c r="H194" t="inlineStr">
        <is>
          <t>A mejorar</t>
        </is>
      </c>
      <c r="I194" t="inlineStr">
        <is>
          <t>NOVENO</t>
        </is>
      </c>
      <c r="J194" t="inlineStr">
        <is>
          <t>TM</t>
        </is>
      </c>
      <c r="K194" t="n">
        <v>0.4285714285714285</v>
      </c>
    </row>
    <row r="195">
      <c r="A195" t="inlineStr">
        <is>
          <t>Conductual</t>
        </is>
      </c>
      <c r="B195" t="inlineStr">
        <is>
          <t>For-31. Mantiene el orden en espacios comunes.</t>
        </is>
      </c>
      <c r="C195" t="inlineStr">
        <is>
          <t>31. Mantiene el orden en espacios comunes.</t>
        </is>
      </c>
      <c r="D195" t="inlineStr">
        <is>
          <t>Fortaleza/Logro</t>
        </is>
      </c>
      <c r="E195" t="n">
        <v>8</v>
      </c>
      <c r="F195" t="n">
        <v>1</v>
      </c>
      <c r="G195" t="n">
        <v>8</v>
      </c>
      <c r="H195" t="inlineStr">
        <is>
          <t>A mejorar</t>
        </is>
      </c>
      <c r="I195" t="inlineStr">
        <is>
          <t>NOVENO</t>
        </is>
      </c>
      <c r="J195" t="inlineStr">
        <is>
          <t>TM</t>
        </is>
      </c>
      <c r="K195" t="n">
        <v>0.1904761904761905</v>
      </c>
    </row>
    <row r="196">
      <c r="A196" t="inlineStr">
        <is>
          <t>Socio-Emocional</t>
        </is>
      </c>
      <c r="B196" t="inlineStr">
        <is>
          <t>For-33. Muestra resiliencia ante el fracaso.</t>
        </is>
      </c>
      <c r="C196" t="inlineStr">
        <is>
          <t>33. Muestra resiliencia ante el fracaso.</t>
        </is>
      </c>
      <c r="D196" t="inlineStr">
        <is>
          <t>Fortaleza/Logro</t>
        </is>
      </c>
      <c r="E196" t="n">
        <v>21</v>
      </c>
      <c r="F196" t="n">
        <v>1</v>
      </c>
      <c r="G196" t="n">
        <v>21</v>
      </c>
      <c r="H196" t="inlineStr">
        <is>
          <t>A mejorar</t>
        </is>
      </c>
      <c r="I196" t="inlineStr">
        <is>
          <t>NOVENO</t>
        </is>
      </c>
      <c r="J196" t="inlineStr">
        <is>
          <t>TM</t>
        </is>
      </c>
      <c r="K196" t="n">
        <v>0.5</v>
      </c>
    </row>
    <row r="197">
      <c r="A197" t="inlineStr">
        <is>
          <t>Socio-Emocional</t>
        </is>
      </c>
      <c r="B197" t="inlineStr">
        <is>
          <t>For-35. Trabaja de forma colaborativa y equitativa.</t>
        </is>
      </c>
      <c r="C197" t="inlineStr">
        <is>
          <t>35. Trabaja de forma colaborativa y equitativa.</t>
        </is>
      </c>
      <c r="D197" t="inlineStr">
        <is>
          <t>Fortaleza/Logro</t>
        </is>
      </c>
      <c r="E197" t="n">
        <v>27</v>
      </c>
      <c r="F197" t="n">
        <v>2</v>
      </c>
      <c r="G197" t="n">
        <v>27</v>
      </c>
      <c r="H197" t="inlineStr">
        <is>
          <t>A mejorar</t>
        </is>
      </c>
      <c r="I197" t="inlineStr">
        <is>
          <t>NOVENO</t>
        </is>
      </c>
      <c r="J197" t="inlineStr">
        <is>
          <t>TM</t>
        </is>
      </c>
      <c r="K197" t="n">
        <v>0.6428571428571429</v>
      </c>
    </row>
    <row r="198">
      <c r="A198" t="inlineStr">
        <is>
          <t>Socio-Emocional</t>
        </is>
      </c>
      <c r="B198" t="inlineStr">
        <is>
          <t>For-37. Es empático con las necesidades ajenas.</t>
        </is>
      </c>
      <c r="C198" t="inlineStr">
        <is>
          <t>37. Es empático con las necesidades ajenas.</t>
        </is>
      </c>
      <c r="D198" t="inlineStr">
        <is>
          <t>Fortaleza/Logro</t>
        </is>
      </c>
      <c r="E198" t="n">
        <v>28</v>
      </c>
      <c r="F198" t="n">
        <v>2</v>
      </c>
      <c r="G198" t="n">
        <v>28</v>
      </c>
      <c r="H198" t="inlineStr">
        <is>
          <t>A mejorar</t>
        </is>
      </c>
      <c r="I198" t="inlineStr">
        <is>
          <t>NOVENO</t>
        </is>
      </c>
      <c r="J198" t="inlineStr">
        <is>
          <t>TM</t>
        </is>
      </c>
      <c r="K198" t="n">
        <v>0.6666666666666666</v>
      </c>
    </row>
    <row r="199">
      <c r="A199" t="inlineStr">
        <is>
          <t>Socio-Emocional</t>
        </is>
      </c>
      <c r="B199" t="inlineStr">
        <is>
          <t>For-39. Posee un liderazgo positivo y ético.</t>
        </is>
      </c>
      <c r="C199" t="inlineStr">
        <is>
          <t>39. Posee un liderazgo positivo y ético.</t>
        </is>
      </c>
      <c r="D199" t="inlineStr">
        <is>
          <t>Fortaleza/Logro</t>
        </is>
      </c>
      <c r="E199" t="n">
        <v>14</v>
      </c>
      <c r="F199" t="n">
        <v>1</v>
      </c>
      <c r="G199" t="n">
        <v>14</v>
      </c>
      <c r="H199" t="inlineStr">
        <is>
          <t>A mejorar</t>
        </is>
      </c>
      <c r="I199" t="inlineStr">
        <is>
          <t>NOVENO</t>
        </is>
      </c>
      <c r="J199" t="inlineStr">
        <is>
          <t>TM</t>
        </is>
      </c>
      <c r="K199" t="n">
        <v>0.3333333333333333</v>
      </c>
    </row>
    <row r="200">
      <c r="A200" t="inlineStr">
        <is>
          <t>Socio-Emocional</t>
        </is>
      </c>
      <c r="B200" t="inlineStr">
        <is>
          <t>For-41. Se comunica de manera asertiva.</t>
        </is>
      </c>
      <c r="C200" t="inlineStr">
        <is>
          <t>41. Se comunica de manera asertiva.</t>
        </is>
      </c>
      <c r="D200" t="inlineStr">
        <is>
          <t>Fortaleza/Logro</t>
        </is>
      </c>
      <c r="E200" t="n">
        <v>24</v>
      </c>
      <c r="F200" t="n">
        <v>1</v>
      </c>
      <c r="G200" t="n">
        <v>24</v>
      </c>
      <c r="H200" t="inlineStr">
        <is>
          <t>A mejorar</t>
        </is>
      </c>
      <c r="I200" t="inlineStr">
        <is>
          <t>NOVENO</t>
        </is>
      </c>
      <c r="J200" t="inlineStr">
        <is>
          <t>TM</t>
        </is>
      </c>
      <c r="K200" t="n">
        <v>0.5714285714285714</v>
      </c>
    </row>
    <row r="201">
      <c r="A201" t="inlineStr">
        <is>
          <t>Socio-Emocional</t>
        </is>
      </c>
      <c r="B201" t="inlineStr">
        <is>
          <t>For-43. Tiene una autoestima académica sólida.</t>
        </is>
      </c>
      <c r="C201" t="inlineStr">
        <is>
          <t>43. Tiene una autoestima académica sólida.</t>
        </is>
      </c>
      <c r="D201" t="inlineStr">
        <is>
          <t>Fortaleza/Logro</t>
        </is>
      </c>
      <c r="E201" t="n">
        <v>18</v>
      </c>
      <c r="F201" t="n">
        <v>1</v>
      </c>
      <c r="G201" t="n">
        <v>18</v>
      </c>
      <c r="H201" t="inlineStr">
        <is>
          <t>A mejorar</t>
        </is>
      </c>
      <c r="I201" t="inlineStr">
        <is>
          <t>NOVENO</t>
        </is>
      </c>
      <c r="J201" t="inlineStr">
        <is>
          <t>TM</t>
        </is>
      </c>
      <c r="K201" t="n">
        <v>0.4285714285714285</v>
      </c>
    </row>
    <row r="202">
      <c r="A202" t="inlineStr">
        <is>
          <t>Actitudinal</t>
        </is>
      </c>
      <c r="B202" t="inlineStr">
        <is>
          <t>For-45. Muestra curiosidad e iniciativa propia.</t>
        </is>
      </c>
      <c r="C202" t="inlineStr">
        <is>
          <t>45. Muestra curiosidad e iniciativa propia.</t>
        </is>
      </c>
      <c r="D202" t="inlineStr">
        <is>
          <t>Fortaleza/Logro</t>
        </is>
      </c>
      <c r="E202" t="n">
        <v>23</v>
      </c>
      <c r="F202" t="n">
        <v>1</v>
      </c>
      <c r="G202" t="n">
        <v>23</v>
      </c>
      <c r="H202" t="inlineStr">
        <is>
          <t>A mejorar</t>
        </is>
      </c>
      <c r="I202" t="inlineStr">
        <is>
          <t>NOVENO</t>
        </is>
      </c>
      <c r="J202" t="inlineStr">
        <is>
          <t>TM</t>
        </is>
      </c>
      <c r="K202" t="n">
        <v>0.5476190476190477</v>
      </c>
    </row>
    <row r="203">
      <c r="A203" t="inlineStr">
        <is>
          <t>Actitudinal</t>
        </is>
      </c>
      <c r="B203" t="inlineStr">
        <is>
          <t>For-47. Es persistente en tareas complejas.</t>
        </is>
      </c>
      <c r="C203" t="inlineStr">
        <is>
          <t>47. Es persistente en tareas complejas.</t>
        </is>
      </c>
      <c r="D203" t="inlineStr">
        <is>
          <t>Fortaleza/Logro</t>
        </is>
      </c>
      <c r="E203" t="n">
        <v>20</v>
      </c>
      <c r="F203" t="n">
        <v>1</v>
      </c>
      <c r="G203" t="n">
        <v>20</v>
      </c>
      <c r="H203" t="inlineStr">
        <is>
          <t>A mejorar</t>
        </is>
      </c>
      <c r="I203" t="inlineStr">
        <is>
          <t>NOVENO</t>
        </is>
      </c>
      <c r="J203" t="inlineStr">
        <is>
          <t>TM</t>
        </is>
      </c>
      <c r="K203" t="n">
        <v>0.4761904761904762</v>
      </c>
    </row>
    <row r="204">
      <c r="A204" t="inlineStr">
        <is>
          <t>Actitudinal</t>
        </is>
      </c>
      <c r="B204" t="inlineStr">
        <is>
          <t>For-49. Acepta retroalimentación constructiva.</t>
        </is>
      </c>
      <c r="C204" t="inlineStr">
        <is>
          <t>49. Acepta retroalimentación constructiva.</t>
        </is>
      </c>
      <c r="D204" t="inlineStr">
        <is>
          <t>Fortaleza/Logro</t>
        </is>
      </c>
      <c r="E204" t="n">
        <v>26</v>
      </c>
      <c r="F204" t="n">
        <v>2</v>
      </c>
      <c r="G204" t="n">
        <v>26</v>
      </c>
      <c r="H204" t="inlineStr">
        <is>
          <t>A mejorar</t>
        </is>
      </c>
      <c r="I204" t="inlineStr">
        <is>
          <t>NOVENO</t>
        </is>
      </c>
      <c r="J204" t="inlineStr">
        <is>
          <t>TM</t>
        </is>
      </c>
      <c r="K204" t="n">
        <v>0.6190476190476191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0.7109375" customWidth="1" min="2" max="2"/>
    <col width="22.85546875" customWidth="1" min="3" max="3"/>
    <col width="8.5703125" customWidth="1" min="4" max="4"/>
    <col width="9" customWidth="1" min="5" max="5"/>
    <col width="8.42578125" customWidth="1" min="6" max="6"/>
    <col width="9" customWidth="1" min="7" max="7"/>
    <col width="7.85546875" customWidth="1" min="8" max="8"/>
    <col width="12.5703125" customWidth="1" min="9" max="9"/>
    <col width="13.85546875" customWidth="1" min="11" max="11"/>
    <col width="13" customWidth="1" min="12" max="12"/>
    <col width="16.140625" customWidth="1" min="13" max="13"/>
    <col width="12.5703125" customWidth="1" min="14" max="14"/>
  </cols>
  <sheetData>
    <row r="1"/>
    <row r="2">
      <c r="B2" s="1" t="inlineStr">
        <is>
          <t>GRADO</t>
        </is>
      </c>
      <c r="C2" t="inlineStr">
        <is>
          <t>SEPTIMO</t>
        </is>
      </c>
    </row>
    <row r="3">
      <c r="B3" s="1" t="inlineStr">
        <is>
          <t>TURNO</t>
        </is>
      </c>
      <c r="C3" t="inlineStr">
        <is>
          <t>TM</t>
        </is>
      </c>
      <c r="G3" s="2" t="n"/>
      <c r="H3" s="2" t="n"/>
      <c r="I3" s="2" t="n"/>
    </row>
    <row r="4">
      <c r="G4" s="2" t="n"/>
      <c r="H4" s="2" t="n"/>
      <c r="I4" s="2" t="n"/>
    </row>
    <row r="5">
      <c r="B5" s="1" t="inlineStr">
        <is>
          <t>Etiquetas de fila</t>
        </is>
      </c>
      <c r="C5" t="inlineStr">
        <is>
          <t>Cuenta de NF</t>
        </is>
      </c>
      <c r="D5" t="inlineStr">
        <is>
          <t>Promedio de NF2</t>
        </is>
      </c>
      <c r="E5" t="inlineStr">
        <is>
          <t>Cuenta de NF2</t>
        </is>
      </c>
      <c r="G5" s="2" t="n"/>
      <c r="H5" s="2" t="n"/>
      <c r="I5" s="2" t="n"/>
    </row>
    <row r="6">
      <c r="B6" s="3" t="n">
        <v>1</v>
      </c>
      <c r="C6" t="n">
        <v>34</v>
      </c>
      <c r="D6" t="n">
        <v>0</v>
      </c>
      <c r="E6" t="n">
        <v>34</v>
      </c>
      <c r="G6" s="2" t="n"/>
      <c r="H6" s="2" t="n"/>
      <c r="I6" s="2" t="n"/>
    </row>
    <row r="7">
      <c r="B7" s="3" t="n">
        <v>2</v>
      </c>
      <c r="C7" t="n">
        <v>5</v>
      </c>
      <c r="D7" t="n">
        <v>0</v>
      </c>
      <c r="E7" t="n">
        <v>5</v>
      </c>
      <c r="G7" s="2" t="n"/>
      <c r="H7" s="2" t="n"/>
      <c r="I7" s="2" t="n"/>
    </row>
    <row r="8">
      <c r="B8" s="3" t="n">
        <v>3</v>
      </c>
      <c r="C8" t="n">
        <v>4</v>
      </c>
      <c r="D8" t="n">
        <v>0</v>
      </c>
      <c r="E8" t="n">
        <v>4</v>
      </c>
      <c r="G8" s="2" t="n"/>
      <c r="H8" s="2" t="n"/>
      <c r="I8" s="2" t="n"/>
    </row>
    <row r="9">
      <c r="B9" s="3" t="n">
        <v>4</v>
      </c>
      <c r="C9" t="n">
        <v>4</v>
      </c>
      <c r="D9" t="n">
        <v>0</v>
      </c>
      <c r="E9" t="n">
        <v>4</v>
      </c>
      <c r="G9" s="2" t="n"/>
      <c r="H9" s="2" t="n"/>
      <c r="I9" s="2" t="n"/>
    </row>
    <row r="10">
      <c r="B10" s="3" t="n">
        <v>5</v>
      </c>
      <c r="C10" t="n">
        <v>3</v>
      </c>
      <c r="D10" t="n">
        <v>0</v>
      </c>
      <c r="E10" t="n">
        <v>3</v>
      </c>
      <c r="G10" s="2" t="n"/>
      <c r="H10" s="2" t="n"/>
      <c r="I10" s="2" t="n"/>
    </row>
    <row r="11">
      <c r="B11" s="3" t="inlineStr">
        <is>
          <t>Total general</t>
        </is>
      </c>
      <c r="C11" t="n">
        <v>50</v>
      </c>
      <c r="D11" t="n">
        <v>0</v>
      </c>
      <c r="E11" t="n">
        <v>50</v>
      </c>
      <c r="G11" s="2" t="n"/>
      <c r="H11" s="2" t="n"/>
      <c r="I11" s="2" t="n"/>
    </row>
    <row r="12">
      <c r="G12" s="2" t="n"/>
      <c r="H12" s="2" t="n"/>
      <c r="I12" s="2" t="n"/>
    </row>
    <row r="13"/>
    <row r="14"/>
    <row r="15"/>
    <row r="16"/>
    <row r="17"/>
    <row r="18">
      <c r="B18" s="1" t="inlineStr">
        <is>
          <t>Cuenta de Indicador 2</t>
        </is>
      </c>
      <c r="C18" s="1" t="inlineStr">
        <is>
          <t>Etiquetas de columna</t>
        </is>
      </c>
    </row>
    <row r="19">
      <c r="C19" t="inlineStr">
        <is>
          <t>TM</t>
        </is>
      </c>
      <c r="F19" t="inlineStr">
        <is>
          <t>Total TM</t>
        </is>
      </c>
      <c r="G19" t="inlineStr">
        <is>
          <t>TT</t>
        </is>
      </c>
      <c r="H19" t="inlineStr">
        <is>
          <t>Total TT</t>
        </is>
      </c>
      <c r="I19" t="inlineStr">
        <is>
          <t>Total general</t>
        </is>
      </c>
    </row>
    <row r="20">
      <c r="B20" s="1" t="inlineStr">
        <is>
          <t>Etiquetas de fila</t>
        </is>
      </c>
      <c r="C20" t="inlineStr">
        <is>
          <t>NOVENO</t>
        </is>
      </c>
      <c r="D20" t="inlineStr">
        <is>
          <t>OCTAVO</t>
        </is>
      </c>
      <c r="E20" t="inlineStr">
        <is>
          <t>SEPTIMO</t>
        </is>
      </c>
      <c r="G20" t="inlineStr">
        <is>
          <t>SEPTIMO</t>
        </is>
      </c>
    </row>
    <row r="21">
      <c r="B21" s="3" t="n">
        <v>1</v>
      </c>
      <c r="C21" t="n">
        <v>20</v>
      </c>
      <c r="D21" t="n">
        <v>25</v>
      </c>
      <c r="E21" t="n">
        <v>34</v>
      </c>
      <c r="F21" t="n">
        <v>79</v>
      </c>
      <c r="I21" t="n">
        <v>79</v>
      </c>
    </row>
    <row r="22">
      <c r="B22" s="3" t="n">
        <v>2</v>
      </c>
      <c r="C22" t="n">
        <v>8</v>
      </c>
      <c r="E22" t="n">
        <v>5</v>
      </c>
      <c r="F22" t="n">
        <v>13</v>
      </c>
      <c r="I22" t="n">
        <v>13</v>
      </c>
    </row>
    <row r="23">
      <c r="B23" s="3" t="n">
        <v>3</v>
      </c>
      <c r="C23" t="n">
        <v>6</v>
      </c>
      <c r="D23" t="n">
        <v>1</v>
      </c>
      <c r="E23" t="n">
        <v>4</v>
      </c>
      <c r="F23" t="n">
        <v>11</v>
      </c>
      <c r="G23" t="n">
        <v>9</v>
      </c>
      <c r="H23" t="n">
        <v>9</v>
      </c>
      <c r="I23" t="n">
        <v>20</v>
      </c>
    </row>
    <row r="24">
      <c r="B24" s="3" t="n">
        <v>4</v>
      </c>
      <c r="C24" t="n">
        <v>8</v>
      </c>
      <c r="D24" t="n">
        <v>14</v>
      </c>
      <c r="E24" t="n">
        <v>4</v>
      </c>
      <c r="F24" t="n">
        <v>26</v>
      </c>
      <c r="G24" t="n">
        <v>41</v>
      </c>
      <c r="H24" t="n">
        <v>41</v>
      </c>
      <c r="I24" t="n">
        <v>67</v>
      </c>
    </row>
    <row r="25">
      <c r="B25" s="3" t="n">
        <v>5</v>
      </c>
      <c r="C25" t="n">
        <v>8</v>
      </c>
      <c r="D25" t="n">
        <v>10</v>
      </c>
      <c r="E25" t="n">
        <v>3</v>
      </c>
      <c r="F25" t="n">
        <v>21</v>
      </c>
      <c r="I25" t="n">
        <v>21</v>
      </c>
    </row>
    <row r="26">
      <c r="B26" s="3" t="inlineStr">
        <is>
          <t>Total general</t>
        </is>
      </c>
      <c r="C26" t="n">
        <v>50</v>
      </c>
      <c r="D26" t="n">
        <v>50</v>
      </c>
      <c r="E26" t="n">
        <v>50</v>
      </c>
      <c r="F26" t="n">
        <v>150</v>
      </c>
      <c r="G26" t="n">
        <v>50</v>
      </c>
      <c r="H26" t="n">
        <v>50</v>
      </c>
      <c r="I26" t="n">
        <v>200</v>
      </c>
    </row>
    <row r="27"/>
    <row r="28">
      <c r="B28" s="1" t="inlineStr">
        <is>
          <t>Cuenta de Indicador 2</t>
        </is>
      </c>
      <c r="C28" s="1" t="inlineStr">
        <is>
          <t>Etiquetas de columna</t>
        </is>
      </c>
    </row>
    <row r="29">
      <c r="C29" t="inlineStr">
        <is>
          <t>TM</t>
        </is>
      </c>
      <c r="F29" t="inlineStr">
        <is>
          <t>Total TM</t>
        </is>
      </c>
      <c r="G29" t="inlineStr">
        <is>
          <t>TT</t>
        </is>
      </c>
      <c r="H29" t="inlineStr">
        <is>
          <t>Total TT</t>
        </is>
      </c>
      <c r="I29" t="inlineStr">
        <is>
          <t>Total general</t>
        </is>
      </c>
    </row>
    <row r="30">
      <c r="B30" s="1" t="inlineStr">
        <is>
          <t>Etiquetas de fila</t>
        </is>
      </c>
      <c r="C30" t="inlineStr">
        <is>
          <t>NOVENO</t>
        </is>
      </c>
      <c r="D30" t="inlineStr">
        <is>
          <t>OCTAVO</t>
        </is>
      </c>
      <c r="E30" t="inlineStr">
        <is>
          <t>SEPTIMO</t>
        </is>
      </c>
      <c r="G30" t="inlineStr">
        <is>
          <t>SEPTIMO</t>
        </is>
      </c>
    </row>
    <row r="31">
      <c r="B31" s="3" t="inlineStr">
        <is>
          <t>A mejorar</t>
        </is>
      </c>
      <c r="C31" t="n">
        <v>28</v>
      </c>
      <c r="D31" t="n">
        <v>25</v>
      </c>
      <c r="E31" t="n">
        <v>39</v>
      </c>
      <c r="F31" t="n">
        <v>92</v>
      </c>
      <c r="I31" t="n">
        <v>92</v>
      </c>
    </row>
    <row r="32">
      <c r="B32" s="3" t="inlineStr">
        <is>
          <t>Bueno</t>
        </is>
      </c>
      <c r="C32" t="n">
        <v>6</v>
      </c>
      <c r="D32" t="n">
        <v>1</v>
      </c>
      <c r="E32" t="n">
        <v>4</v>
      </c>
      <c r="F32" t="n">
        <v>11</v>
      </c>
      <c r="G32" t="n">
        <v>9</v>
      </c>
      <c r="H32" t="n">
        <v>9</v>
      </c>
      <c r="I32" t="n">
        <v>20</v>
      </c>
    </row>
    <row r="33">
      <c r="B33" s="3" t="inlineStr">
        <is>
          <t xml:space="preserve">Muy bueno </t>
        </is>
      </c>
      <c r="C33" t="n">
        <v>16</v>
      </c>
      <c r="D33" t="n">
        <v>24</v>
      </c>
      <c r="E33" t="n">
        <v>7</v>
      </c>
      <c r="F33" t="n">
        <v>47</v>
      </c>
      <c r="G33" t="n">
        <v>41</v>
      </c>
      <c r="H33" t="n">
        <v>41</v>
      </c>
      <c r="I33" t="n">
        <v>88</v>
      </c>
    </row>
    <row r="34">
      <c r="B34" s="3" t="inlineStr">
        <is>
          <t>Total general</t>
        </is>
      </c>
      <c r="C34" t="n">
        <v>50</v>
      </c>
      <c r="D34" t="n">
        <v>50</v>
      </c>
      <c r="E34" t="n">
        <v>50</v>
      </c>
      <c r="F34" t="n">
        <v>150</v>
      </c>
      <c r="G34" t="n">
        <v>50</v>
      </c>
      <c r="H34" t="n">
        <v>50</v>
      </c>
      <c r="I34" t="n">
        <v>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7.85546875" customWidth="1" min="1" max="1"/>
    <col width="13.140625" customWidth="1" min="2" max="2"/>
  </cols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8.42578125" customWidth="1" min="1" max="1"/>
    <col width="52.28515625" customWidth="1" min="2" max="2"/>
    <col width="48.7109375" customWidth="1" min="3" max="3"/>
    <col width="20.140625" customWidth="1" min="4" max="4"/>
    <col width="17.7109375" customWidth="1" min="5" max="5"/>
    <col width="6" customWidth="1" min="6" max="6"/>
    <col width="3.28515625" customWidth="1" min="7" max="7"/>
    <col width="12.42578125" customWidth="1" min="8" max="8"/>
    <col width="8.7109375" customWidth="1" min="9" max="9"/>
    <col width="7.28515625" customWidth="1" min="10" max="10"/>
    <col width="3.5703125" customWidth="1" min="11" max="11"/>
    <col width="3.140625" customWidth="1" min="12" max="12"/>
    <col width="4.140625" customWidth="1" min="13" max="13"/>
    <col width="17.85546875" customWidth="1" min="14" max="14"/>
    <col width="13.140625" customWidth="1" min="15" max="15"/>
    <col width="11.5703125" customWidth="1" min="16" max="16"/>
    <col width="20.5703125" customWidth="1" min="17" max="17"/>
    <col width="14.85546875" customWidth="1" min="18" max="18"/>
    <col width="12.5703125" customWidth="1" min="19" max="19"/>
    <col width="3.140625" customWidth="1" min="20" max="20"/>
    <col width="4.7109375" customWidth="1" min="21" max="21"/>
  </cols>
  <sheetData>
    <row r="1">
      <c r="A1" s="4" t="inlineStr">
        <is>
          <t>Categoría</t>
        </is>
      </c>
      <c r="B1" s="5" t="inlineStr">
        <is>
          <t xml:space="preserve">Indicador </t>
        </is>
      </c>
      <c r="C1" s="5" t="inlineStr">
        <is>
          <t xml:space="preserve">Indicador </t>
        </is>
      </c>
      <c r="D1" s="6" t="inlineStr">
        <is>
          <t>Tipo de Indicador</t>
        </is>
      </c>
      <c r="E1" s="7" t="inlineStr">
        <is>
          <t>Cantidad de veces</t>
        </is>
      </c>
      <c r="F1" t="inlineStr">
        <is>
          <t>NOTA</t>
        </is>
      </c>
      <c r="G1" t="inlineStr">
        <is>
          <t>PR</t>
        </is>
      </c>
      <c r="H1" t="inlineStr">
        <is>
          <t>VALORACION</t>
        </is>
      </c>
      <c r="I1" t="inlineStr">
        <is>
          <t>GRADO</t>
        </is>
      </c>
      <c r="J1" t="inlineStr">
        <is>
          <t>TURNO</t>
        </is>
      </c>
      <c r="K1" t="inlineStr">
        <is>
          <t>NF</t>
        </is>
      </c>
      <c r="L1">
        <f>+'[1]Datos '!G37</f>
        <v/>
      </c>
      <c r="N1">
        <f>+GETPIVOTDATA("Cantidad de veces",$P$3)</f>
        <v/>
      </c>
    </row>
    <row r="2">
      <c r="A2" s="8" t="inlineStr">
        <is>
          <t>Académica</t>
        </is>
      </c>
      <c r="B2" s="9">
        <f>+CONCATENATE(LEFT(D2,3),"-",C2)</f>
        <v/>
      </c>
      <c r="C2" s="9" t="inlineStr">
        <is>
          <t>02. Presenta lagunas en conocimientos previos.</t>
        </is>
      </c>
      <c r="D2" s="10" t="inlineStr">
        <is>
          <t>Alerta/Mejora</t>
        </is>
      </c>
      <c r="E2" s="11" t="n">
        <v>37</v>
      </c>
      <c r="F2">
        <f>IF(D2="Alerta/Mejora",
  IF(E2&lt;=3, 5, IF(E2&lt;=7, 4, IF(E2&lt;=11, 3, IF(E2&lt;=15, 2, 1)))),
  IF(E2&gt;=34, 5, IF(E2&gt;=30, 4, IF(E2&gt;=26, 3, IF(E2&gt;=22, 2, 1))))
)</f>
        <v/>
      </c>
      <c r="G2">
        <f>+L$1-E2</f>
        <v/>
      </c>
      <c r="H2">
        <f>VLOOKUP(F2, REGLA1, 2, FALSE)</f>
        <v/>
      </c>
      <c r="I2" t="inlineStr">
        <is>
          <t>SEPTIMO</t>
        </is>
      </c>
      <c r="J2" t="inlineStr">
        <is>
          <t>TM</t>
        </is>
      </c>
      <c r="K2">
        <f>IFERROR(
ROUND(
IF(
SUMIFS($D$2:$D$200,$F$2:$F$200,F2,$H$2:$H$200,TRIM(H2),$I$2:$I$200,TRIM(I2))=0,
0,
SUMIFS($D$2:$D$200,$F$2:$F$200,F2,$H$2:$H$200,TRIM(H2),$I$2:$I$200,TRIM(I2))
/
SUMIFS($D$2:$D$200,$H$2:$H$200,TRIM(H2),$I$2:$I$200,TRIM(I2))
*$K$1
),0),0)</f>
        <v/>
      </c>
    </row>
    <row r="3">
      <c r="A3" s="8" t="inlineStr">
        <is>
          <t>Académica</t>
        </is>
      </c>
      <c r="B3" s="9">
        <f>+CONCATENATE(LEFT(D3,3),"-",C3)</f>
        <v/>
      </c>
      <c r="C3" s="9" t="inlineStr">
        <is>
          <t>04. Se limita a memorizar sin comprender.</t>
        </is>
      </c>
      <c r="D3" s="10" t="inlineStr">
        <is>
          <t>Alerta/Mejora</t>
        </is>
      </c>
      <c r="E3" s="11">
        <f>37-19</f>
        <v/>
      </c>
      <c r="F3">
        <f>IF(D3="Alerta/Mejora",
  IF(E3&lt;=3, 5, IF(E3&lt;=7, 4, IF(E3&lt;=11, 3, IF(E3&lt;=15, 2, 1)))),
  IF(E3&gt;=34, 5, IF(E3&gt;=30, 4, IF(E3&gt;=26, 3, IF(E3&gt;=22, 2, 1))))
)</f>
        <v/>
      </c>
      <c r="G3">
        <f>+L$1-E3</f>
        <v/>
      </c>
      <c r="H3">
        <f>VLOOKUP(F3, REGLA1, 2, FALSE)</f>
        <v/>
      </c>
      <c r="I3" t="inlineStr">
        <is>
          <t>SEPTIMO</t>
        </is>
      </c>
      <c r="J3" t="inlineStr">
        <is>
          <t>TM</t>
        </is>
      </c>
      <c r="K3">
        <f>IFERROR(
ROUND(
IF(
SUMIFS($D$2:$D$200,$F$2:$F$200,F3,$H$2:$H$200,TRIM(H3),$I$2:$I$200,TRIM(I3))=0,
0,
SUMIFS($D$2:$D$200,$F$2:$F$200,F3,$H$2:$H$200,TRIM(H3),$I$2:$I$200,TRIM(I3))
/
SUMIFS($D$2:$D$200,$H$2:$H$200,TRIM(H3),$I$2:$I$200,TRIM(I3))
*$K$1
),0),0)</f>
        <v/>
      </c>
      <c r="L3" s="12" t="n">
        <v>0</v>
      </c>
      <c r="M3" s="12" t="n">
        <v>21</v>
      </c>
      <c r="N3" s="13" t="n">
        <v>1</v>
      </c>
      <c r="P3" s="1" t="inlineStr">
        <is>
          <t>Promedio de Cantidad de veces</t>
        </is>
      </c>
      <c r="Q3" s="1" t="inlineStr">
        <is>
          <t>Etiquetas de columna</t>
        </is>
      </c>
    </row>
    <row r="4">
      <c r="A4" s="8" t="inlineStr">
        <is>
          <t>Académica</t>
        </is>
      </c>
      <c r="B4" s="9">
        <f>+CONCATENATE(LEFT(D4,3),"-",C4)</f>
        <v/>
      </c>
      <c r="C4" s="9" t="inlineStr">
        <is>
          <t>06. Entrega tareas incompletas o descuidadas.</t>
        </is>
      </c>
      <c r="D4" s="10" t="inlineStr">
        <is>
          <t>Alerta/Mejora</t>
        </is>
      </c>
      <c r="E4" s="11" t="n">
        <v>4</v>
      </c>
      <c r="F4">
        <f>IF(D4="Alerta/Mejora",
IF(E4&lt;=3, 5, IF(E4&lt;=7, 4, IF(E4&lt;=11, 3, IF(E4&lt;=15, 2, 1)))),
IF(E4&gt;=34, 5, IF(E4&gt;=30, 4, IF(E4&gt;=26, 3, IF(E4&gt;=22, 2, 1))))
)</f>
        <v/>
      </c>
      <c r="G4">
        <f>+L$1-E4</f>
        <v/>
      </c>
      <c r="H4">
        <f>VLOOKUP(F4, REGLA1, 2, FALSE)</f>
        <v/>
      </c>
      <c r="I4" t="inlineStr">
        <is>
          <t>SEPTIMO</t>
        </is>
      </c>
      <c r="J4" t="inlineStr">
        <is>
          <t>TM</t>
        </is>
      </c>
      <c r="K4">
        <f>IFERROR(
ROUND(
IF(
SUMIFS($D$2:$D$200,$F$2:$F$200,F4,$H$2:$H$200,TRIM(H4),$I$2:$I$200,TRIM(I4))=0,
0,
SUMIFS($D$2:$D$200,$F$2:$F$200,F4,$H$2:$H$200,TRIM(H4),$I$2:$I$200,TRIM(I4))
/
SUMIFS($D$2:$D$200,$H$2:$H$200,TRIM(H4),$I$2:$I$200,TRIM(I4))
*
$K$1),0),0)</f>
        <v/>
      </c>
      <c r="L4" s="12" t="n">
        <v>22</v>
      </c>
      <c r="M4" s="12" t="n">
        <v>25</v>
      </c>
      <c r="N4" s="13" t="n">
        <v>2</v>
      </c>
      <c r="P4" s="1" t="inlineStr">
        <is>
          <t>Etiquetas de fila</t>
        </is>
      </c>
      <c r="Q4" t="inlineStr">
        <is>
          <t>Alerta/Mejora</t>
        </is>
      </c>
      <c r="R4" t="inlineStr">
        <is>
          <t>Fortaleza/Logro</t>
        </is>
      </c>
      <c r="S4" t="inlineStr">
        <is>
          <t>Total general</t>
        </is>
      </c>
    </row>
    <row r="5">
      <c r="A5" s="8" t="inlineStr">
        <is>
          <t>Académica</t>
        </is>
      </c>
      <c r="B5" s="9">
        <f>+CONCATENATE(LEFT(D5,3),"-",C5)</f>
        <v/>
      </c>
      <c r="C5" s="9" t="inlineStr">
        <is>
          <t>08. Se bloquea ante desafíos matemáticos.</t>
        </is>
      </c>
      <c r="D5" s="10" t="inlineStr">
        <is>
          <t>Alerta/Mejora</t>
        </is>
      </c>
      <c r="E5" s="11" t="n">
        <v>18</v>
      </c>
      <c r="F5">
        <f>IF(D5="Alerta/Mejora",
IF(E5&lt;=3, 5, IF(E5&lt;=7, 4, IF(E5&lt;=11, 3, IF(E5&lt;=15, 2, 1)))),
IF(E5&gt;=34, 5, IF(E5&gt;=30, 4, IF(E5&gt;=26, 3, IF(E5&gt;=22, 2, 1))))
)</f>
        <v/>
      </c>
      <c r="G5">
        <f>+L$1-E5</f>
        <v/>
      </c>
      <c r="H5">
        <f>VLOOKUP(F5, REGLA1, 2, FALSE)</f>
        <v/>
      </c>
      <c r="I5" t="inlineStr">
        <is>
          <t>SEPTIMO</t>
        </is>
      </c>
      <c r="J5" t="inlineStr">
        <is>
          <t>TM</t>
        </is>
      </c>
      <c r="K5">
        <f>IFERROR(
ROUND(
IF(
SUMIFS($D$2:$D$200,$F$2:$F$200,F5,$H$2:$H$200,TRIM(H5),$I$2:$I$200,TRIM(I5))=0,
0,
SUMIFS($D$2:$D$200,$F$2:$F$200,F5,$H$2:$H$200,TRIM(H5),$I$2:$I$200,TRIM(I5))
/
SUMIFS($D$2:$D$200,$H$2:$H$200,TRIM(H5),$I$2:$I$200,TRIM(I5))
*
$K$1),0),0)</f>
        <v/>
      </c>
      <c r="L5" s="12" t="n">
        <v>26</v>
      </c>
      <c r="M5" s="12" t="n">
        <v>29</v>
      </c>
      <c r="N5" s="13" t="n">
        <v>3</v>
      </c>
      <c r="P5" s="3" t="inlineStr">
        <is>
          <t>Académica</t>
        </is>
      </c>
      <c r="Q5" t="n">
        <v>3.5</v>
      </c>
      <c r="R5" t="n">
        <v>11.25</v>
      </c>
      <c r="S5" t="n">
        <v>7.375</v>
      </c>
    </row>
    <row r="6">
      <c r="A6" s="8" t="inlineStr">
        <is>
          <t>Académica</t>
        </is>
      </c>
      <c r="B6" s="9">
        <f>+CONCATENATE(LEFT(D6,3),"-",C6)</f>
        <v/>
      </c>
      <c r="C6" s="9" t="inlineStr">
        <is>
          <t>10. Tiene dificultades de expresión oral/escrita.</t>
        </is>
      </c>
      <c r="D6" s="10" t="inlineStr">
        <is>
          <t>Alerta/Mejora</t>
        </is>
      </c>
      <c r="E6" s="11" t="n">
        <v>14</v>
      </c>
      <c r="F6">
        <f>IF(D6="Alerta/Mejora",
IF(E6&lt;=3, 5, IF(E6&lt;=7, 4, IF(E6&lt;=11, 3, IF(E6&lt;=15, 2, 1)))),
IF(E6&gt;=34, 5, IF(E6&gt;=30, 4, IF(E6&gt;=26, 3, IF(E6&gt;=22, 2, 1))))
)</f>
        <v/>
      </c>
      <c r="G6">
        <f>+L$1-E6</f>
        <v/>
      </c>
      <c r="H6">
        <f>VLOOKUP(F6, REGLA1, 2, FALSE)</f>
        <v/>
      </c>
      <c r="I6" t="inlineStr">
        <is>
          <t>SEPTIMO</t>
        </is>
      </c>
      <c r="J6" t="inlineStr">
        <is>
          <t>TM</t>
        </is>
      </c>
      <c r="K6">
        <f>IFERROR(
ROUND(
IF(
SUMIFS($D$2:$D$200,$F$2:$F$200,F6,$H$2:$H$200,TRIM(H6),$I$2:$I$200,TRIM(I6))=0,
0,
SUMIFS($D$2:$D$200,$F$2:$F$200,F6,$H$2:$H$200,TRIM(H6),$I$2:$I$200,TRIM(I6))
/
SUMIFS($D$2:$D$200,$H$2:$H$200,TRIM(H6),$I$2:$I$200,TRIM(I6))
*
$K$1),0),0)</f>
        <v/>
      </c>
      <c r="L6" s="12" t="n">
        <v>30</v>
      </c>
      <c r="M6" s="12" t="n">
        <v>33</v>
      </c>
      <c r="N6" s="13" t="n">
        <v>4</v>
      </c>
      <c r="P6" s="3" t="inlineStr">
        <is>
          <t>Actitudinal</t>
        </is>
      </c>
      <c r="Q6" t="n">
        <v>2.666666666666667</v>
      </c>
      <c r="R6" t="n">
        <v>32.33333333333334</v>
      </c>
      <c r="S6" t="n">
        <v>17.5</v>
      </c>
    </row>
    <row r="7" ht="18.75" customHeight="1">
      <c r="A7" s="8" t="inlineStr">
        <is>
          <t>Académica</t>
        </is>
      </c>
      <c r="B7" s="9">
        <f>+CONCATENATE(LEFT(D7,3),"-",C7)</f>
        <v/>
      </c>
      <c r="C7" s="9" t="inlineStr">
        <is>
          <t>12. Muestra rechazo o desinterés por la lectura.</t>
        </is>
      </c>
      <c r="D7" s="10" t="inlineStr">
        <is>
          <t>Alerta/Mejora</t>
        </is>
      </c>
      <c r="E7" s="11" t="n">
        <v>11</v>
      </c>
      <c r="F7">
        <f>IF(D7="Alerta/Mejora",
IF(E7&lt;=3, 5, IF(E7&lt;=7, 4, IF(E7&lt;=11, 3, IF(E7&lt;=15, 2, 1)))),
IF(E7&gt;=34, 5, IF(E7&gt;=30, 4, IF(E7&gt;=26, 3, IF(E7&gt;=22, 2, 1))))
)</f>
        <v/>
      </c>
      <c r="G7">
        <f>+L$1-E7</f>
        <v/>
      </c>
      <c r="H7">
        <f>VLOOKUP(F7, REGLA1, 2, FALSE)</f>
        <v/>
      </c>
      <c r="I7" t="inlineStr">
        <is>
          <t>SEPTIMO</t>
        </is>
      </c>
      <c r="J7" t="inlineStr">
        <is>
          <t>TM</t>
        </is>
      </c>
      <c r="K7">
        <f>IFERROR(
ROUND(
IF(
SUMIFS($D$2:$D$200,$F$2:$F$200,F7,$H$2:$H$200,TRIM(H7),$I$2:$I$200,TRIM(I7))=0,
0,
SUMIFS($D$2:$D$200,$F$2:$F$200,F7,$H$2:$H$200,TRIM(H7),$I$2:$I$200,TRIM(I7))
/
SUMIFS($D$2:$D$200,$H$2:$H$200,TRIM(H7),$I$2:$I$200,TRIM(I7))
*
$K$1),0),0)</f>
        <v/>
      </c>
      <c r="L7" s="12" t="n">
        <v>34</v>
      </c>
      <c r="M7" s="14" t="n">
        <v>37</v>
      </c>
      <c r="N7" s="13" t="n">
        <v>5</v>
      </c>
      <c r="P7" s="3" t="inlineStr">
        <is>
          <t>Conductual</t>
        </is>
      </c>
      <c r="Q7" t="n">
        <v>4.125</v>
      </c>
      <c r="R7" t="n">
        <v>29.875</v>
      </c>
      <c r="S7" t="n">
        <v>17</v>
      </c>
    </row>
    <row r="8">
      <c r="A8" s="8" t="inlineStr">
        <is>
          <t>Académica</t>
        </is>
      </c>
      <c r="B8" s="9">
        <f>+CONCATENATE(LEFT(D8,3),"-",C8)</f>
        <v/>
      </c>
      <c r="C8" s="9" t="inlineStr">
        <is>
          <t>14. Requiere supervisión constante para avanzar.</t>
        </is>
      </c>
      <c r="D8" s="10" t="inlineStr">
        <is>
          <t>Alerta/Mejora</t>
        </is>
      </c>
      <c r="E8" s="11">
        <f>37-18</f>
        <v/>
      </c>
      <c r="F8">
        <f>IF(D8="Alerta/Mejora",
IF(E8&lt;=3, 5, IF(E8&lt;=7, 4, IF(E8&lt;=11, 3, IF(E8&lt;=15, 2, 1)))),
IF(E8&gt;=34, 5, IF(E8&gt;=30, 4, IF(E8&gt;=26, 3, IF(E8&gt;=22, 2, 1))))
)</f>
        <v/>
      </c>
      <c r="G8">
        <f>+L$1-E8</f>
        <v/>
      </c>
      <c r="H8">
        <f>VLOOKUP(F8, REGLA1, 2, FALSE)</f>
        <v/>
      </c>
      <c r="I8" t="inlineStr">
        <is>
          <t>SEPTIMO</t>
        </is>
      </c>
      <c r="J8" t="inlineStr">
        <is>
          <t>TM</t>
        </is>
      </c>
      <c r="K8">
        <f>IFERROR(
ROUND(
IF(
SUMIFS($D$2:$D$200,$F$2:$F$200,F8,$H$2:$H$200,TRIM(H8),$I$2:$I$200,TRIM(I8))=0,
0,
SUMIFS($D$2:$D$200,$F$2:$F$200,F8,$H$2:$H$200,TRIM(H8),$I$2:$I$200,TRIM(I8))
/
SUMIFS($D$2:$D$200,$H$2:$H$200,TRIM(H8),$I$2:$I$200,TRIM(I8))
*
$K$1),0),0)</f>
        <v/>
      </c>
      <c r="P8" s="3" t="inlineStr">
        <is>
          <t>Socio-Emocional</t>
        </is>
      </c>
      <c r="Q8" t="n">
        <v>3.333333333333333</v>
      </c>
      <c r="R8" t="n">
        <v>27</v>
      </c>
      <c r="S8" t="n">
        <v>15.16666666666667</v>
      </c>
    </row>
    <row r="9">
      <c r="A9" s="8" t="inlineStr">
        <is>
          <t>Académica</t>
        </is>
      </c>
      <c r="B9" s="9">
        <f>+CONCATENATE(LEFT(D9,3),"-",C9)</f>
        <v/>
      </c>
      <c r="C9" s="9" t="inlineStr">
        <is>
          <t>16. Muestra apatía por temas nuevos.</t>
        </is>
      </c>
      <c r="D9" s="10" t="inlineStr">
        <is>
          <t>Alerta/Mejora</t>
        </is>
      </c>
      <c r="E9" s="11" t="n">
        <v>7</v>
      </c>
      <c r="F9">
        <f>IF(D9="Alerta/Mejora",
IF(E9&lt;=3, 5, IF(E9&lt;=7, 4, IF(E9&lt;=11, 3, IF(E9&lt;=15, 2, 1)))),
IF(E9&gt;=34, 5, IF(E9&gt;=30, 4, IF(E9&gt;=26, 3, IF(E9&gt;=22, 2, 1))))
)</f>
        <v/>
      </c>
      <c r="G9">
        <f>+L$1-E9</f>
        <v/>
      </c>
      <c r="H9">
        <f>VLOOKUP(F9, REGLA1, 2, FALSE)</f>
        <v/>
      </c>
      <c r="I9" t="inlineStr">
        <is>
          <t>SEPTIMO</t>
        </is>
      </c>
      <c r="J9" t="inlineStr">
        <is>
          <t>TM</t>
        </is>
      </c>
      <c r="K9">
        <f>IFERROR(
ROUND(
IF(
SUMIFS($D$2:$D$200,$F$2:$F$200,F9,$H$2:$H$200,TRIM(H9),$I$2:$I$200,TRIM(I9))=0,
0,
SUMIFS($D$2:$D$200,$F$2:$F$200,F9,$H$2:$H$200,TRIM(H9),$I$2:$I$200,TRIM(I9))
/
SUMIFS($D$2:$D$200,$H$2:$H$200,TRIM(H9),$I$2:$I$200,TRIM(I9))
*
$K$1),0),0)</f>
        <v/>
      </c>
      <c r="P9" s="3" t="inlineStr">
        <is>
          <t>Total general</t>
        </is>
      </c>
      <c r="Q9" t="n">
        <v>3.56</v>
      </c>
      <c r="R9" t="n">
        <v>23.52</v>
      </c>
      <c r="S9" t="n">
        <v>13.54</v>
      </c>
    </row>
    <row r="10">
      <c r="A10" s="8" t="inlineStr">
        <is>
          <t>Conductual</t>
        </is>
      </c>
      <c r="B10" s="9">
        <f>+CONCATENATE(LEFT(D10,3),"-",C10)</f>
        <v/>
      </c>
      <c r="C10" s="9" t="inlineStr">
        <is>
          <t>18. Desafía activamente la autoridad.</t>
        </is>
      </c>
      <c r="D10" s="10" t="inlineStr">
        <is>
          <t>Alerta/Mejora</t>
        </is>
      </c>
      <c r="E10" s="11" t="n">
        <v>16</v>
      </c>
      <c r="F10">
        <f>IF(D10="Alerta/Mejora",
IF(E10&lt;=3, 5, IF(E10&lt;=7, 4, IF(E10&lt;=11, 3, IF(E10&lt;=15, 2, 1)))),
IF(E10&gt;=34, 5, IF(E10&gt;=30, 4, IF(E10&gt;=26, 3, IF(E10&gt;=22, 2, 1))))
)</f>
        <v/>
      </c>
      <c r="G10">
        <f>+L$1-E10</f>
        <v/>
      </c>
      <c r="H10">
        <f>VLOOKUP(F10, REGLA1, 2, FALSE)</f>
        <v/>
      </c>
      <c r="I10" t="inlineStr">
        <is>
          <t>SEPTIMO</t>
        </is>
      </c>
      <c r="J10" t="inlineStr">
        <is>
          <t>TM</t>
        </is>
      </c>
      <c r="K10">
        <f>IFERROR(
ROUND(
IF(
SUMIFS($D$2:$D$200,$F$2:$F$200,F10,$H$2:$H$200,TRIM(H10),$I$2:$I$200,TRIM(I10))=0,
0,
SUMIFS($D$2:$D$200,$F$2:$F$200,F10,$H$2:$H$200,TRIM(H10),$I$2:$I$200,TRIM(I10))
/
SUMIFS($D$2:$D$200,$H$2:$H$200,TRIM(H10),$I$2:$I$200,TRIM(I10))
*
$K$1),0),0)</f>
        <v/>
      </c>
    </row>
    <row r="11">
      <c r="A11" s="8" t="inlineStr">
        <is>
          <t>Conductual</t>
        </is>
      </c>
      <c r="B11" s="9">
        <f>+CONCATENATE(LEFT(D11,3),"-",C11)</f>
        <v/>
      </c>
      <c r="C11" s="9" t="inlineStr">
        <is>
          <t>20. Presenta retardos o inasistencias frecuentes.</t>
        </is>
      </c>
      <c r="D11" s="10" t="inlineStr">
        <is>
          <t>Alerta/Mejora</t>
        </is>
      </c>
      <c r="E11" s="11" t="n">
        <v>2</v>
      </c>
      <c r="F11">
        <f>IF(D11="Alerta/Mejora",
IF(E11&lt;=3, 5, IF(E11&lt;=7, 4, IF(E11&lt;=11, 3, IF(E11&lt;=15, 2, 1)))),
IF(E11&gt;=34, 5, IF(E11&gt;=30, 4, IF(E11&gt;=26, 3, IF(E11&gt;=22, 2, 1))))
)</f>
        <v/>
      </c>
      <c r="G11">
        <f>+L$1-E11</f>
        <v/>
      </c>
      <c r="H11">
        <f>VLOOKUP(F11, REGLA1, 2, FALSE)</f>
        <v/>
      </c>
      <c r="I11" t="inlineStr">
        <is>
          <t>SEPTIMO</t>
        </is>
      </c>
      <c r="J11" t="inlineStr">
        <is>
          <t>TM</t>
        </is>
      </c>
      <c r="K11">
        <f>IFERROR(
ROUND(
IF(
SUMIFS($D$2:$D$200,$F$2:$F$200,F11,$H$2:$H$200,TRIM(H11),$I$2:$I$200,TRIM(I11))=0,
0,
SUMIFS($D$2:$D$200,$F$2:$F$200,F11,$H$2:$H$200,TRIM(H11),$I$2:$I$200,TRIM(I11))
/
SUMIFS($D$2:$D$200,$H$2:$H$200,TRIM(H11),$I$2:$I$200,TRIM(I11))
*
$K$1),0),0)</f>
        <v/>
      </c>
    </row>
    <row r="12">
      <c r="A12" s="8" t="inlineStr">
        <is>
          <t>Conductual</t>
        </is>
      </c>
      <c r="B12" s="9">
        <f>+CONCATENATE(LEFT(D12,3),"-",C12)</f>
        <v/>
      </c>
      <c r="C12" s="9" t="inlineStr">
        <is>
          <t>22. Daña el mobiliario o materiales escolares.</t>
        </is>
      </c>
      <c r="D12" s="10" t="inlineStr">
        <is>
          <t>Alerta/Mejora</t>
        </is>
      </c>
      <c r="E12" s="11" t="n">
        <v>1</v>
      </c>
      <c r="F12">
        <f>IF(D12="Alerta/Mejora",
IF(E12&lt;=3, 5, IF(E12&lt;=7, 4, IF(E12&lt;=11, 3, IF(E12&lt;=15, 2, 1)))),
IF(E12&gt;=34, 5, IF(E12&gt;=30, 4, IF(E12&gt;=26, 3, IF(E12&gt;=22, 2, 1))))
)</f>
        <v/>
      </c>
      <c r="G12">
        <f>+L$1-E12</f>
        <v/>
      </c>
      <c r="H12">
        <f>VLOOKUP(F12, REGLA1, 2, FALSE)</f>
        <v/>
      </c>
      <c r="I12" t="inlineStr">
        <is>
          <t>SEPTIMO</t>
        </is>
      </c>
      <c r="J12" t="inlineStr">
        <is>
          <t>TM</t>
        </is>
      </c>
      <c r="K12">
        <f>IFERROR(
ROUND(
IF(
SUMIFS($D$2:$D$200,$F$2:$F$200,F12,$H$2:$H$200,TRIM(H12),$I$2:$I$200,TRIM(I12))=0,
0,
SUMIFS($D$2:$D$200,$F$2:$F$200,F12,$H$2:$H$200,TRIM(H12),$I$2:$I$200,TRIM(I12))
/
SUMIFS($D$2:$D$200,$H$2:$H$200,TRIM(H12),$I$2:$I$200,TRIM(I12))
*
$K$1),0),0)</f>
        <v/>
      </c>
    </row>
    <row r="13">
      <c r="A13" s="8" t="inlineStr">
        <is>
          <t>Conductual</t>
        </is>
      </c>
      <c r="B13" s="9">
        <f>+CONCATENATE(LEFT(D13,3),"-",C13)</f>
        <v/>
      </c>
      <c r="C13" s="9" t="inlineStr">
        <is>
          <t>24. Interrumpe constantemente el flujo de clase.</t>
        </is>
      </c>
      <c r="D13" s="10" t="inlineStr">
        <is>
          <t>Alerta/Mejora</t>
        </is>
      </c>
      <c r="E13" s="11" t="n">
        <v>2</v>
      </c>
      <c r="F13">
        <f>IF(D13="Alerta/Mejora",
IF(E13&lt;=3, 5, IF(E13&lt;=7, 4, IF(E13&lt;=11, 3, IF(E13&lt;=15, 2, 1)))),
IF(E13&gt;=34, 5, IF(E13&gt;=30, 4, IF(E13&gt;=26, 3, IF(E13&gt;=22, 2, 1))))
)</f>
        <v/>
      </c>
      <c r="G13">
        <f>+L$1-E13</f>
        <v/>
      </c>
      <c r="H13">
        <f>VLOOKUP(F13, REGLA1, 2, FALSE)</f>
        <v/>
      </c>
      <c r="I13" t="inlineStr">
        <is>
          <t>SEPTIMO</t>
        </is>
      </c>
      <c r="J13" t="inlineStr">
        <is>
          <t>TM</t>
        </is>
      </c>
      <c r="K13">
        <f>IFERROR(
ROUND(
IF(
SUMIFS($D$2:$D$200,$F$2:$F$200,F13,$H$2:$H$200,TRIM(H13),$I$2:$I$200,TRIM(I13))=0,
0,
SUMIFS($D$2:$D$200,$F$2:$F$200,F13,$H$2:$H$200,TRIM(H13),$I$2:$I$200,TRIM(I13))
/
SUMIFS($D$2:$D$200,$H$2:$H$200,TRIM(H13),$I$2:$I$200,TRIM(I13))
*
$K$1),0),0)</f>
        <v/>
      </c>
    </row>
    <row r="14">
      <c r="A14" s="8" t="inlineStr">
        <is>
          <t>Conductual</t>
        </is>
      </c>
      <c r="B14" s="9">
        <f>+CONCATENATE(LEFT(D14,3),"-",C14)</f>
        <v/>
      </c>
      <c r="C14" s="9" t="inlineStr">
        <is>
          <t>26. Emplea lenguaje soez o despectivo.</t>
        </is>
      </c>
      <c r="D14" s="10" t="inlineStr">
        <is>
          <t>Alerta/Mejora</t>
        </is>
      </c>
      <c r="E14" s="11" t="n">
        <v>11</v>
      </c>
      <c r="F14">
        <f>IF(D14="Alerta/Mejora",
IF(E14&lt;=3, 5, IF(E14&lt;=7, 4, IF(E14&lt;=11, 3, IF(E14&lt;=15, 2, 1)))),
IF(E14&gt;=34, 5, IF(E14&gt;=30, 4, IF(E14&gt;=26, 3, IF(E14&gt;=22, 2, 1))))
)</f>
        <v/>
      </c>
      <c r="G14">
        <f>+L$1-E14</f>
        <v/>
      </c>
      <c r="H14">
        <f>VLOOKUP(F14, REGLA1, 2, FALSE)</f>
        <v/>
      </c>
      <c r="I14" t="inlineStr">
        <is>
          <t>SEPTIMO</t>
        </is>
      </c>
      <c r="J14" t="inlineStr">
        <is>
          <t>TM</t>
        </is>
      </c>
      <c r="K14">
        <f>IFERROR(
ROUND(
IF(
SUMIFS($D$2:$D$200,$F$2:$F$200,F14,$H$2:$H$200,TRIM(H14),$I$2:$I$200,TRIM(I14))=0,
0,
SUMIFS($D$2:$D$200,$F$2:$F$200,F14,$H$2:$H$200,TRIM(H14),$I$2:$I$200,TRIM(I14))
/
SUMIFS($D$2:$D$200,$H$2:$H$200,TRIM(H14),$I$2:$I$200,TRIM(I14))
*
$K$1),0),0)</f>
        <v/>
      </c>
    </row>
    <row r="15">
      <c r="A15" s="8" t="inlineStr">
        <is>
          <t>Conductual</t>
        </is>
      </c>
      <c r="B15" s="9">
        <f>+CONCATENATE(LEFT(D15,3),"-",C15)</f>
        <v/>
      </c>
      <c r="C15" s="9" t="inlineStr">
        <is>
          <t>28. Miente o culpa a otros por sus actos.</t>
        </is>
      </c>
      <c r="D15" s="10" t="inlineStr">
        <is>
          <t>Alerta/Mejora</t>
        </is>
      </c>
      <c r="E15" s="11" t="n">
        <v>19</v>
      </c>
      <c r="F15">
        <f>IF(D15="Alerta/Mejora",
IF(E15&lt;=3, 5, IF(E15&lt;=7, 4, IF(E15&lt;=11, 3, IF(E15&lt;=15, 2, 1)))),
IF(E15&gt;=34, 5, IF(E15&gt;=30, 4, IF(E15&gt;=26, 3, IF(E15&gt;=22, 2, 1))))
)</f>
        <v/>
      </c>
      <c r="G15">
        <f>+L$1-E15</f>
        <v/>
      </c>
      <c r="H15">
        <f>VLOOKUP(F15, REGLA1, 2, FALSE)</f>
        <v/>
      </c>
      <c r="I15" t="inlineStr">
        <is>
          <t>SEPTIMO</t>
        </is>
      </c>
      <c r="J15" t="inlineStr">
        <is>
          <t>TM</t>
        </is>
      </c>
      <c r="K15">
        <f>IFERROR(
ROUND(
IF(
SUMIFS($D$2:$D$200,$F$2:$F$200,F15,$H$2:$H$200,TRIM(H15),$I$2:$I$200,TRIM(I15))=0,
0,
SUMIFS($D$2:$D$200,$F$2:$F$200,F15,$H$2:$H$200,TRIM(H15),$I$2:$I$200,TRIM(I15))
/
SUMIFS($D$2:$D$200,$H$2:$H$200,TRIM(H15),$I$2:$I$200,TRIM(I15))
*
$K$1),0),0)</f>
        <v/>
      </c>
    </row>
    <row r="16">
      <c r="A16" s="8" t="inlineStr">
        <is>
          <t>Conductual</t>
        </is>
      </c>
      <c r="B16" s="9">
        <f>+CONCATENATE(LEFT(D16,3),"-",C16)</f>
        <v/>
      </c>
      <c r="C16" s="9" t="inlineStr">
        <is>
          <t>30. Se distrae con dispositivos electrónicos.</t>
        </is>
      </c>
      <c r="D16" s="10" t="inlineStr">
        <is>
          <t>Alerta/Mejora</t>
        </is>
      </c>
      <c r="E16" s="11" t="n">
        <v>16</v>
      </c>
      <c r="F16">
        <f>IF(D16="Alerta/Mejora",
IF(E16&lt;=3, 5, IF(E16&lt;=7, 4, IF(E16&lt;=11, 3, IF(E16&lt;=15, 2, 1)))),
IF(E16&gt;=34, 5, IF(E16&gt;=30, 4, IF(E16&gt;=26, 3, IF(E16&gt;=22, 2, 1))))
)</f>
        <v/>
      </c>
      <c r="G16">
        <f>+L$1-E16</f>
        <v/>
      </c>
      <c r="H16">
        <f>VLOOKUP(F16, REGLA1, 2, FALSE)</f>
        <v/>
      </c>
      <c r="I16" t="inlineStr">
        <is>
          <t>SEPTIMO</t>
        </is>
      </c>
      <c r="J16" t="inlineStr">
        <is>
          <t>TM</t>
        </is>
      </c>
      <c r="K16">
        <f>IFERROR(
ROUND(
IF(
SUMIFS($D$2:$D$200,$F$2:$F$200,F16,$H$2:$H$200,TRIM(H16),$I$2:$I$200,TRIM(I16))=0,
0,
SUMIFS($D$2:$D$200,$F$2:$F$200,F16,$H$2:$H$200,TRIM(H16),$I$2:$I$200,TRIM(I16))
/
SUMIFS($D$2:$D$200,$H$2:$H$200,TRIM(H16),$I$2:$I$200,TRIM(I16))
*
$K$1),0),0)</f>
        <v/>
      </c>
    </row>
    <row r="17">
      <c r="A17" s="8" t="inlineStr">
        <is>
          <t>Conductual</t>
        </is>
      </c>
      <c r="B17" s="9">
        <f>+CONCATENATE(LEFT(D17,3),"-",C17)</f>
        <v/>
      </c>
      <c r="C17" s="9" t="inlineStr">
        <is>
          <t>32. Fomenta el desorden o el caos en el grupo.</t>
        </is>
      </c>
      <c r="D17" s="10" t="inlineStr">
        <is>
          <t>Alerta/Mejora</t>
        </is>
      </c>
      <c r="E17" s="11" t="n">
        <v>6</v>
      </c>
      <c r="F17">
        <f>IF(D17="Alerta/Mejora",
IF(E17&lt;=3, 5, IF(E17&lt;=7, 4, IF(E17&lt;=11, 3, IF(E17&lt;=15, 2, 1)))),
IF(E17&gt;=34, 5, IF(E17&gt;=30, 4, IF(E17&gt;=26, 3, IF(E17&gt;=22, 2, 1))))
)</f>
        <v/>
      </c>
      <c r="G17">
        <f>+L$1-E17</f>
        <v/>
      </c>
      <c r="H17">
        <f>VLOOKUP(F17, REGLA1, 2, FALSE)</f>
        <v/>
      </c>
      <c r="I17" t="inlineStr">
        <is>
          <t>SEPTIMO</t>
        </is>
      </c>
      <c r="J17" t="inlineStr">
        <is>
          <t>TM</t>
        </is>
      </c>
      <c r="K17">
        <f>IFERROR(
ROUND(
IF(
SUMIFS($D$2:$D$200,$F$2:$F$200,F17,$H$2:$H$200,TRIM(H17),$I$2:$I$200,TRIM(I17))=0,
0,
SUMIFS($D$2:$D$200,$F$2:$F$200,F17,$H$2:$H$200,TRIM(H17),$I$2:$I$200,TRIM(I17))
/
SUMIFS($D$2:$D$200,$H$2:$H$200,TRIM(H17),$I$2:$I$200,TRIM(I17))
*
$K$1),0),0)</f>
        <v/>
      </c>
    </row>
    <row r="18">
      <c r="A18" s="8" t="inlineStr">
        <is>
          <t>Socio-Emocional</t>
        </is>
      </c>
      <c r="B18" s="9">
        <f>+CONCATENATE(LEFT(D18,3),"-",C18)</f>
        <v/>
      </c>
      <c r="C18" s="9" t="inlineStr">
        <is>
          <t>34. Se rinde fácilmente ante la frustración.</t>
        </is>
      </c>
      <c r="D18" s="10" t="inlineStr">
        <is>
          <t>Alerta/Mejora</t>
        </is>
      </c>
      <c r="E18" s="11" t="n">
        <v>19</v>
      </c>
      <c r="F18">
        <f>IF(D18="Alerta/Mejora",
IF(E18&lt;=3, 5, IF(E18&lt;=7, 4, IF(E18&lt;=11, 3, IF(E18&lt;=15, 2, 1)))),
IF(E18&gt;=34, 5, IF(E18&gt;=30, 4, IF(E18&gt;=26, 3, IF(E18&gt;=22, 2, 1))))
)</f>
        <v/>
      </c>
      <c r="G18">
        <f>+L$1-E18</f>
        <v/>
      </c>
      <c r="H18">
        <f>VLOOKUP(F18, REGLA1, 2, FALSE)</f>
        <v/>
      </c>
      <c r="I18" t="inlineStr">
        <is>
          <t>SEPTIMO</t>
        </is>
      </c>
      <c r="J18" t="inlineStr">
        <is>
          <t>TM</t>
        </is>
      </c>
      <c r="K18">
        <f>IFERROR(
ROUND(
IF(
SUMIFS($D$2:$D$200,$F$2:$F$200,F18,$H$2:$H$200,TRIM(H18),$I$2:$I$200,TRIM(I18))=0,
0,
SUMIFS($D$2:$D$200,$F$2:$F$200,F18,$H$2:$H$200,TRIM(H18),$I$2:$I$200,TRIM(I18))
/
SUMIFS($D$2:$D$200,$H$2:$H$200,TRIM(H18),$I$2:$I$200,TRIM(I18))
*
$K$1),0),0)</f>
        <v/>
      </c>
    </row>
    <row r="19">
      <c r="A19" s="8" t="inlineStr">
        <is>
          <t>Socio-Emocional</t>
        </is>
      </c>
      <c r="B19" s="9">
        <f>+CONCATENATE(LEFT(D19,3),"-",C19)</f>
        <v/>
      </c>
      <c r="C19" s="9" t="inlineStr">
        <is>
          <t>36. Trabaja de forma aislada o es individualista.</t>
        </is>
      </c>
      <c r="D19" s="10" t="inlineStr">
        <is>
          <t>Alerta/Mejora</t>
        </is>
      </c>
      <c r="E19" s="11" t="n">
        <v>14</v>
      </c>
      <c r="F19">
        <f>IF(D19="Alerta/Mejora",
IF(E19&lt;=3, 5, IF(E19&lt;=7, 4, IF(E19&lt;=11, 3, IF(E19&lt;=15, 2, 1)))),
IF(E19&gt;=34, 5, IF(E19&gt;=30, 4, IF(E19&gt;=26, 3, IF(E19&gt;=22, 2, 1))))
)</f>
        <v/>
      </c>
      <c r="G19">
        <f>+L$1-E19</f>
        <v/>
      </c>
      <c r="H19">
        <f>VLOOKUP(F19, REGLA1, 2, FALSE)</f>
        <v/>
      </c>
      <c r="I19" t="inlineStr">
        <is>
          <t>SEPTIMO</t>
        </is>
      </c>
      <c r="J19" t="inlineStr">
        <is>
          <t>TM</t>
        </is>
      </c>
      <c r="K19">
        <f>IFERROR(
ROUND(
IF(
SUMIFS($D$2:$D$200,$F$2:$F$200,F19,$H$2:$H$200,TRIM(H19),$I$2:$I$200,TRIM(I19))=0,
0,
SUMIFS($D$2:$D$200,$F$2:$F$200,F19,$H$2:$H$200,TRIM(H19),$I$2:$I$200,TRIM(I19))
/
SUMIFS($D$2:$D$200,$H$2:$H$200,TRIM(H19),$I$2:$I$200,TRIM(I19))
*
$K$1),0),0)</f>
        <v/>
      </c>
    </row>
    <row r="20">
      <c r="A20" s="8" t="inlineStr">
        <is>
          <t>Socio-Emocional</t>
        </is>
      </c>
      <c r="B20" s="9">
        <f>+CONCATENATE(LEFT(D20,3),"-",C20)</f>
        <v/>
      </c>
      <c r="C20" s="9" t="inlineStr">
        <is>
          <t>38. Ignora o se burla de los sentimientos de otros.</t>
        </is>
      </c>
      <c r="D20" s="10" t="inlineStr">
        <is>
          <t>Alerta/Mejora</t>
        </is>
      </c>
      <c r="E20" s="11" t="n">
        <v>15</v>
      </c>
      <c r="F20">
        <f>IF(D20="Alerta/Mejora",
IF(E20&lt;=3, 5, IF(E20&lt;=7, 4, IF(E20&lt;=11, 3, IF(E20&lt;=15, 2, 1)))),
IF(E20&gt;=34, 5, IF(E20&gt;=30, 4, IF(E20&gt;=26, 3, IF(E20&gt;=22, 2, 1))))
)</f>
        <v/>
      </c>
      <c r="G20">
        <f>+L$1-E20</f>
        <v/>
      </c>
      <c r="H20">
        <f>VLOOKUP(F20, REGLA1, 2, FALSE)</f>
        <v/>
      </c>
      <c r="I20" t="inlineStr">
        <is>
          <t>SEPTIMO</t>
        </is>
      </c>
      <c r="J20" t="inlineStr">
        <is>
          <t>TM</t>
        </is>
      </c>
      <c r="K20">
        <f>IFERROR(
ROUND(
IF(
SUMIFS($D$2:$D$200,$F$2:$F$200,F20,$H$2:$H$200,TRIM(H20),$I$2:$I$200,TRIM(I20))=0,
0,
SUMIFS($D$2:$D$200,$F$2:$F$200,F20,$H$2:$H$200,TRIM(H20),$I$2:$I$200,TRIM(I20))
/
SUMIFS($D$2:$D$200,$H$2:$H$200,TRIM(H20),$I$2:$I$200,TRIM(I20))
*
$K$1),0),0)</f>
        <v/>
      </c>
    </row>
    <row r="21">
      <c r="A21" s="8" t="inlineStr">
        <is>
          <t>Socio-Emocional</t>
        </is>
      </c>
      <c r="B21" s="9">
        <f>+CONCATENATE(LEFT(D21,3),"-",C21)</f>
        <v/>
      </c>
      <c r="C21" s="9" t="inlineStr">
        <is>
          <t>40. Ejerce presión negativa o bullying.</t>
        </is>
      </c>
      <c r="D21" s="10" t="inlineStr">
        <is>
          <t>Alerta/Mejora</t>
        </is>
      </c>
      <c r="E21" s="11" t="n">
        <v>4</v>
      </c>
      <c r="F21">
        <f>IF(D21="Alerta/Mejora",
IF(E21&lt;=3, 5, IF(E21&lt;=7, 4, IF(E21&lt;=11, 3, IF(E21&lt;=15, 2, 1)))),
IF(E21&gt;=34, 5, IF(E21&gt;=30, 4, IF(E21&gt;=26, 3, IF(E21&gt;=22, 2, 1))))
)</f>
        <v/>
      </c>
      <c r="G21">
        <f>+L$1-E21</f>
        <v/>
      </c>
      <c r="H21">
        <f>VLOOKUP(F21, REGLA1, 2, FALSE)</f>
        <v/>
      </c>
      <c r="I21" t="inlineStr">
        <is>
          <t>SEPTIMO</t>
        </is>
      </c>
      <c r="J21" t="inlineStr">
        <is>
          <t>TM</t>
        </is>
      </c>
      <c r="K21">
        <f>IFERROR(
ROUND(
IF(
SUMIFS($D$2:$D$200,$F$2:$F$200,F21,$H$2:$H$200,TRIM(H21),$I$2:$I$200,TRIM(I21))=0,
0,
SUMIFS($D$2:$D$200,$F$2:$F$200,F21,$H$2:$H$200,TRIM(H21),$I$2:$I$200,TRIM(I21))
/
SUMIFS($D$2:$D$200,$H$2:$H$200,TRIM(H21),$I$2:$I$200,TRIM(I21))
*
$K$1),0),0)</f>
        <v/>
      </c>
    </row>
    <row r="22">
      <c r="A22" s="8" t="inlineStr">
        <is>
          <t>Socio-Emocional</t>
        </is>
      </c>
      <c r="B22" s="9">
        <f>+CONCATENATE(LEFT(D22,3),"-",C22)</f>
        <v/>
      </c>
      <c r="C22" s="9" t="inlineStr">
        <is>
          <t>42. Reacciona de forma agresiva o impulsiva.</t>
        </is>
      </c>
      <c r="D22" s="10" t="inlineStr">
        <is>
          <t>Alerta/Mejora</t>
        </is>
      </c>
      <c r="E22" s="11" t="n">
        <v>11</v>
      </c>
      <c r="F22">
        <f>IF(D22="Alerta/Mejora",
IF(E22&lt;=3, 5, IF(E22&lt;=7, 4, IF(E22&lt;=11, 3, IF(E22&lt;=15, 2, 1)))),
IF(E22&gt;=34, 5, IF(E22&gt;=30, 4, IF(E22&gt;=26, 3, IF(E22&gt;=22, 2, 1))))
)</f>
        <v/>
      </c>
      <c r="G22">
        <f>+L$1-E22</f>
        <v/>
      </c>
      <c r="H22">
        <f>VLOOKUP(F22, REGLA1, 2, FALSE)</f>
        <v/>
      </c>
      <c r="I22" t="inlineStr">
        <is>
          <t>SEPTIMO</t>
        </is>
      </c>
      <c r="J22" t="inlineStr">
        <is>
          <t>TM</t>
        </is>
      </c>
      <c r="K22">
        <f>IFERROR(
ROUND(
IF(
SUMIFS($D$2:$D$200,$F$2:$F$200,F22,$H$2:$H$200,TRIM(H22),$I$2:$I$200,TRIM(I22))=0,
0,
SUMIFS($D$2:$D$200,$F$2:$F$200,F22,$H$2:$H$200,TRIM(H22),$I$2:$I$200,TRIM(I22))
/
SUMIFS($D$2:$D$200,$H$2:$H$200,TRIM(H22),$I$2:$I$200,TRIM(I22))
*
$K$1),0),0)</f>
        <v/>
      </c>
    </row>
    <row r="23">
      <c r="A23" s="8" t="inlineStr">
        <is>
          <t>Socio-Emocional</t>
        </is>
      </c>
      <c r="B23" s="9">
        <f>+CONCATENATE(LEFT(D23,3),"-",C23)</f>
        <v/>
      </c>
      <c r="C23" s="9" t="inlineStr">
        <is>
          <t>44. Expresa inseguridad constante ("no puedo").</t>
        </is>
      </c>
      <c r="D23" s="10" t="inlineStr">
        <is>
          <t>Alerta/Mejora</t>
        </is>
      </c>
      <c r="E23" s="11" t="n">
        <v>19</v>
      </c>
      <c r="F23">
        <f>IF(D23="Alerta/Mejora",
IF(E23&lt;=3, 5, IF(E23&lt;=7, 4, IF(E23&lt;=11, 3, IF(E23&lt;=15, 2, 1)))),
IF(E23&gt;=34, 5, IF(E23&gt;=30, 4, IF(E23&gt;=26, 3, IF(E23&gt;=22, 2, 1))))
)</f>
        <v/>
      </c>
      <c r="G23">
        <f>+L$1-E23</f>
        <v/>
      </c>
      <c r="H23">
        <f>VLOOKUP(F23, REGLA1, 2, FALSE)</f>
        <v/>
      </c>
      <c r="I23" t="inlineStr">
        <is>
          <t>SEPTIMO</t>
        </is>
      </c>
      <c r="J23" t="inlineStr">
        <is>
          <t>TM</t>
        </is>
      </c>
      <c r="K23">
        <f>IFERROR(
ROUND(
IF(
SUMIFS($D$2:$D$200,$F$2:$F$200,F23,$H$2:$H$200,TRIM(H23),$I$2:$I$200,TRIM(I23))=0,
0,
SUMIFS($D$2:$D$200,$F$2:$F$200,F23,$H$2:$H$200,TRIM(H23),$I$2:$I$200,TRIM(I23))
/
SUMIFS($D$2:$D$200,$H$2:$H$200,TRIM(H23),$I$2:$I$200,TRIM(I23))
*
$K$1),0),0)</f>
        <v/>
      </c>
    </row>
    <row r="24">
      <c r="A24" s="8" t="inlineStr">
        <is>
          <t>Actitudinal</t>
        </is>
      </c>
      <c r="B24" s="9">
        <f>+CONCATENATE(LEFT(D24,3),"-",C24)</f>
        <v/>
      </c>
      <c r="C24" s="9" t="inlineStr">
        <is>
          <t>46. Requiere estímulos externos para trabajar.</t>
        </is>
      </c>
      <c r="D24" s="10" t="inlineStr">
        <is>
          <t>Alerta/Mejora</t>
        </is>
      </c>
      <c r="E24" s="11" t="n">
        <v>16</v>
      </c>
      <c r="F24">
        <f>IF(D24="Alerta/Mejora",
IF(E24&lt;=3, 5, IF(E24&lt;=7, 4, IF(E24&lt;=11, 3, IF(E24&lt;=15, 2, 1)))),
IF(E24&gt;=34, 5, IF(E24&gt;=30, 4, IF(E24&gt;=26, 3, IF(E24&gt;=22, 2, 1))))
)</f>
        <v/>
      </c>
      <c r="G24">
        <f>+L$1-E24</f>
        <v/>
      </c>
      <c r="H24">
        <f>VLOOKUP(F24, REGLA1, 2, FALSE)</f>
        <v/>
      </c>
      <c r="I24" t="inlineStr">
        <is>
          <t>SEPTIMO</t>
        </is>
      </c>
      <c r="J24" t="inlineStr">
        <is>
          <t>TM</t>
        </is>
      </c>
      <c r="K24">
        <f>IFERROR(
ROUND(
IF(
SUMIFS($D$2:$D$200,$F$2:$F$200,F24,$H$2:$H$200,TRIM(H24),$I$2:$I$200,TRIM(I24))=0,
0,
SUMIFS($D$2:$D$200,$F$2:$F$200,F24,$H$2:$H$200,TRIM(H24),$I$2:$I$200,TRIM(I24))
/
SUMIFS($D$2:$D$200,$H$2:$H$200,TRIM(H24),$I$2:$I$200,TRIM(I24))
*
$K$1),0),0)</f>
        <v/>
      </c>
    </row>
    <row r="25">
      <c r="A25" s="8" t="inlineStr">
        <is>
          <t>Actitudinal</t>
        </is>
      </c>
      <c r="B25" s="9">
        <f>+CONCATENATE(LEFT(D25,3),"-",C25)</f>
        <v/>
      </c>
      <c r="C25" s="9" t="inlineStr">
        <is>
          <t>48. Abandona proyectos a mitad de camino.</t>
        </is>
      </c>
      <c r="D25" s="10" t="inlineStr">
        <is>
          <t>Alerta/Mejora</t>
        </is>
      </c>
      <c r="E25" s="11" t="n">
        <v>19</v>
      </c>
      <c r="F25">
        <f>IF(D25="Alerta/Mejora",
IF(E25&lt;=3, 5, IF(E25&lt;=7, 4, IF(E25&lt;=11, 3, IF(E25&lt;=15, 2, 1)))),
IF(E25&gt;=34, 5, IF(E25&gt;=30, 4, IF(E25&gt;=26, 3, IF(E25&gt;=22, 2, 1))))
)</f>
        <v/>
      </c>
      <c r="G25">
        <f>+L$1-E25</f>
        <v/>
      </c>
      <c r="H25">
        <f>VLOOKUP(F25, REGLA1, 2, FALSE)</f>
        <v/>
      </c>
      <c r="I25" t="inlineStr">
        <is>
          <t>SEPTIMO</t>
        </is>
      </c>
      <c r="J25" t="inlineStr">
        <is>
          <t>TM</t>
        </is>
      </c>
      <c r="K25">
        <f>IFERROR(
ROUND(
IF(
SUMIFS($D$2:$D$200,$F$2:$F$200,F25,$H$2:$H$200,TRIM(H25),$I$2:$I$200,TRIM(I25))=0,
0,
SUMIFS($D$2:$D$200,$F$2:$F$200,F25,$H$2:$H$200,TRIM(H25),$I$2:$I$200,TRIM(I25))
/
SUMIFS($D$2:$D$200,$H$2:$H$200,TRIM(H25),$I$2:$I$200,TRIM(I25))
*
$K$1),0),0)</f>
        <v/>
      </c>
    </row>
    <row r="26">
      <c r="A26" s="8" t="inlineStr">
        <is>
          <t>Actitudinal</t>
        </is>
      </c>
      <c r="B26" s="9">
        <f>+CONCATENATE(LEFT(D26,3),"-",C26)</f>
        <v/>
      </c>
      <c r="C26" s="9" t="inlineStr">
        <is>
          <t>50. Se muestra a la defensiva ante críticas.</t>
        </is>
      </c>
      <c r="D26" s="10" t="inlineStr">
        <is>
          <t>Alerta/Mejora</t>
        </is>
      </c>
      <c r="E26" s="11" t="n">
        <v>11</v>
      </c>
      <c r="F26">
        <f>IF(D26="Alerta/Mejora",
IF(E26&lt;=3, 5, IF(E26&lt;=7, 4, IF(E26&lt;=11, 3, IF(E26&lt;=15, 2, 1)))),
IF(E26&gt;=34, 5, IF(E26&gt;=30, 4, IF(E26&gt;=26, 3, IF(E26&gt;=22, 2, 1))))
)</f>
        <v/>
      </c>
      <c r="G26">
        <f>+L$1-E26</f>
        <v/>
      </c>
      <c r="H26">
        <f>VLOOKUP(F26, REGLA1, 2, FALSE)</f>
        <v/>
      </c>
      <c r="I26" t="inlineStr">
        <is>
          <t>SEPTIMO</t>
        </is>
      </c>
      <c r="J26" t="inlineStr">
        <is>
          <t>TM</t>
        </is>
      </c>
      <c r="K26">
        <f>IFERROR(
ROUND(
IF(
SUMIFS($D$2:$D$200,$F$2:$F$200,F26,$H$2:$H$200,TRIM(H26),$I$2:$I$200,TRIM(I26))=0,
0,
SUMIFS($D$2:$D$200,$F$2:$F$200,F26,$H$2:$H$200,TRIM(H26),$I$2:$I$200,TRIM(I26))
/
SUMIFS($D$2:$D$200,$H$2:$H$200,TRIM(H26),$I$2:$I$200,TRIM(I26))
*
$K$1),0),0)</f>
        <v/>
      </c>
    </row>
    <row r="27">
      <c r="A27" s="15" t="inlineStr">
        <is>
          <t>Académica</t>
        </is>
      </c>
      <c r="B27" s="9">
        <f>+CONCATENATE(LEFT(D27,3),"-",C27)</f>
        <v/>
      </c>
      <c r="C27" s="16" t="inlineStr">
        <is>
          <t>01. Domina los conceptos clave del grado.</t>
        </is>
      </c>
      <c r="D27" s="17" t="inlineStr">
        <is>
          <t>Fortaleza/Logro</t>
        </is>
      </c>
      <c r="E27" s="11" t="n">
        <v>6</v>
      </c>
      <c r="F27">
        <f>IF(D27="Alerta/Mejora",
IF(E27&lt;=3, 5, IF(E27&lt;=7, 4, IF(E27&lt;=11, 3, IF(E27&lt;=15, 2, 1)))),
IF(E27&gt;=34, 5, IF(E27&gt;=30, 4, IF(E27&gt;=26, 3, IF(E27&gt;=22, 2, 1))))
)</f>
        <v/>
      </c>
      <c r="G27">
        <f>+E27</f>
        <v/>
      </c>
      <c r="H27">
        <f>VLOOKUP(F27, REGLA1, 2, FALSE)</f>
        <v/>
      </c>
      <c r="I27" t="inlineStr">
        <is>
          <t>SEPTIMO</t>
        </is>
      </c>
      <c r="J27" t="inlineStr">
        <is>
          <t>TM</t>
        </is>
      </c>
      <c r="K27">
        <f>IFERROR(
ROUND(
IF(
SUMIFS($D$2:$D$200,$F$2:$F$200,F27,$H$2:$H$200,TRIM(H27),$I$2:$I$200,TRIM(I27))=0,
0,
SUMIFS($D$2:$D$200,$F$2:$F$200,F27,$H$2:$H$200,TRIM(H27),$I$2:$I$200,TRIM(I27))
/
SUMIFS($D$2:$D$200,$H$2:$H$200,TRIM(H27),$I$2:$I$200,TRIM(I27))
*
$K$1),0),0)</f>
        <v/>
      </c>
    </row>
    <row r="28">
      <c r="A28" s="15" t="inlineStr">
        <is>
          <t>Académica</t>
        </is>
      </c>
      <c r="B28" s="9">
        <f>+CONCATENATE(LEFT(D28,3),"-",C28)</f>
        <v/>
      </c>
      <c r="C28" s="16" t="inlineStr">
        <is>
          <t>03. Posee un pensamiento crítico y analítico.</t>
        </is>
      </c>
      <c r="D28" s="17" t="inlineStr">
        <is>
          <t>Fortaleza/Logro</t>
        </is>
      </c>
      <c r="E28" s="11" t="n">
        <v>11</v>
      </c>
      <c r="F28">
        <f>IF(D28="Alerta/Mejora",
  IF(E28&lt;=3, 5, IF(E28&lt;=7, 4, IF(E28&lt;=11, 3, IF(E28&lt;=15, 2, 1)))),
  IF(E28&gt;=34, 5, IF(E28&gt;=30, 4, IF(E28&gt;=26, 3, IF(E28&gt;=22, 2, 1))))
)</f>
        <v/>
      </c>
      <c r="G28">
        <f>+E28</f>
        <v/>
      </c>
      <c r="H28">
        <f>VLOOKUP(F28, REGLA1, 2, FALSE)</f>
        <v/>
      </c>
      <c r="I28" t="inlineStr">
        <is>
          <t>SEPTIMO</t>
        </is>
      </c>
      <c r="J28" t="inlineStr">
        <is>
          <t>TM</t>
        </is>
      </c>
      <c r="K28">
        <f>IFERROR(
ROUND(
IF(
SUMIFS($D$2:$D$200,$F$2:$F$200,F28,$H$2:$H$200,TRIM(H28),$I$2:$I$200,TRIM(I28))=0,
0,
SUMIFS($D$2:$D$200,$F$2:$F$200,F28,$H$2:$H$200,TRIM(H28),$I$2:$I$200,TRIM(I28))
/
SUMIFS($D$2:$D$200,$H$2:$H$200,TRIM(H28),$I$2:$I$200,TRIM(I28))
*
$K$1),0),0)</f>
        <v/>
      </c>
    </row>
    <row r="29">
      <c r="A29" s="15" t="inlineStr">
        <is>
          <t>Académica</t>
        </is>
      </c>
      <c r="B29" s="9">
        <f>+CONCATENATE(LEFT(D29,3),"-",C29)</f>
        <v/>
      </c>
      <c r="C29" s="16" t="inlineStr">
        <is>
          <t>05. Entrega trabajos con alta calidad y orden.</t>
        </is>
      </c>
      <c r="D29" s="17" t="inlineStr">
        <is>
          <t>Fortaleza/Logro</t>
        </is>
      </c>
      <c r="E29" s="11" t="n">
        <v>12</v>
      </c>
      <c r="F29">
        <f>IF(D29="Alerta/Mejora",
IF(E29&lt;=3, 5, IF(E29&lt;=7, 4, IF(E29&lt;=11, 3, IF(E29&lt;=15, 2, 1)))),
IF(E29&gt;=34, 5, IF(E29&gt;=30, 4, IF(E29&gt;=26, 3, IF(E29&gt;=22, 2, 1))))
)</f>
        <v/>
      </c>
      <c r="G29">
        <f>+E29</f>
        <v/>
      </c>
      <c r="H29">
        <f>VLOOKUP(F29, REGLA1, 2, FALSE)</f>
        <v/>
      </c>
      <c r="I29" t="inlineStr">
        <is>
          <t>SEPTIMO</t>
        </is>
      </c>
      <c r="J29" t="inlineStr">
        <is>
          <t>TM</t>
        </is>
      </c>
      <c r="K29">
        <f>IFERROR(
ROUND(
IF(
SUMIFS($D$2:$D$200,$F$2:$F$200,F29,$H$2:$H$200,TRIM(H29),$I$2:$I$200,TRIM(I29))=0,
0,
SUMIFS($D$2:$D$200,$F$2:$F$200,F29,$H$2:$H$200,TRIM(H29),$I$2:$I$200,TRIM(I29))
/
SUMIFS($D$2:$D$200,$H$2:$H$200,TRIM(H29),$I$2:$I$200,TRIM(I29))
*
$K$1),0),0)</f>
        <v/>
      </c>
    </row>
    <row r="30">
      <c r="A30" s="15" t="inlineStr">
        <is>
          <t>Académica</t>
        </is>
      </c>
      <c r="B30" s="9">
        <f>+CONCATENATE(LEFT(D30,3),"-",C30)</f>
        <v/>
      </c>
      <c r="C30" s="16" t="inlineStr">
        <is>
          <t>07. Resuelve problemas lógicos con fluidez.</t>
        </is>
      </c>
      <c r="D30" s="17" t="inlineStr">
        <is>
          <t>Fortaleza/Logro</t>
        </is>
      </c>
      <c r="E30" s="11" t="n">
        <v>11</v>
      </c>
      <c r="F30">
        <f>IF(D30="Alerta/Mejora",
IF(E30&lt;=3, 5, IF(E30&lt;=7, 4, IF(E30&lt;=11, 3, IF(E30&lt;=15, 2, 1)))),
IF(E30&gt;=34, 5, IF(E30&gt;=30, 4, IF(E30&gt;=26, 3, IF(E30&gt;=22, 2, 1))))
)</f>
        <v/>
      </c>
      <c r="G30">
        <f>+E30</f>
        <v/>
      </c>
      <c r="H30">
        <f>VLOOKUP(F30, REGLA1, 2, FALSE)</f>
        <v/>
      </c>
      <c r="I30" t="inlineStr">
        <is>
          <t>SEPTIMO</t>
        </is>
      </c>
      <c r="J30" t="inlineStr">
        <is>
          <t>TM</t>
        </is>
      </c>
      <c r="K30">
        <f>IFERROR(
ROUND(
IF(
SUMIFS($D$2:$D$200,$F$2:$F$200,F30,$H$2:$H$200,TRIM(H30),$I$2:$I$200,TRIM(I30))=0,
0,
SUMIFS($D$2:$D$200,$F$2:$F$200,F30,$H$2:$H$200,TRIM(H30),$I$2:$I$200,TRIM(I30))
/
SUMIFS($D$2:$D$200,$H$2:$H$200,TRIM(H30),$I$2:$I$200,TRIM(I30))
*
$K$1),0),0)</f>
        <v/>
      </c>
    </row>
    <row r="31">
      <c r="A31" s="15" t="inlineStr">
        <is>
          <t>Académica</t>
        </is>
      </c>
      <c r="B31" s="9">
        <f>+CONCATENATE(LEFT(D31,3),"-",C31)</f>
        <v/>
      </c>
      <c r="C31" s="16" t="inlineStr">
        <is>
          <t>09. Utiliza vocabulario técnico preciso.</t>
        </is>
      </c>
      <c r="D31" s="17" t="inlineStr">
        <is>
          <t>Fortaleza/Logro</t>
        </is>
      </c>
      <c r="E31" s="11" t="n">
        <v>10</v>
      </c>
      <c r="F31">
        <f>IF(D31="Alerta/Mejora",
IF(E31&lt;=3, 5, IF(E31&lt;=7, 4, IF(E31&lt;=11, 3, IF(E31&lt;=15, 2, 1)))),
IF(E31&gt;=34, 5, IF(E31&gt;=30, 4, IF(E31&gt;=26, 3, IF(E31&gt;=22, 2, 1))))
)</f>
        <v/>
      </c>
      <c r="G31">
        <f>+E31</f>
        <v/>
      </c>
      <c r="H31">
        <f>VLOOKUP(F31, REGLA1, 2, FALSE)</f>
        <v/>
      </c>
      <c r="I31" t="inlineStr">
        <is>
          <t>SEPTIMO</t>
        </is>
      </c>
      <c r="J31" t="inlineStr">
        <is>
          <t>TM</t>
        </is>
      </c>
      <c r="K31">
        <f>IFERROR(
ROUND(
IF(
SUMIFS($D$2:$D$200,$F$2:$F$200,F31,$H$2:$H$200,TRIM(H31),$I$2:$I$200,TRIM(I31))=0,
0,
SUMIFS($D$2:$D$200,$F$2:$F$200,F31,$H$2:$H$200,TRIM(H31),$I$2:$I$200,TRIM(I31))
/
SUMIFS($D$2:$D$200,$H$2:$H$200,TRIM(H31),$I$2:$I$200,TRIM(I31))
*
$K$1),0),0)</f>
        <v/>
      </c>
    </row>
    <row r="32">
      <c r="A32" s="15" t="inlineStr">
        <is>
          <t>Académica</t>
        </is>
      </c>
      <c r="B32" s="9">
        <f>+CONCATENATE(LEFT(D32,3),"-",C32)</f>
        <v/>
      </c>
      <c r="C32" s="16" t="inlineStr">
        <is>
          <t>11. Posee excelentes hábitos de lectura.</t>
        </is>
      </c>
      <c r="D32" s="17" t="inlineStr">
        <is>
          <t>Fortaleza/Logro</t>
        </is>
      </c>
      <c r="E32" s="11" t="n">
        <v>10</v>
      </c>
      <c r="F32">
        <f>IF(D32="Alerta/Mejora",
IF(E32&lt;=3, 5, IF(E32&lt;=7, 4, IF(E32&lt;=11, 3, IF(E32&lt;=15, 2, 1)))),
IF(E32&gt;=34, 5, IF(E32&gt;=30, 4, IF(E32&gt;=26, 3, IF(E32&gt;=22, 2, 1))))
)</f>
        <v/>
      </c>
      <c r="G32">
        <f>+E32</f>
        <v/>
      </c>
      <c r="H32">
        <f>VLOOKUP(F32, REGLA1, 2, FALSE)</f>
        <v/>
      </c>
      <c r="I32" t="inlineStr">
        <is>
          <t>SEPTIMO</t>
        </is>
      </c>
      <c r="J32" t="inlineStr">
        <is>
          <t>TM</t>
        </is>
      </c>
      <c r="K32">
        <f>IFERROR(
ROUND(
IF(
SUMIFS($D$2:$D$200,$F$2:$F$200,F32,$H$2:$H$200,TRIM(H32),$I$2:$I$200,TRIM(I32))=0,
0,
SUMIFS($D$2:$D$200,$F$2:$F$200,F32,$H$2:$H$200,TRIM(H32),$I$2:$I$200,TRIM(I32))
/
SUMIFS($D$2:$D$200,$H$2:$H$200,TRIM(H32),$I$2:$I$200,TRIM(I32))
*
$K$1),0),0)</f>
        <v/>
      </c>
    </row>
    <row r="33">
      <c r="A33" s="15" t="inlineStr">
        <is>
          <t>Académica</t>
        </is>
      </c>
      <c r="B33" s="9">
        <f>+CONCATENATE(LEFT(D33,3),"-",C33)</f>
        <v/>
      </c>
      <c r="C33" s="16" t="inlineStr">
        <is>
          <t>13. Es autónomo en la realización de tareas.</t>
        </is>
      </c>
      <c r="D33" s="17" t="inlineStr">
        <is>
          <t>Fortaleza/Logro</t>
        </is>
      </c>
      <c r="E33" s="11" t="n">
        <v>12</v>
      </c>
      <c r="F33">
        <f>IF(D33="Alerta/Mejora",
IF(E33&lt;=3, 5, IF(E33&lt;=7, 4, IF(E33&lt;=11, 3, IF(E33&lt;=15, 2, 1)))),
IF(E33&gt;=34, 5, IF(E33&gt;=30, 4, IF(E33&gt;=26, 3, IF(E33&gt;=22, 2, 1))))
)</f>
        <v/>
      </c>
      <c r="G33">
        <f>+E33</f>
        <v/>
      </c>
      <c r="H33">
        <f>VLOOKUP(F33, REGLA1, 2, FALSE)</f>
        <v/>
      </c>
      <c r="I33" t="inlineStr">
        <is>
          <t>SEPTIMO</t>
        </is>
      </c>
      <c r="J33" t="inlineStr">
        <is>
          <t>TM</t>
        </is>
      </c>
      <c r="K33">
        <f>IFERROR(
ROUND(
IF(
SUMIFS($D$2:$D$200,$F$2:$F$200,F33,$H$2:$H$200,TRIM(H33),$I$2:$I$200,TRIM(I33))=0,
0,
SUMIFS($D$2:$D$200,$F$2:$F$200,F33,$H$2:$H$200,TRIM(H33),$I$2:$I$200,TRIM(I33))
/
SUMIFS($D$2:$D$200,$H$2:$H$200,TRIM(H33),$I$2:$I$200,TRIM(I33))
*
$K$1),0),0)</f>
        <v/>
      </c>
    </row>
    <row r="34">
      <c r="A34" s="15" t="inlineStr">
        <is>
          <t>Académica</t>
        </is>
      </c>
      <c r="B34" s="9">
        <f>+CONCATENATE(LEFT(D34,3),"-",C34)</f>
        <v/>
      </c>
      <c r="C34" s="16" t="inlineStr">
        <is>
          <t>15. Investiga más allá de lo solicitado.</t>
        </is>
      </c>
      <c r="D34" s="17" t="inlineStr">
        <is>
          <t>Fortaleza/Logro</t>
        </is>
      </c>
      <c r="E34" s="11" t="n">
        <v>13</v>
      </c>
      <c r="F34">
        <f>IF(D34="Alerta/Mejora",
IF(E34&lt;=3, 5, IF(E34&lt;=7, 4, IF(E34&lt;=11, 3, IF(E34&lt;=15, 2, 1)))),
IF(E34&gt;=34, 5, IF(E34&gt;=30, 4, IF(E34&gt;=26, 3, IF(E34&gt;=22, 2, 1))))
)</f>
        <v/>
      </c>
      <c r="G34">
        <f>+E34</f>
        <v/>
      </c>
      <c r="H34">
        <f>VLOOKUP(F34, REGLA1, 2, FALSE)</f>
        <v/>
      </c>
      <c r="I34" t="inlineStr">
        <is>
          <t>SEPTIMO</t>
        </is>
      </c>
      <c r="J34" t="inlineStr">
        <is>
          <t>TM</t>
        </is>
      </c>
      <c r="K34">
        <f>IFERROR(
ROUND(
IF(
SUMIFS($D$2:$D$200,$F$2:$F$200,F34,$H$2:$H$200,TRIM(H34),$I$2:$I$200,TRIM(I34))=0,
0,
SUMIFS($D$2:$D$200,$F$2:$F$200,F34,$H$2:$H$200,TRIM(H34),$I$2:$I$200,TRIM(I34))
/
SUMIFS($D$2:$D$200,$H$2:$H$200,TRIM(H34),$I$2:$I$200,TRIM(I34))
*
$K$1),0),0)</f>
        <v/>
      </c>
    </row>
    <row r="35">
      <c r="A35" s="15" t="inlineStr">
        <is>
          <t>Conductual</t>
        </is>
      </c>
      <c r="B35" s="9">
        <f>+CONCATENATE(LEFT(D35,3),"-",C35)</f>
        <v/>
      </c>
      <c r="C35" s="16" t="inlineStr">
        <is>
          <t>17. Respeta las normas de convivencia.</t>
        </is>
      </c>
      <c r="D35" s="17" t="inlineStr">
        <is>
          <t>Fortaleza/Logro</t>
        </is>
      </c>
      <c r="E35" s="11" t="n">
        <v>22</v>
      </c>
      <c r="F35">
        <f>IF(D35="Alerta/Mejora",
IF(E35&lt;=3, 5, IF(E35&lt;=7, 4, IF(E35&lt;=11, 3, IF(E35&lt;=15, 2, 1)))),
IF(E35&gt;=34, 5, IF(E35&gt;=30, 4, IF(E35&gt;=26, 3, IF(E35&gt;=22, 2, 1))))
)</f>
        <v/>
      </c>
      <c r="G35">
        <f>+E35</f>
        <v/>
      </c>
      <c r="H35">
        <f>VLOOKUP(F35, REGLA1, 2, FALSE)</f>
        <v/>
      </c>
      <c r="I35" t="inlineStr">
        <is>
          <t>SEPTIMO</t>
        </is>
      </c>
      <c r="J35" t="inlineStr">
        <is>
          <t>TM</t>
        </is>
      </c>
      <c r="K35">
        <f>IFERROR(
ROUND(
IF(
SUMIFS($D$2:$D$200,$F$2:$F$200,F35,$H$2:$H$200,TRIM(H35),$I$2:$I$200,TRIM(I35))=0,
0,
SUMIFS($D$2:$D$200,$F$2:$F$200,F35,$H$2:$H$200,TRIM(H35),$I$2:$I$200,TRIM(I35))
/
SUMIFS($D$2:$D$200,$H$2:$H$200,TRIM(H35),$I$2:$I$200,TRIM(I35))
*
$K$1),0),0)</f>
        <v/>
      </c>
    </row>
    <row r="36">
      <c r="A36" s="15" t="inlineStr">
        <is>
          <t>Conductual</t>
        </is>
      </c>
      <c r="B36" s="9">
        <f>+CONCATENATE(LEFT(D36,3),"-",C36)</f>
        <v/>
      </c>
      <c r="C36" s="16" t="inlineStr">
        <is>
          <t>19. Es puntual en todas sus obligaciones.</t>
        </is>
      </c>
      <c r="D36" s="17" t="inlineStr">
        <is>
          <t>Fortaleza/Logro</t>
        </is>
      </c>
      <c r="E36" s="11" t="n">
        <v>10</v>
      </c>
      <c r="F36">
        <f>IF(D36="Alerta/Mejora",
IF(E36&lt;=3, 5, IF(E36&lt;=7, 4, IF(E36&lt;=11, 3, IF(E36&lt;=15, 2, 1)))),
IF(E36&gt;=34, 5, IF(E36&gt;=30, 4, IF(E36&gt;=26, 3, IF(E36&gt;=22, 2, 1))))
)</f>
        <v/>
      </c>
      <c r="G36">
        <f>+E36</f>
        <v/>
      </c>
      <c r="H36">
        <f>VLOOKUP(F36, REGLA1, 2, FALSE)</f>
        <v/>
      </c>
      <c r="I36" t="inlineStr">
        <is>
          <t>SEPTIMO</t>
        </is>
      </c>
      <c r="J36" t="inlineStr">
        <is>
          <t>TM</t>
        </is>
      </c>
      <c r="K36">
        <f>IFERROR(
ROUND(
IF(
SUMIFS($D$2:$D$200,$F$2:$F$200,F36,$H$2:$H$200,TRIM(H36),$I$2:$I$200,TRIM(I36))=0,
0,
SUMIFS($D$2:$D$200,$F$2:$F$200,F36,$H$2:$H$200,TRIM(H36),$I$2:$I$200,TRIM(I36))
/
SUMIFS($D$2:$D$200,$H$2:$H$200,TRIM(H36),$I$2:$I$200,TRIM(I36))
*
$K$1),0),0)</f>
        <v/>
      </c>
    </row>
    <row r="37">
      <c r="A37" s="15" t="inlineStr">
        <is>
          <t>Conductual</t>
        </is>
      </c>
      <c r="B37" s="9">
        <f>+CONCATENATE(LEFT(D37,3),"-",C37)</f>
        <v/>
      </c>
      <c r="C37" s="16" t="inlineStr">
        <is>
          <t>21. Cuida el material propio y ajeno.</t>
        </is>
      </c>
      <c r="D37" s="17" t="inlineStr">
        <is>
          <t>Fortaleza/Logro</t>
        </is>
      </c>
      <c r="E37" s="11" t="n">
        <v>23</v>
      </c>
      <c r="F37">
        <f>IF(D37="Alerta/Mejora",
IF(E37&lt;=3, 5, IF(E37&lt;=7, 4, IF(E37&lt;=11, 3, IF(E37&lt;=15, 2, 1)))),
IF(E37&gt;=34, 5, IF(E37&gt;=30, 4, IF(E37&gt;=26, 3, IF(E37&gt;=22, 2, 1))))
)</f>
        <v/>
      </c>
      <c r="G37">
        <f>+E37</f>
        <v/>
      </c>
      <c r="H37">
        <f>VLOOKUP(F37, REGLA1, 2, FALSE)</f>
        <v/>
      </c>
      <c r="I37" t="inlineStr">
        <is>
          <t>SEPTIMO</t>
        </is>
      </c>
      <c r="J37" t="inlineStr">
        <is>
          <t>TM</t>
        </is>
      </c>
      <c r="K37">
        <f>IFERROR(
ROUND(
IF(
SUMIFS($D$2:$D$200,$F$2:$F$200,F37,$H$2:$H$200,TRIM(H37),$I$2:$I$200,TRIM(I37))=0,
0,
SUMIFS($D$2:$D$200,$F$2:$F$200,F37,$H$2:$H$200,TRIM(H37),$I$2:$I$200,TRIM(I37))
/
SUMIFS($D$2:$D$200,$H$2:$H$200,TRIM(H37),$I$2:$I$200,TRIM(I37))
*
$K$1),0),0)</f>
        <v/>
      </c>
    </row>
    <row r="38">
      <c r="A38" s="15" t="inlineStr">
        <is>
          <t>Conductual</t>
        </is>
      </c>
      <c r="B38" s="9">
        <f>+CONCATENATE(LEFT(D38,3),"-",C38)</f>
        <v/>
      </c>
      <c r="C38" s="16" t="inlineStr">
        <is>
          <t>23. Escucha con atención y no interrumpe.</t>
        </is>
      </c>
      <c r="D38" s="17" t="inlineStr">
        <is>
          <t>Fortaleza/Logro</t>
        </is>
      </c>
      <c r="E38" s="11" t="n">
        <v>20</v>
      </c>
      <c r="F38">
        <f>IF(D38="Alerta/Mejora",
IF(E38&lt;=3, 5, IF(E38&lt;=7, 4, IF(E38&lt;=11, 3, IF(E38&lt;=15, 2, 1)))),
IF(E38&gt;=34, 5, IF(E38&gt;=30, 4, IF(E38&gt;=26, 3, IF(E38&gt;=22, 2, 1))))
)</f>
        <v/>
      </c>
      <c r="G38">
        <f>+E38</f>
        <v/>
      </c>
      <c r="H38">
        <f>VLOOKUP(F38, REGLA1, 2, FALSE)</f>
        <v/>
      </c>
      <c r="I38" t="inlineStr">
        <is>
          <t>SEPTIMO</t>
        </is>
      </c>
      <c r="J38" t="inlineStr">
        <is>
          <t>TM</t>
        </is>
      </c>
      <c r="K38">
        <f>IFERROR(
ROUND(
IF(
SUMIFS($D$2:$D$200,$F$2:$F$200,F38,$H$2:$H$200,TRIM(H38),$I$2:$I$200,TRIM(I38))=0,
0,
SUMIFS($D$2:$D$200,$F$2:$F$200,F38,$H$2:$H$200,TRIM(H38),$I$2:$I$200,TRIM(I38))
/
SUMIFS($D$2:$D$200,$H$2:$H$200,TRIM(H38),$I$2:$I$200,TRIM(I38))
*
$K$1),0),0)</f>
        <v/>
      </c>
    </row>
    <row r="39">
      <c r="A39" s="15" t="inlineStr">
        <is>
          <t>Conductual</t>
        </is>
      </c>
      <c r="B39" s="9">
        <f>+CONCATENATE(LEFT(D39,3),"-",C39)</f>
        <v/>
      </c>
      <c r="C39" s="16" t="inlineStr">
        <is>
          <t>25. Utiliza el lenguaje de forma respetuosa.</t>
        </is>
      </c>
      <c r="D39" s="17" t="inlineStr">
        <is>
          <t>Fortaleza/Logro</t>
        </is>
      </c>
      <c r="E39" s="11" t="n">
        <v>13</v>
      </c>
      <c r="F39">
        <f>IF(D39="Alerta/Mejora",
IF(E39&lt;=3, 5, IF(E39&lt;=7, 4, IF(E39&lt;=11, 3, IF(E39&lt;=15, 2, 1)))),
IF(E39&gt;=34, 5, IF(E39&gt;=30, 4, IF(E39&gt;=26, 3, IF(E39&gt;=22, 2, 1))))
)</f>
        <v/>
      </c>
      <c r="G39">
        <f>+E39</f>
        <v/>
      </c>
      <c r="H39">
        <f>VLOOKUP(F39, REGLA1, 2, FALSE)</f>
        <v/>
      </c>
      <c r="I39" t="inlineStr">
        <is>
          <t>SEPTIMO</t>
        </is>
      </c>
      <c r="J39" t="inlineStr">
        <is>
          <t>TM</t>
        </is>
      </c>
      <c r="K39">
        <f>IFERROR(
ROUND(
IF(
SUMIFS($D$2:$D$200,$F$2:$F$200,F39,$H$2:$H$200,TRIM(H39),$I$2:$I$200,TRIM(I39))=0,
0,
SUMIFS($D$2:$D$200,$F$2:$F$200,F39,$H$2:$H$200,TRIM(H39),$I$2:$I$200,TRIM(I39))
/
SUMIFS($D$2:$D$200,$H$2:$H$200,TRIM(H39),$I$2:$I$200,TRIM(I39))
*
$K$1),0),0)</f>
        <v/>
      </c>
    </row>
    <row r="40">
      <c r="A40" s="15" t="inlineStr">
        <is>
          <t>Conductual</t>
        </is>
      </c>
      <c r="B40" s="9">
        <f>+CONCATENATE(LEFT(D40,3),"-",C40)</f>
        <v/>
      </c>
      <c r="C40" s="16" t="inlineStr">
        <is>
          <t>27. Reconoce sus errores honestamente.</t>
        </is>
      </c>
      <c r="D40" s="17" t="inlineStr">
        <is>
          <t>Fortaleza/Logro</t>
        </is>
      </c>
      <c r="E40" s="11" t="n">
        <v>15</v>
      </c>
      <c r="F40">
        <f>IF(D40="Alerta/Mejora",
IF(E40&lt;=3, 5, IF(E40&lt;=7, 4, IF(E40&lt;=11, 3, IF(E40&lt;=15, 2, 1)))),
IF(E40&gt;=34, 5, IF(E40&gt;=30, 4, IF(E40&gt;=26, 3, IF(E40&gt;=22, 2, 1))))
)</f>
        <v/>
      </c>
      <c r="G40">
        <f>+E40</f>
        <v/>
      </c>
      <c r="H40">
        <f>VLOOKUP(F40, REGLA1, 2, FALSE)</f>
        <v/>
      </c>
      <c r="I40" t="inlineStr">
        <is>
          <t>SEPTIMO</t>
        </is>
      </c>
      <c r="J40" t="inlineStr">
        <is>
          <t>TM</t>
        </is>
      </c>
      <c r="K40">
        <f>IFERROR(
ROUND(
IF(
SUMIFS($D$2:$D$200,$F$2:$F$200,F40,$H$2:$H$200,TRIM(H40),$I$2:$I$200,TRIM(I40))=0,
0,
SUMIFS($D$2:$D$200,$F$2:$F$200,F40,$H$2:$H$200,TRIM(H40),$I$2:$I$200,TRIM(I40))
/
SUMIFS($D$2:$D$200,$H$2:$H$200,TRIM(H40),$I$2:$I$200,TRIM(I40))
*
$K$1),0),0)</f>
        <v/>
      </c>
      <c r="N40" s="1" t="inlineStr">
        <is>
          <t>Suma de Cantidad de veces</t>
        </is>
      </c>
      <c r="O40" s="1" t="inlineStr">
        <is>
          <t>Etiquetas de columna</t>
        </is>
      </c>
    </row>
    <row r="41">
      <c r="A41" s="15" t="inlineStr">
        <is>
          <t>Conductual</t>
        </is>
      </c>
      <c r="B41" s="9">
        <f>+CONCATENATE(LEFT(D41,3),"-",C41)</f>
        <v/>
      </c>
      <c r="C41" s="16" t="inlineStr">
        <is>
          <t>29. Usa la tecnología con fines educativos.</t>
        </is>
      </c>
      <c r="D41" s="17" t="inlineStr">
        <is>
          <t>Fortaleza/Logro</t>
        </is>
      </c>
      <c r="E41" s="11" t="n">
        <v>3</v>
      </c>
      <c r="F41">
        <f>IF(D41="Alerta/Mejora",
IF(E41&lt;=3, 5, IF(E41&lt;=7, 4, IF(E41&lt;=11, 3, IF(E41&lt;=15, 2, 1)))),
IF(E41&gt;=34, 5, IF(E41&gt;=30, 4, IF(E41&gt;=26, 3, IF(E41&gt;=22, 2, 1))))
)</f>
        <v/>
      </c>
      <c r="G41">
        <f>+E41</f>
        <v/>
      </c>
      <c r="H41">
        <f>VLOOKUP(F41, REGLA1, 2, FALSE)</f>
        <v/>
      </c>
      <c r="I41" t="inlineStr">
        <is>
          <t>SEPTIMO</t>
        </is>
      </c>
      <c r="J41" t="inlineStr">
        <is>
          <t>TM</t>
        </is>
      </c>
      <c r="K41">
        <f>IFERROR(
ROUND(
IF(
SUMIFS($D$2:$D$200,$F$2:$F$200,F41,$H$2:$H$200,TRIM(H41),$I$2:$I$200,TRIM(I41))=0,
0,
SUMIFS($D$2:$D$200,$F$2:$F$200,F41,$H$2:$H$200,TRIM(H41),$I$2:$I$200,TRIM(I41))
/
SUMIFS($D$2:$D$200,$H$2:$H$200,TRIM(H41),$I$2:$I$200,TRIM(I41))
*
$K$1),0),0)</f>
        <v/>
      </c>
      <c r="N41" s="1" t="inlineStr">
        <is>
          <t>Etiquetas de fila</t>
        </is>
      </c>
      <c r="O41" t="inlineStr">
        <is>
          <t>Alerta/Mejora</t>
        </is>
      </c>
      <c r="P41" t="inlineStr">
        <is>
          <t>Fortaleza/Logro</t>
        </is>
      </c>
      <c r="Q41" t="inlineStr">
        <is>
          <t>Total general</t>
        </is>
      </c>
    </row>
    <row r="42">
      <c r="A42" s="15" t="inlineStr">
        <is>
          <t>Conductual</t>
        </is>
      </c>
      <c r="B42" s="9">
        <f>+CONCATENATE(LEFT(D42,3),"-",C42)</f>
        <v/>
      </c>
      <c r="C42" s="16" t="inlineStr">
        <is>
          <t>31. Mantiene el orden en espacios comunes.</t>
        </is>
      </c>
      <c r="D42" s="17" t="inlineStr">
        <is>
          <t>Fortaleza/Logro</t>
        </is>
      </c>
      <c r="E42" s="11" t="n">
        <v>11</v>
      </c>
      <c r="F42">
        <f>IF(D42="Alerta/Mejora",
IF(E42&lt;=3, 5, IF(E42&lt;=7, 4, IF(E42&lt;=11, 3, IF(E42&lt;=15, 2, 1)))),
IF(E42&gt;=34, 5, IF(E42&gt;=30, 4, IF(E42&gt;=26, 3, IF(E42&gt;=22, 2, 1))))
)</f>
        <v/>
      </c>
      <c r="G42">
        <f>+E42</f>
        <v/>
      </c>
      <c r="H42">
        <f>VLOOKUP(F42, REGLA1, 2, FALSE)</f>
        <v/>
      </c>
      <c r="I42" t="inlineStr">
        <is>
          <t>SEPTIMO</t>
        </is>
      </c>
      <c r="J42" t="inlineStr">
        <is>
          <t>TM</t>
        </is>
      </c>
      <c r="K42">
        <f>IFERROR(
ROUND(
IF(
SUMIFS($D$2:$D$200,$F$2:$F$200,F42,$H$2:$H$200,TRIM(H42),$I$2:$I$200,TRIM(I42))=0,
0,
SUMIFS($D$2:$D$200,$F$2:$F$200,F42,$H$2:$H$200,TRIM(H42),$I$2:$I$200,TRIM(I42))
/
SUMIFS($D$2:$D$200,$H$2:$H$200,TRIM(H42),$I$2:$I$200,TRIM(I42))
*
$K$1),0),0)</f>
        <v/>
      </c>
      <c r="N42" s="3" t="inlineStr">
        <is>
          <t>Académica</t>
        </is>
      </c>
      <c r="O42" t="n">
        <v>28</v>
      </c>
      <c r="P42" t="n">
        <v>90</v>
      </c>
      <c r="Q42" t="n">
        <v>118</v>
      </c>
    </row>
    <row r="43">
      <c r="A43" s="15" t="inlineStr">
        <is>
          <t>Socio-Emocional</t>
        </is>
      </c>
      <c r="B43" s="9">
        <f>+CONCATENATE(LEFT(D43,3),"-",C43)</f>
        <v/>
      </c>
      <c r="C43" s="16" t="inlineStr">
        <is>
          <t>33. Muestra resiliencia ante el fracaso.</t>
        </is>
      </c>
      <c r="D43" s="17" t="inlineStr">
        <is>
          <t>Fortaleza/Logro</t>
        </is>
      </c>
      <c r="E43" s="11" t="n">
        <v>18</v>
      </c>
      <c r="F43">
        <f>IF(D43="Alerta/Mejora",
IF(E43&lt;=3, 5, IF(E43&lt;=7, 4, IF(E43&lt;=11, 3, IF(E43&lt;=15, 2, 1)))),
IF(E43&gt;=34, 5, IF(E43&gt;=30, 4, IF(E43&gt;=26, 3, IF(E43&gt;=22, 2, 1))))
)</f>
        <v/>
      </c>
      <c r="G43">
        <f>+E43</f>
        <v/>
      </c>
      <c r="H43">
        <f>VLOOKUP(F43, REGLA1, 2, FALSE)</f>
        <v/>
      </c>
      <c r="I43" t="inlineStr">
        <is>
          <t>SEPTIMO</t>
        </is>
      </c>
      <c r="J43" t="inlineStr">
        <is>
          <t>TM</t>
        </is>
      </c>
      <c r="K43">
        <f>IFERROR(
ROUND(
IF(
SUMIFS($D$2:$D$200,$F$2:$F$200,F43,$H$2:$H$200,TRIM(H43),$I$2:$I$200,TRIM(I43))=0,
0,
SUMIFS($D$2:$D$200,$F$2:$F$200,F43,$H$2:$H$200,TRIM(H43),$I$2:$I$200,TRIM(I43))
/
SUMIFS($D$2:$D$200,$H$2:$H$200,TRIM(H43),$I$2:$I$200,TRIM(I43))
*
$K$1),0),0)</f>
        <v/>
      </c>
      <c r="N43" s="3" t="inlineStr">
        <is>
          <t>Actitudinal</t>
        </is>
      </c>
      <c r="O43" t="n">
        <v>8</v>
      </c>
      <c r="P43" t="n">
        <v>97</v>
      </c>
      <c r="Q43" t="n">
        <v>105</v>
      </c>
    </row>
    <row r="44">
      <c r="A44" s="15" t="inlineStr">
        <is>
          <t>Socio-Emocional</t>
        </is>
      </c>
      <c r="B44" s="9">
        <f>+CONCATENATE(LEFT(D44,3),"-",C44)</f>
        <v/>
      </c>
      <c r="C44" s="16" t="inlineStr">
        <is>
          <t>35. Trabaja de forma colaborativa y equitativa.</t>
        </is>
      </c>
      <c r="D44" s="17" t="inlineStr">
        <is>
          <t>Fortaleza/Logro</t>
        </is>
      </c>
      <c r="E44" s="11" t="n">
        <v>16</v>
      </c>
      <c r="F44">
        <f>IF(D44="Alerta/Mejora",
IF(E44&lt;=3, 5, IF(E44&lt;=7, 4, IF(E44&lt;=11, 3, IF(E44&lt;=15, 2, 1)))),
IF(E44&gt;=34, 5, IF(E44&gt;=30, 4, IF(E44&gt;=26, 3, IF(E44&gt;=22, 2, 1))))
)</f>
        <v/>
      </c>
      <c r="G44">
        <f>+E44</f>
        <v/>
      </c>
      <c r="H44">
        <f>VLOOKUP(F44, REGLA1, 2, FALSE)</f>
        <v/>
      </c>
      <c r="I44" t="inlineStr">
        <is>
          <t>SEPTIMO</t>
        </is>
      </c>
      <c r="J44" t="inlineStr">
        <is>
          <t>TM</t>
        </is>
      </c>
      <c r="K44">
        <f>IFERROR(
ROUND(
IF(
SUMIFS($D$2:$D$200,$F$2:$F$200,F44,$H$2:$H$200,TRIM(H44),$I$2:$I$200,TRIM(I44))=0,
0,
SUMIFS($D$2:$D$200,$F$2:$F$200,F44,$H$2:$H$200,TRIM(H44),$I$2:$I$200,TRIM(I44))
/
SUMIFS($D$2:$D$200,$H$2:$H$200,TRIM(H44),$I$2:$I$200,TRIM(I44))
*
$K$1),0),0)</f>
        <v/>
      </c>
      <c r="N44" s="3" t="inlineStr">
        <is>
          <t>Conductual</t>
        </is>
      </c>
      <c r="O44" t="n">
        <v>33</v>
      </c>
      <c r="P44" t="n">
        <v>239</v>
      </c>
      <c r="Q44" t="n">
        <v>272</v>
      </c>
    </row>
    <row r="45">
      <c r="A45" s="15" t="inlineStr">
        <is>
          <t>Socio-Emocional</t>
        </is>
      </c>
      <c r="B45" s="9">
        <f>+CONCATENATE(LEFT(D45,3),"-",C45)</f>
        <v/>
      </c>
      <c r="C45" s="16" t="inlineStr">
        <is>
          <t>37. Es empático con las necesidades ajenas.</t>
        </is>
      </c>
      <c r="D45" s="17" t="inlineStr">
        <is>
          <t>Fortaleza/Logro</t>
        </is>
      </c>
      <c r="E45" s="11" t="n">
        <v>18</v>
      </c>
      <c r="F45">
        <f>IF(D45="Alerta/Mejora",
IF(E45&lt;=3, 5, IF(E45&lt;=7, 4, IF(E45&lt;=11, 3, IF(E45&lt;=15, 2, 1)))),
IF(E45&gt;=34, 5, IF(E45&gt;=30, 4, IF(E45&gt;=26, 3, IF(E45&gt;=22, 2, 1))))
)</f>
        <v/>
      </c>
      <c r="G45">
        <f>+E45</f>
        <v/>
      </c>
      <c r="H45">
        <f>VLOOKUP(F45, REGLA1, 2, FALSE)</f>
        <v/>
      </c>
      <c r="I45" t="inlineStr">
        <is>
          <t>SEPTIMO</t>
        </is>
      </c>
      <c r="J45" t="inlineStr">
        <is>
          <t>TM</t>
        </is>
      </c>
      <c r="K45">
        <f>IFERROR(
ROUND(
IF(
SUMIFS($D$2:$D$200,$F$2:$F$200,F45,$H$2:$H$200,TRIM(H45),$I$2:$I$200,TRIM(I45))=0,
0,
SUMIFS($D$2:$D$200,$F$2:$F$200,F45,$H$2:$H$200,TRIM(H45),$I$2:$I$200,TRIM(I45))
/
SUMIFS($D$2:$D$200,$H$2:$H$200,TRIM(H45),$I$2:$I$200,TRIM(I45))
*
$K$1),0),0)</f>
        <v/>
      </c>
      <c r="N45" s="3" t="inlineStr">
        <is>
          <t>Socio-Emocional</t>
        </is>
      </c>
      <c r="O45" t="n">
        <v>20</v>
      </c>
      <c r="P45" t="n">
        <v>162</v>
      </c>
      <c r="Q45" t="n">
        <v>182</v>
      </c>
    </row>
    <row r="46">
      <c r="A46" s="15" t="inlineStr">
        <is>
          <t>Socio-Emocional</t>
        </is>
      </c>
      <c r="B46" s="9">
        <f>+CONCATENATE(LEFT(D46,3),"-",C46)</f>
        <v/>
      </c>
      <c r="C46" s="16" t="inlineStr">
        <is>
          <t>39. Posee un liderazgo positivo y ético.</t>
        </is>
      </c>
      <c r="D46" s="17" t="inlineStr">
        <is>
          <t>Fortaleza/Logro</t>
        </is>
      </c>
      <c r="E46" s="11" t="n">
        <v>4</v>
      </c>
      <c r="F46">
        <f>IF(D46="Alerta/Mejora",
IF(E46&lt;=3, 5, IF(E46&lt;=7, 4, IF(E46&lt;=11, 3, IF(E46&lt;=15, 2, 1)))),
IF(E46&gt;=34, 5, IF(E46&gt;=30, 4, IF(E46&gt;=26, 3, IF(E46&gt;=22, 2, 1))))
)</f>
        <v/>
      </c>
      <c r="G46">
        <f>+E46</f>
        <v/>
      </c>
      <c r="H46">
        <f>VLOOKUP(F46, REGLA1, 2, FALSE)</f>
        <v/>
      </c>
      <c r="I46" t="inlineStr">
        <is>
          <t>SEPTIMO</t>
        </is>
      </c>
      <c r="J46" t="inlineStr">
        <is>
          <t>TM</t>
        </is>
      </c>
      <c r="K46">
        <f>IFERROR(
ROUND(
IF(
SUMIFS($D$2:$D$200,$F$2:$F$200,F46,$H$2:$H$200,TRIM(H46),$I$2:$I$200,TRIM(I46))=0,
0,
SUMIFS($D$2:$D$200,$F$2:$F$200,F46,$H$2:$H$200,TRIM(H46),$I$2:$I$200,TRIM(I46))
/
SUMIFS($D$2:$D$200,$H$2:$H$200,TRIM(H46),$I$2:$I$200,TRIM(I46))
*
$K$1),0),0)</f>
        <v/>
      </c>
      <c r="N46" s="3" t="inlineStr">
        <is>
          <t>Total general</t>
        </is>
      </c>
      <c r="O46" t="n">
        <v>89</v>
      </c>
      <c r="P46" t="n">
        <v>588</v>
      </c>
      <c r="Q46" t="n">
        <v>677</v>
      </c>
    </row>
    <row r="47">
      <c r="A47" s="15" t="inlineStr">
        <is>
          <t>Socio-Emocional</t>
        </is>
      </c>
      <c r="B47" s="9">
        <f>+CONCATENATE(LEFT(D47,3),"-",C47)</f>
        <v/>
      </c>
      <c r="C47" s="16" t="inlineStr">
        <is>
          <t>41. Se comunica de manera asertiva.</t>
        </is>
      </c>
      <c r="D47" s="17" t="inlineStr">
        <is>
          <t>Fortaleza/Logro</t>
        </is>
      </c>
      <c r="E47" s="11" t="n">
        <v>6</v>
      </c>
      <c r="F47">
        <f>IF(D47="Alerta/Mejora",
IF(E47&lt;=3, 5, IF(E47&lt;=7, 4, IF(E47&lt;=11, 3, IF(E47&lt;=15, 2, 1)))),
IF(E47&gt;=34, 5, IF(E47&gt;=30, 4, IF(E47&gt;=26, 3, IF(E47&gt;=22, 2, 1))))
)</f>
        <v/>
      </c>
      <c r="G47">
        <f>+E47</f>
        <v/>
      </c>
      <c r="H47">
        <f>VLOOKUP(F47, REGLA1, 2, FALSE)</f>
        <v/>
      </c>
      <c r="I47" t="inlineStr">
        <is>
          <t>SEPTIMO</t>
        </is>
      </c>
      <c r="J47" t="inlineStr">
        <is>
          <t>TM</t>
        </is>
      </c>
      <c r="K47">
        <f>IFERROR(
ROUND(
IF(
SUMIFS($D$2:$D$200,$F$2:$F$200,F47,$H$2:$H$200,TRIM(H47),$I$2:$I$200,TRIM(I47))=0,
0,
SUMIFS($D$2:$D$200,$F$2:$F$200,F47,$H$2:$H$200,TRIM(H47),$I$2:$I$200,TRIM(I47))
/
SUMIFS($D$2:$D$200,$H$2:$H$200,TRIM(H47),$I$2:$I$200,TRIM(I47))
*
$K$1),0),0)</f>
        <v/>
      </c>
    </row>
    <row r="48">
      <c r="A48" s="15" t="inlineStr">
        <is>
          <t>Socio-Emocional</t>
        </is>
      </c>
      <c r="B48" s="9">
        <f>+CONCATENATE(LEFT(D48,3),"-",C48)</f>
        <v/>
      </c>
      <c r="C48" s="16" t="inlineStr">
        <is>
          <t>43. Tiene una autoestima académica sólida.</t>
        </is>
      </c>
      <c r="D48" s="17" t="inlineStr">
        <is>
          <t>Fortaleza/Logro</t>
        </is>
      </c>
      <c r="E48" s="11" t="n">
        <v>6</v>
      </c>
      <c r="F48">
        <f>IF(D48="Alerta/Mejora",
IF(E48&lt;=3, 5, IF(E48&lt;=7, 4, IF(E48&lt;=11, 3, IF(E48&lt;=15, 2, 1)))),
IF(E48&gt;=34, 5, IF(E48&gt;=30, 4, IF(E48&gt;=26, 3, IF(E48&gt;=22, 2, 1))))
)</f>
        <v/>
      </c>
      <c r="G48">
        <f>+E48</f>
        <v/>
      </c>
      <c r="H48">
        <f>VLOOKUP(F48, REGLA1, 2, FALSE)</f>
        <v/>
      </c>
      <c r="I48" t="inlineStr">
        <is>
          <t>SEPTIMO</t>
        </is>
      </c>
      <c r="J48" t="inlineStr">
        <is>
          <t>TM</t>
        </is>
      </c>
      <c r="K48">
        <f>IFERROR(
ROUND(
IF(
SUMIFS($D$2:$D$200,$F$2:$F$200,F48,$H$2:$H$200,TRIM(H48),$I$2:$I$200,TRIM(I48))=0,
0,
SUMIFS($D$2:$D$200,$F$2:$F$200,F48,$H$2:$H$200,TRIM(H48),$I$2:$I$200,TRIM(I48))
/
SUMIFS($D$2:$D$200,$H$2:$H$200,TRIM(H48),$I$2:$I$200,TRIM(I48))
*
$K$1),0),0)</f>
        <v/>
      </c>
      <c r="N48" s="1" t="n"/>
      <c r="O48" s="1" t="inlineStr">
        <is>
          <t>Etiquetas de columna</t>
        </is>
      </c>
    </row>
    <row r="49">
      <c r="A49" s="15" t="inlineStr">
        <is>
          <t>Actitudinal</t>
        </is>
      </c>
      <c r="B49" s="9">
        <f>+CONCATENATE(LEFT(D49,3),"-",C49)</f>
        <v/>
      </c>
      <c r="C49" s="16" t="inlineStr">
        <is>
          <t>45. Muestra curiosidad e iniciativa propia.</t>
        </is>
      </c>
      <c r="D49" s="17" t="inlineStr">
        <is>
          <t>Fortaleza/Logro</t>
        </is>
      </c>
      <c r="E49" s="11" t="n">
        <v>16</v>
      </c>
      <c r="F49">
        <f>IF(D49="Alerta/Mejora",
IF(E49&lt;=3, 5, IF(E49&lt;=7, 4, IF(E49&lt;=11, 3, IF(E49&lt;=15, 2, 1)))),
IF(E49&gt;=34, 5, IF(E49&gt;=30, 4, IF(E49&gt;=26, 3, IF(E49&gt;=22, 2, 1))))
)</f>
        <v/>
      </c>
      <c r="G49">
        <f>+E49</f>
        <v/>
      </c>
      <c r="H49">
        <f>VLOOKUP(F49, REGLA1, 2, FALSE)</f>
        <v/>
      </c>
      <c r="I49" t="inlineStr">
        <is>
          <t>SEPTIMO</t>
        </is>
      </c>
      <c r="J49" t="inlineStr">
        <is>
          <t>TM</t>
        </is>
      </c>
      <c r="K49">
        <f>IFERROR(
ROUND(
IF(
SUMIFS($D$2:$D$200,$F$2:$F$200,F49,$H$2:$H$200,TRIM(H49),$I$2:$I$200,TRIM(I49))=0,
0,
SUMIFS($D$2:$D$200,$F$2:$F$200,F49,$H$2:$H$200,TRIM(H49),$I$2:$I$200,TRIM(I49))
/
SUMIFS($D$2:$D$200,$H$2:$H$200,TRIM(H49),$I$2:$I$200,TRIM(I49))
*
$K$1),0),0)</f>
        <v/>
      </c>
      <c r="O49" t="inlineStr">
        <is>
          <t>Alerta/Mejora</t>
        </is>
      </c>
      <c r="P49" t="inlineStr">
        <is>
          <t>Fortaleza/Logro</t>
        </is>
      </c>
      <c r="Q49" t="inlineStr">
        <is>
          <t>(en blanco)</t>
        </is>
      </c>
      <c r="R49" t="inlineStr">
        <is>
          <t>Total general</t>
        </is>
      </c>
    </row>
    <row r="50">
      <c r="A50" s="15" t="inlineStr">
        <is>
          <t>Actitudinal</t>
        </is>
      </c>
      <c r="B50" s="9">
        <f>+CONCATENATE(LEFT(D50,3),"-",C50)</f>
        <v/>
      </c>
      <c r="C50" s="16" t="inlineStr">
        <is>
          <t>47. Es persistente en tareas complejas.</t>
        </is>
      </c>
      <c r="D50" s="17" t="inlineStr">
        <is>
          <t>Fortaleza/Logro</t>
        </is>
      </c>
      <c r="E50" s="11" t="n">
        <v>5</v>
      </c>
      <c r="F50">
        <f>IF(D50="Alerta/Mejora",
IF(E50&lt;=3, 5, IF(E50&lt;=7, 4, IF(E50&lt;=11, 3, IF(E50&lt;=15, 2, 1)))),
IF(E50&gt;=34, 5, IF(E50&gt;=30, 4, IF(E50&gt;=26, 3, IF(E50&gt;=22, 2, 1))))
)</f>
        <v/>
      </c>
      <c r="G50">
        <f>+E50</f>
        <v/>
      </c>
      <c r="H50">
        <f>VLOOKUP(F50, REGLA1, 2, FALSE)</f>
        <v/>
      </c>
      <c r="I50" t="inlineStr">
        <is>
          <t>SEPTIMO</t>
        </is>
      </c>
      <c r="J50" t="inlineStr">
        <is>
          <t>TM</t>
        </is>
      </c>
      <c r="K50">
        <f>IFERROR(
ROUND(
IF(
SUMIFS($D$2:$D$200,$F$2:$F$200,F50,$H$2:$H$200,TRIM(H50),$I$2:$I$200,TRIM(I50))=0,
0,
SUMIFS($D$2:$D$200,$F$2:$F$200,F50,$H$2:$H$200,TRIM(H50),$I$2:$I$200,TRIM(I50))
/
SUMIFS($D$2:$D$200,$H$2:$H$200,TRIM(H50),$I$2:$I$200,TRIM(I50))
*
$K$1),0),0)</f>
        <v/>
      </c>
      <c r="N50" t="inlineStr">
        <is>
          <t>Suma de Cantidad de veces</t>
        </is>
      </c>
      <c r="O50" t="n">
        <v>89</v>
      </c>
      <c r="P50" t="n">
        <v>588</v>
      </c>
      <c r="R50" t="n">
        <v>677</v>
      </c>
    </row>
    <row r="51">
      <c r="A51" s="15" t="inlineStr">
        <is>
          <t>Actitudinal</t>
        </is>
      </c>
      <c r="B51" s="9">
        <f>+CONCATENATE(LEFT(D51,3),"-",C51)</f>
        <v/>
      </c>
      <c r="C51" s="16" t="inlineStr">
        <is>
          <t>49. Acepta retroalimentación constructiva.</t>
        </is>
      </c>
      <c r="D51" s="17" t="inlineStr">
        <is>
          <t>Fortaleza/Logro</t>
        </is>
      </c>
      <c r="E51" s="11" t="n">
        <v>12</v>
      </c>
      <c r="F51">
        <f>IF(D51="Alerta/Mejora",
IF(E51&lt;=3, 5, IF(E51&lt;=7, 4, IF(E51&lt;=11, 3, IF(E51&lt;=15, 2, 1)))),
IF(E51&gt;=34, 5, IF(E51&gt;=30, 4, IF(E51&gt;=26, 3, IF(E51&gt;=22, 2, 1))))
)</f>
        <v/>
      </c>
      <c r="G51">
        <f>+E51</f>
        <v/>
      </c>
      <c r="H51">
        <f>VLOOKUP(F51, REGLA1, 2, FALSE)</f>
        <v/>
      </c>
      <c r="I51" t="inlineStr">
        <is>
          <t>SEPTIMO</t>
        </is>
      </c>
      <c r="J51" t="inlineStr">
        <is>
          <t>TM</t>
        </is>
      </c>
      <c r="K51">
        <f>IFERROR(
ROUND(
IF(
SUMIFS($D$2:$D$200,$F$2:$F$200,F51,$H$2:$H$200,TRIM(H51),$I$2:$I$200,TRIM(I51))=0,
0,
SUMIFS($D$2:$D$200,$F$2:$F$200,F51,$H$2:$H$200,TRIM(H51),$I$2:$I$200,TRIM(I51))
/
SUMIFS($D$2:$D$200,$H$2:$H$200,TRIM(H51),$I$2:$I$200,TRIM(I51))
*
$K$1),0),0)</f>
        <v/>
      </c>
    </row>
    <row r="52"/>
    <row r="53"/>
    <row r="54">
      <c r="N54" t="inlineStr">
        <is>
          <t xml:space="preserve">Nota </t>
        </is>
      </c>
      <c r="O54" t="inlineStr">
        <is>
          <t>Cantidad de alumnos</t>
        </is>
      </c>
      <c r="Q54" t="inlineStr">
        <is>
          <t>% de Alumnos</t>
        </is>
      </c>
      <c r="S54" t="inlineStr">
        <is>
          <t>7mo. TM</t>
        </is>
      </c>
    </row>
    <row r="55">
      <c r="N55" t="n">
        <v>1</v>
      </c>
      <c r="O55">
        <f>ROUND((COUNTIF($F$2:$F$51, N55) / 50) * 37, 0)</f>
        <v/>
      </c>
      <c r="Q55" s="18">
        <f>+O55/O$60</f>
        <v/>
      </c>
      <c r="S55" t="inlineStr">
        <is>
          <t xml:space="preserve">Muy bueno </t>
        </is>
      </c>
      <c r="T55">
        <f>+O59+O58</f>
        <v/>
      </c>
      <c r="U55" s="18">
        <f>+T55/O$60</f>
        <v/>
      </c>
      <c r="V55" t="inlineStr">
        <is>
          <t>alumnos</t>
        </is>
      </c>
    </row>
    <row r="56">
      <c r="N56" t="n">
        <v>2</v>
      </c>
      <c r="O56">
        <f>ROUND((COUNTIF($F$2:$F$51, N56) / 50) * 37, 0)</f>
        <v/>
      </c>
      <c r="Q56" s="18">
        <f>+O56/O$60</f>
        <v/>
      </c>
      <c r="S56" t="inlineStr">
        <is>
          <t>Bueno</t>
        </is>
      </c>
      <c r="T56">
        <f>+O57</f>
        <v/>
      </c>
      <c r="U56" s="18">
        <f>+T56/O$60</f>
        <v/>
      </c>
      <c r="V56" t="inlineStr">
        <is>
          <t>alumnos</t>
        </is>
      </c>
    </row>
    <row r="57">
      <c r="N57" t="n">
        <v>3</v>
      </c>
      <c r="O57">
        <f>ROUND((COUNTIF($F$2:$F$51, N57) / 50) * 37, 0)</f>
        <v/>
      </c>
      <c r="Q57" s="18">
        <f>+O57/O$60</f>
        <v/>
      </c>
      <c r="S57" t="inlineStr">
        <is>
          <t>A mejorar</t>
        </is>
      </c>
      <c r="T57">
        <f>+O55+O56</f>
        <v/>
      </c>
      <c r="U57" s="18">
        <f>+T57/O$60</f>
        <v/>
      </c>
      <c r="V57" t="inlineStr">
        <is>
          <t>alumnos</t>
        </is>
      </c>
    </row>
    <row r="58">
      <c r="N58" t="n">
        <v>4</v>
      </c>
      <c r="O58">
        <f>ROUND((COUNTIF($F$2:$F$51, N58) / 50) * 37, 0)</f>
        <v/>
      </c>
      <c r="Q58" s="18">
        <f>+O58/O$60</f>
        <v/>
      </c>
    </row>
    <row r="59">
      <c r="N59" t="n">
        <v>5</v>
      </c>
      <c r="O59">
        <f>ROUND((COUNTIF($F$2:$F$51, N59) / 50) * 37, 0)</f>
        <v/>
      </c>
      <c r="Q59" s="18">
        <f>+O59/O$60</f>
        <v/>
      </c>
    </row>
    <row r="60">
      <c r="O60">
        <f>SUM(O55:O59)</f>
        <v/>
      </c>
    </row>
    <row r="61"/>
    <row r="62"/>
    <row r="63">
      <c r="N63">
        <f>+N54</f>
        <v/>
      </c>
      <c r="O63" t="inlineStr">
        <is>
          <t>VALORACION</t>
        </is>
      </c>
    </row>
    <row r="64">
      <c r="N64">
        <f>+N55</f>
        <v/>
      </c>
      <c r="O64">
        <f>+O68</f>
        <v/>
      </c>
    </row>
    <row r="65">
      <c r="N65">
        <f>+N56</f>
        <v/>
      </c>
      <c r="O65">
        <f>+S57</f>
        <v/>
      </c>
    </row>
    <row r="66">
      <c r="N66">
        <f>+N57</f>
        <v/>
      </c>
      <c r="O66">
        <f>+S56</f>
        <v/>
      </c>
    </row>
    <row r="67">
      <c r="N67">
        <f>+N58</f>
        <v/>
      </c>
      <c r="O67">
        <f>+O68</f>
        <v/>
      </c>
    </row>
    <row r="68">
      <c r="N68">
        <f>+N59</f>
        <v/>
      </c>
      <c r="O68">
        <f>+S57</f>
        <v/>
      </c>
    </row>
    <row r="69"/>
    <row r="70">
      <c r="N70" s="1" t="inlineStr">
        <is>
          <t>Etiquetas de fila</t>
        </is>
      </c>
      <c r="O70" t="inlineStr">
        <is>
          <t>Cuenta de NF</t>
        </is>
      </c>
      <c r="P70" t="inlineStr">
        <is>
          <t>Suma de NF</t>
        </is>
      </c>
    </row>
    <row r="71">
      <c r="N71" s="3" t="n">
        <v>1</v>
      </c>
      <c r="O71" t="n">
        <v>34</v>
      </c>
      <c r="P71" t="n">
        <v>0</v>
      </c>
    </row>
    <row r="72">
      <c r="N72" s="3" t="n">
        <v>2</v>
      </c>
      <c r="O72" t="n">
        <v>5</v>
      </c>
      <c r="P72" t="n">
        <v>0</v>
      </c>
    </row>
    <row r="73">
      <c r="N73" s="3" t="n">
        <v>3</v>
      </c>
      <c r="O73" t="n">
        <v>4</v>
      </c>
      <c r="P73" t="n">
        <v>0</v>
      </c>
    </row>
    <row r="74">
      <c r="N74" s="3" t="n">
        <v>4</v>
      </c>
      <c r="O74" t="n">
        <v>4</v>
      </c>
      <c r="P74" t="n">
        <v>0</v>
      </c>
    </row>
    <row r="75">
      <c r="N75" s="3" t="n">
        <v>5</v>
      </c>
      <c r="O75" t="n">
        <v>3</v>
      </c>
      <c r="P75" t="n">
        <v>0</v>
      </c>
    </row>
    <row r="76">
      <c r="N76" s="3" t="inlineStr">
        <is>
          <t>Total general</t>
        </is>
      </c>
      <c r="O76" t="n">
        <v>50</v>
      </c>
      <c r="P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cols>
    <col width="18.28515625" customWidth="1" min="1" max="1"/>
    <col width="58.42578125" customWidth="1" min="2" max="2"/>
    <col width="60.140625" customWidth="1" min="3" max="3"/>
    <col width="20.140625" customWidth="1" min="4" max="4"/>
    <col width="17.140625" customWidth="1" min="5" max="5"/>
    <col width="6" customWidth="1" min="6" max="6"/>
    <col width="3" customWidth="1" min="7" max="7"/>
    <col width="12.42578125" customWidth="1" min="8" max="8"/>
    <col width="8.7109375" customWidth="1" min="9" max="9"/>
    <col width="7.28515625" customWidth="1" min="10" max="10"/>
    <col width="11" customWidth="1" min="11" max="11"/>
    <col width="3.7109375" customWidth="1" min="12" max="12"/>
    <col width="26" customWidth="1" min="14" max="14"/>
    <col width="22.85546875" customWidth="1" min="15" max="15"/>
    <col width="14.85546875" customWidth="1" min="16" max="16"/>
    <col width="12.5703125" customWidth="1" min="17" max="17"/>
    <col width="14.85546875" customWidth="1" min="18" max="18"/>
    <col width="12.5703125" customWidth="1" min="19" max="19"/>
  </cols>
  <sheetData>
    <row r="1">
      <c r="A1" s="4" t="inlineStr">
        <is>
          <t>Categoría</t>
        </is>
      </c>
      <c r="B1" s="5" t="inlineStr">
        <is>
          <t xml:space="preserve">Indicador </t>
        </is>
      </c>
      <c r="C1" s="5" t="inlineStr">
        <is>
          <t xml:space="preserve">Indicador </t>
        </is>
      </c>
      <c r="D1" s="6" t="inlineStr">
        <is>
          <t>Tipo de Indicador</t>
        </is>
      </c>
      <c r="E1" s="7" t="inlineStr">
        <is>
          <t>Cantidad de veces</t>
        </is>
      </c>
      <c r="F1" t="inlineStr">
        <is>
          <t>NOTA</t>
        </is>
      </c>
      <c r="G1" t="inlineStr">
        <is>
          <t>PR</t>
        </is>
      </c>
      <c r="H1" t="inlineStr">
        <is>
          <t>VALORACION</t>
        </is>
      </c>
      <c r="I1" t="inlineStr">
        <is>
          <t>GRADO</t>
        </is>
      </c>
      <c r="J1" t="inlineStr">
        <is>
          <t>TURNO</t>
        </is>
      </c>
      <c r="K1" t="inlineStr">
        <is>
          <t>NF</t>
        </is>
      </c>
      <c r="L1">
        <f>+'[2]Datos '!G14</f>
        <v/>
      </c>
      <c r="N1">
        <f>+GETPIVOTDATA("Cantidad de veces",$N$48)</f>
        <v/>
      </c>
      <c r="O1">
        <f>+GETPIVOTDATA("Cantidad de veces",$P$3)</f>
        <v/>
      </c>
    </row>
    <row r="2">
      <c r="A2" s="8" t="inlineStr">
        <is>
          <t>Académica</t>
        </is>
      </c>
      <c r="B2" s="9">
        <f>+CONCATENATE(LEFT(D2,3),"-",C2)</f>
        <v/>
      </c>
      <c r="C2" s="9" t="inlineStr">
        <is>
          <t>02. Presenta lagunas en conocimientos previos.</t>
        </is>
      </c>
      <c r="D2" s="10" t="inlineStr">
        <is>
          <t>Alerta/Mejora</t>
        </is>
      </c>
      <c r="E2" s="11" t="n">
        <v>12</v>
      </c>
      <c r="F2">
        <f>VLOOKUP(G2, $L$3:$N$7, 3, 1)</f>
        <v/>
      </c>
      <c r="G2">
        <f>+L$1-E2</f>
        <v/>
      </c>
      <c r="H2">
        <f>VLOOKUP(F2, REGLA1, 2, FALSE)</f>
        <v/>
      </c>
      <c r="I2" t="inlineStr">
        <is>
          <t>SEPTIMO</t>
        </is>
      </c>
      <c r="J2" t="inlineStr">
        <is>
          <t>TT</t>
        </is>
      </c>
      <c r="K2" s="19">
        <f>ROUND((COUNTIF(F2, N$3) / 50) * $L$1, 0)</f>
        <v/>
      </c>
    </row>
    <row r="3">
      <c r="A3" s="8" t="inlineStr">
        <is>
          <t>Académica</t>
        </is>
      </c>
      <c r="B3" s="9">
        <f>+CONCATENATE(LEFT(D3,3),"-",C3)</f>
        <v/>
      </c>
      <c r="C3" s="9" t="inlineStr">
        <is>
          <t>04. Se limita a memorizar sin comprender.</t>
        </is>
      </c>
      <c r="D3" s="10" t="inlineStr">
        <is>
          <t>Alerta/Mejora</t>
        </is>
      </c>
      <c r="E3" s="11" t="n">
        <v>8</v>
      </c>
      <c r="F3">
        <f>VLOOKUP(G3, $L$3:$N$7, 3, 1)</f>
        <v/>
      </c>
      <c r="G3">
        <f>+L$1-E3</f>
        <v/>
      </c>
      <c r="H3">
        <f>VLOOKUP(F3, REGLA1, 2, FALSE)</f>
        <v/>
      </c>
      <c r="I3" t="inlineStr">
        <is>
          <t>SEPTIMO</t>
        </is>
      </c>
      <c r="J3" t="inlineStr">
        <is>
          <t>TT</t>
        </is>
      </c>
      <c r="K3" s="19">
        <f>ROUND((COUNTIF(F3, N$3) / 50) * $L$1, 0)</f>
        <v/>
      </c>
      <c r="L3" s="12" t="n">
        <v>1</v>
      </c>
      <c r="M3" s="12" t="n">
        <v>8</v>
      </c>
      <c r="N3" s="13" t="n">
        <v>1</v>
      </c>
      <c r="P3" s="1" t="inlineStr">
        <is>
          <t>Promedio de Cantidad de veces</t>
        </is>
      </c>
      <c r="Q3" s="1" t="inlineStr">
        <is>
          <t>Etiquetas de columna</t>
        </is>
      </c>
    </row>
    <row r="4">
      <c r="A4" s="8" t="inlineStr">
        <is>
          <t>Académica</t>
        </is>
      </c>
      <c r="B4" s="9">
        <f>+CONCATENATE(LEFT(D4,3),"-",C4)</f>
        <v/>
      </c>
      <c r="C4" s="9" t="inlineStr">
        <is>
          <t>06. Entrega tareas incompletas o descuidadas.</t>
        </is>
      </c>
      <c r="D4" s="10" t="inlineStr">
        <is>
          <t>Alerta/Mejora</t>
        </is>
      </c>
      <c r="E4" s="11" t="n">
        <v>3</v>
      </c>
      <c r="F4">
        <f>VLOOKUP(G4, $L$3:$N$7, 3, 1)</f>
        <v/>
      </c>
      <c r="G4">
        <f>+L$1-E4</f>
        <v/>
      </c>
      <c r="H4">
        <f>VLOOKUP(F4, REGLA1, 2, FALSE)</f>
        <v/>
      </c>
      <c r="I4" t="inlineStr">
        <is>
          <t>SEPTIMO</t>
        </is>
      </c>
      <c r="J4" t="inlineStr">
        <is>
          <t>TT</t>
        </is>
      </c>
      <c r="K4" s="19">
        <f>ROUND((COUNTIF(F4, N$3) / 50) * $L$1, 0)</f>
        <v/>
      </c>
      <c r="L4" s="12" t="n"/>
      <c r="M4" s="12" t="n">
        <v>9</v>
      </c>
      <c r="N4" s="13" t="n">
        <v>2</v>
      </c>
      <c r="P4" s="1" t="inlineStr">
        <is>
          <t>Etiquetas de fila</t>
        </is>
      </c>
      <c r="Q4" t="inlineStr">
        <is>
          <t>Alerta/Mejora</t>
        </is>
      </c>
      <c r="R4" t="inlineStr">
        <is>
          <t>Fortaleza/Logro</t>
        </is>
      </c>
      <c r="S4" t="inlineStr">
        <is>
          <t>Total general</t>
        </is>
      </c>
    </row>
    <row r="5">
      <c r="A5" s="8" t="inlineStr">
        <is>
          <t>Académica</t>
        </is>
      </c>
      <c r="B5" s="9">
        <f>+CONCATENATE(LEFT(D5,3),"-",C5)</f>
        <v/>
      </c>
      <c r="C5" s="9" t="inlineStr">
        <is>
          <t>08. Se bloquea ante desafíos matemáticos.</t>
        </is>
      </c>
      <c r="D5" s="10" t="inlineStr">
        <is>
          <t>Alerta/Mejora</t>
        </is>
      </c>
      <c r="E5" s="11" t="n">
        <v>7</v>
      </c>
      <c r="F5">
        <f>VLOOKUP(G5, $L$3:$N$7, 3, 1)</f>
        <v/>
      </c>
      <c r="G5">
        <f>+L$1-E5</f>
        <v/>
      </c>
      <c r="H5">
        <f>VLOOKUP(F5, REGLA1, 2, FALSE)</f>
        <v/>
      </c>
      <c r="I5" t="inlineStr">
        <is>
          <t>SEPTIMO</t>
        </is>
      </c>
      <c r="J5" t="inlineStr">
        <is>
          <t>TT</t>
        </is>
      </c>
      <c r="K5" s="19">
        <f>ROUND((COUNTIF(F5, N$3) / 50) * $L$1, 0)</f>
        <v/>
      </c>
      <c r="L5" s="12" t="n">
        <v>10</v>
      </c>
      <c r="M5" s="12" t="n">
        <v>11</v>
      </c>
      <c r="N5" s="13" t="n">
        <v>3</v>
      </c>
      <c r="P5" s="3" t="inlineStr">
        <is>
          <t>Académica</t>
        </is>
      </c>
      <c r="Q5" t="n">
        <v>2.375</v>
      </c>
      <c r="R5" t="n">
        <v>12.375</v>
      </c>
      <c r="S5" t="n">
        <v>7.375</v>
      </c>
    </row>
    <row r="6">
      <c r="A6" s="8" t="inlineStr">
        <is>
          <t>Académica</t>
        </is>
      </c>
      <c r="B6" s="9">
        <f>+CONCATENATE(LEFT(D6,3),"-",C6)</f>
        <v/>
      </c>
      <c r="C6" s="9" t="inlineStr">
        <is>
          <t>10. Tiene dificultades de expresión oral/escrita.</t>
        </is>
      </c>
      <c r="D6" s="10" t="inlineStr">
        <is>
          <t>Alerta/Mejora</t>
        </is>
      </c>
      <c r="E6" s="11" t="n">
        <v>2</v>
      </c>
      <c r="F6">
        <f>VLOOKUP(G6, $L$3:$N$7, 3, 1)</f>
        <v/>
      </c>
      <c r="G6">
        <f>+L$1-E6</f>
        <v/>
      </c>
      <c r="H6">
        <f>VLOOKUP(F6, REGLA1, 2, FALSE)</f>
        <v/>
      </c>
      <c r="I6" t="inlineStr">
        <is>
          <t>SEPTIMO</t>
        </is>
      </c>
      <c r="J6" t="inlineStr">
        <is>
          <t>TT</t>
        </is>
      </c>
      <c r="K6" s="19">
        <f>ROUND((COUNTIF(F6, N$3) / 50) * $L$1, 0)</f>
        <v/>
      </c>
      <c r="L6" s="12" t="n">
        <v>12</v>
      </c>
      <c r="M6" s="12" t="n">
        <v>13</v>
      </c>
      <c r="N6" s="13" t="n">
        <v>4</v>
      </c>
      <c r="P6" s="3" t="inlineStr">
        <is>
          <t>Actitudinal</t>
        </is>
      </c>
      <c r="Q6" t="n">
        <v>0.6666666666666666</v>
      </c>
      <c r="R6" t="n">
        <v>11.33333333333333</v>
      </c>
      <c r="S6" t="n">
        <v>6</v>
      </c>
    </row>
    <row r="7">
      <c r="A7" s="8" t="inlineStr">
        <is>
          <t>Académica</t>
        </is>
      </c>
      <c r="B7" s="9">
        <f>+CONCATENATE(LEFT(D7,3),"-",C7)</f>
        <v/>
      </c>
      <c r="C7" s="9" t="inlineStr">
        <is>
          <t>12. Muestra rechazo o desinterés por la lectura.</t>
        </is>
      </c>
      <c r="D7" s="10" t="inlineStr">
        <is>
          <t>Alerta/Mejora</t>
        </is>
      </c>
      <c r="E7" s="11" t="n">
        <v>3</v>
      </c>
      <c r="F7">
        <f>VLOOKUP(G7, $L$3:$N$7, 3, 1)</f>
        <v/>
      </c>
      <c r="G7">
        <f>+L$1-E7</f>
        <v/>
      </c>
      <c r="H7">
        <f>VLOOKUP(F7, REGLA1, 2, FALSE)</f>
        <v/>
      </c>
      <c r="I7" t="inlineStr">
        <is>
          <t>SEPTIMO</t>
        </is>
      </c>
      <c r="J7" t="inlineStr">
        <is>
          <t>TT</t>
        </is>
      </c>
      <c r="K7" s="19">
        <f>ROUND((COUNTIF(F7, N$3) / 50) * $L$1, 0)</f>
        <v/>
      </c>
      <c r="L7" s="12" t="n"/>
      <c r="M7" s="12" t="n">
        <v>14</v>
      </c>
      <c r="N7" s="13" t="n">
        <v>5</v>
      </c>
      <c r="P7" s="3" t="inlineStr">
        <is>
          <t>Conductual</t>
        </is>
      </c>
      <c r="Q7" t="n">
        <v>0.5</v>
      </c>
      <c r="R7" t="n">
        <v>13.125</v>
      </c>
      <c r="S7" t="n">
        <v>6.8125</v>
      </c>
    </row>
    <row r="8">
      <c r="A8" s="8" t="inlineStr">
        <is>
          <t>Académica</t>
        </is>
      </c>
      <c r="B8" s="9">
        <f>+CONCATENATE(LEFT(D8,3),"-",C8)</f>
        <v/>
      </c>
      <c r="C8" s="9" t="inlineStr">
        <is>
          <t>14. Requiere supervisión constante para avanzar.</t>
        </is>
      </c>
      <c r="D8" s="10" t="inlineStr">
        <is>
          <t>Alerta/Mejora</t>
        </is>
      </c>
      <c r="E8" s="11" t="n">
        <v>3</v>
      </c>
      <c r="F8">
        <f>VLOOKUP(G8, $L$3:$N$7, 3, 1)</f>
        <v/>
      </c>
      <c r="G8">
        <f>+L$1-E8</f>
        <v/>
      </c>
      <c r="H8">
        <f>VLOOKUP(F8, REGLA1, 2, FALSE)</f>
        <v/>
      </c>
      <c r="I8" t="inlineStr">
        <is>
          <t>SEPTIMO</t>
        </is>
      </c>
      <c r="J8" t="inlineStr">
        <is>
          <t>TT</t>
        </is>
      </c>
      <c r="K8" s="19">
        <f>ROUND((COUNTIF(F8, N$3) / 50) * $L$1, 0)</f>
        <v/>
      </c>
      <c r="P8" s="3" t="inlineStr">
        <is>
          <t>Socio-Emocional</t>
        </is>
      </c>
      <c r="Q8" t="n">
        <v>1.5</v>
      </c>
      <c r="R8" t="n">
        <v>12</v>
      </c>
      <c r="S8" t="n">
        <v>6.75</v>
      </c>
    </row>
    <row r="9">
      <c r="A9" s="8" t="inlineStr">
        <is>
          <t>Académica</t>
        </is>
      </c>
      <c r="B9" s="9">
        <f>+CONCATENATE(LEFT(D9,3),"-",C9)</f>
        <v/>
      </c>
      <c r="C9" s="9" t="inlineStr">
        <is>
          <t>16. Muestra apatía por temas nuevos.</t>
        </is>
      </c>
      <c r="D9" s="10" t="inlineStr">
        <is>
          <t>Alerta/Mejora</t>
        </is>
      </c>
      <c r="E9" s="11" t="n">
        <v>0</v>
      </c>
      <c r="F9">
        <f>VLOOKUP(G9, $L$3:$N$7, 3, 1)</f>
        <v/>
      </c>
      <c r="G9">
        <f>+L$1-E9</f>
        <v/>
      </c>
      <c r="H9">
        <f>VLOOKUP(F9, REGLA1, 2, FALSE)</f>
        <v/>
      </c>
      <c r="I9" t="inlineStr">
        <is>
          <t>SEPTIMO</t>
        </is>
      </c>
      <c r="J9" t="inlineStr">
        <is>
          <t>TT</t>
        </is>
      </c>
      <c r="K9" s="19">
        <f>ROUND((COUNTIF(F9, N$3) / 50) * $L$1, 0)</f>
        <v/>
      </c>
      <c r="P9" s="3" t="inlineStr">
        <is>
          <t>Total general</t>
        </is>
      </c>
      <c r="Q9" t="n">
        <v>1.36</v>
      </c>
      <c r="R9" t="n">
        <v>12.4</v>
      </c>
      <c r="S9" t="n">
        <v>6.88</v>
      </c>
    </row>
    <row r="10">
      <c r="A10" s="8" t="inlineStr">
        <is>
          <t>Conductual</t>
        </is>
      </c>
      <c r="B10" s="9">
        <f>+CONCATENATE(LEFT(D10,3),"-",C10)</f>
        <v/>
      </c>
      <c r="C10" s="9" t="inlineStr">
        <is>
          <t>18. Desafía activamente la autoridad.</t>
        </is>
      </c>
      <c r="D10" s="10" t="inlineStr">
        <is>
          <t>Alerta/Mejora</t>
        </is>
      </c>
      <c r="E10" s="11" t="n">
        <v>0</v>
      </c>
      <c r="F10">
        <f>VLOOKUP(G10, $L$3:$N$7, 3, 1)</f>
        <v/>
      </c>
      <c r="G10">
        <f>+L$1-E10</f>
        <v/>
      </c>
      <c r="H10">
        <f>VLOOKUP(F10, REGLA1, 2, FALSE)</f>
        <v/>
      </c>
      <c r="I10" t="inlineStr">
        <is>
          <t>SEPTIMO</t>
        </is>
      </c>
      <c r="J10" t="inlineStr">
        <is>
          <t>TT</t>
        </is>
      </c>
      <c r="K10" s="19">
        <f>ROUND((COUNTIF(F10, N$3) / 50) * $L$1, 0)</f>
        <v/>
      </c>
    </row>
    <row r="11">
      <c r="A11" s="8" t="inlineStr">
        <is>
          <t>Conductual</t>
        </is>
      </c>
      <c r="B11" s="9">
        <f>+CONCATENATE(LEFT(D11,3),"-",C11)</f>
        <v/>
      </c>
      <c r="C11" s="9" t="inlineStr">
        <is>
          <t>20. Presenta retardos o inasistencias frecuentes.</t>
        </is>
      </c>
      <c r="D11" s="10" t="inlineStr">
        <is>
          <t>Alerta/Mejora</t>
        </is>
      </c>
      <c r="E11" s="11" t="n">
        <v>2</v>
      </c>
      <c r="F11">
        <f>VLOOKUP(G11, $L$3:$N$7, 3, 1)</f>
        <v/>
      </c>
      <c r="G11">
        <f>+L$1-E11</f>
        <v/>
      </c>
      <c r="H11">
        <f>VLOOKUP(F11, REGLA1, 2, FALSE)</f>
        <v/>
      </c>
      <c r="I11" t="inlineStr">
        <is>
          <t>SEPTIMO</t>
        </is>
      </c>
      <c r="J11" t="inlineStr">
        <is>
          <t>TT</t>
        </is>
      </c>
      <c r="K11" s="19">
        <f>ROUND((COUNTIF(F11, N$3) / 50) * $L$1, 0)</f>
        <v/>
      </c>
    </row>
    <row r="12">
      <c r="A12" s="8" t="inlineStr">
        <is>
          <t>Conductual</t>
        </is>
      </c>
      <c r="B12" s="9">
        <f>+CONCATENATE(LEFT(D12,3),"-",C12)</f>
        <v/>
      </c>
      <c r="C12" s="9" t="inlineStr">
        <is>
          <t>22. Daña el mobiliario o materiales escolares.</t>
        </is>
      </c>
      <c r="D12" s="10" t="inlineStr">
        <is>
          <t>Alerta/Mejora</t>
        </is>
      </c>
      <c r="E12" s="11" t="n">
        <v>0</v>
      </c>
      <c r="F12">
        <f>VLOOKUP(G12, $L$3:$N$7, 3, 1)</f>
        <v/>
      </c>
      <c r="G12">
        <f>+L$1-E12</f>
        <v/>
      </c>
      <c r="H12">
        <f>VLOOKUP(F12, REGLA1, 2, FALSE)</f>
        <v/>
      </c>
      <c r="I12" t="inlineStr">
        <is>
          <t>SEPTIMO</t>
        </is>
      </c>
      <c r="J12" t="inlineStr">
        <is>
          <t>TT</t>
        </is>
      </c>
      <c r="K12" s="19">
        <f>ROUND((COUNTIF(F12, N$3) / 50) * $L$1, 0)</f>
        <v/>
      </c>
    </row>
    <row r="13">
      <c r="A13" s="8" t="inlineStr">
        <is>
          <t>Conductual</t>
        </is>
      </c>
      <c r="B13" s="9">
        <f>+CONCATENATE(LEFT(D13,3),"-",C13)</f>
        <v/>
      </c>
      <c r="C13" s="9" t="inlineStr">
        <is>
          <t>24. Interrumpe constantemente el flujo de clase.</t>
        </is>
      </c>
      <c r="D13" s="10" t="inlineStr">
        <is>
          <t>Alerta/Mejora</t>
        </is>
      </c>
      <c r="E13" s="11" t="n">
        <v>2</v>
      </c>
      <c r="F13">
        <f>VLOOKUP(G13, $L$3:$N$7, 3, 1)</f>
        <v/>
      </c>
      <c r="G13">
        <f>+L$1-E13</f>
        <v/>
      </c>
      <c r="H13">
        <f>VLOOKUP(F13, REGLA1, 2, FALSE)</f>
        <v/>
      </c>
      <c r="I13" t="inlineStr">
        <is>
          <t>SEPTIMO</t>
        </is>
      </c>
      <c r="J13" t="inlineStr">
        <is>
          <t>TT</t>
        </is>
      </c>
      <c r="K13" s="19">
        <f>ROUND((COUNTIF(F13, N$3) / 50) * $L$1, 0)</f>
        <v/>
      </c>
    </row>
    <row r="14">
      <c r="A14" s="8" t="inlineStr">
        <is>
          <t>Conductual</t>
        </is>
      </c>
      <c r="B14" s="9">
        <f>+CONCATENATE(LEFT(D14,3),"-",C14)</f>
        <v/>
      </c>
      <c r="C14" s="9" t="inlineStr">
        <is>
          <t>26. Emplea lenguaje soez o despectivo.</t>
        </is>
      </c>
      <c r="D14" s="10" t="inlineStr">
        <is>
          <t>Alerta/Mejora</t>
        </is>
      </c>
      <c r="E14" s="11" t="n">
        <v>0</v>
      </c>
      <c r="F14">
        <f>VLOOKUP(G14, $L$3:$N$7, 3, 1)</f>
        <v/>
      </c>
      <c r="G14">
        <f>+L$1-E14</f>
        <v/>
      </c>
      <c r="H14">
        <f>VLOOKUP(F14, REGLA1, 2, FALSE)</f>
        <v/>
      </c>
      <c r="I14" t="inlineStr">
        <is>
          <t>SEPTIMO</t>
        </is>
      </c>
      <c r="J14" t="inlineStr">
        <is>
          <t>TT</t>
        </is>
      </c>
      <c r="K14" s="19">
        <f>ROUND((COUNTIF(F14, N$3) / 50) * $L$1, 0)</f>
        <v/>
      </c>
    </row>
    <row r="15">
      <c r="A15" s="8" t="inlineStr">
        <is>
          <t>Conductual</t>
        </is>
      </c>
      <c r="B15" s="9">
        <f>+CONCATENATE(LEFT(D15,3),"-",C15)</f>
        <v/>
      </c>
      <c r="C15" s="9" t="inlineStr">
        <is>
          <t>28. Miente o culpa a otros por sus actos.</t>
        </is>
      </c>
      <c r="D15" s="10" t="inlineStr">
        <is>
          <t>Alerta/Mejora</t>
        </is>
      </c>
      <c r="E15" s="11" t="n">
        <v>0</v>
      </c>
      <c r="F15">
        <f>VLOOKUP(G15, $L$3:$N$7, 3, 1)</f>
        <v/>
      </c>
      <c r="G15">
        <f>+L$1-E15</f>
        <v/>
      </c>
      <c r="H15">
        <f>VLOOKUP(F15, REGLA1, 2, FALSE)</f>
        <v/>
      </c>
      <c r="I15" t="inlineStr">
        <is>
          <t>SEPTIMO</t>
        </is>
      </c>
      <c r="J15" t="inlineStr">
        <is>
          <t>TT</t>
        </is>
      </c>
      <c r="K15" s="19">
        <f>ROUND((COUNTIF(F15, N$3) / 50) * $L$1, 0)</f>
        <v/>
      </c>
    </row>
    <row r="16">
      <c r="A16" s="8" t="inlineStr">
        <is>
          <t>Conductual</t>
        </is>
      </c>
      <c r="B16" s="9">
        <f>+CONCATENATE(LEFT(D16,3),"-",C16)</f>
        <v/>
      </c>
      <c r="C16" s="9" t="inlineStr">
        <is>
          <t>30. Se distrae con dispositivos electrónicos.</t>
        </is>
      </c>
      <c r="D16" s="10" t="inlineStr">
        <is>
          <t>Alerta/Mejora</t>
        </is>
      </c>
      <c r="E16" s="11" t="n">
        <v>0</v>
      </c>
      <c r="F16">
        <f>VLOOKUP(G16, $L$3:$N$7, 3, 1)</f>
        <v/>
      </c>
      <c r="G16">
        <f>+L$1-E16</f>
        <v/>
      </c>
      <c r="H16">
        <f>VLOOKUP(F16, REGLA1, 2, FALSE)</f>
        <v/>
      </c>
      <c r="I16" t="inlineStr">
        <is>
          <t>SEPTIMO</t>
        </is>
      </c>
      <c r="J16" t="inlineStr">
        <is>
          <t>TT</t>
        </is>
      </c>
      <c r="K16" s="19">
        <f>ROUND((COUNTIF(F16, N$3) / 50) * $L$1, 0)</f>
        <v/>
      </c>
    </row>
    <row r="17">
      <c r="A17" s="8" t="inlineStr">
        <is>
          <t>Conductual</t>
        </is>
      </c>
      <c r="B17" s="9">
        <f>+CONCATENATE(LEFT(D17,3),"-",C17)</f>
        <v/>
      </c>
      <c r="C17" s="9" t="inlineStr">
        <is>
          <t>32. Fomenta el desorden o el caos en el grupo.</t>
        </is>
      </c>
      <c r="D17" s="10" t="inlineStr">
        <is>
          <t>Alerta/Mejora</t>
        </is>
      </c>
      <c r="E17" s="11" t="n">
        <v>0</v>
      </c>
      <c r="F17">
        <f>VLOOKUP(G17, $L$3:$N$7, 3, 1)</f>
        <v/>
      </c>
      <c r="G17">
        <f>+L$1-E17</f>
        <v/>
      </c>
      <c r="H17">
        <f>VLOOKUP(F17, REGLA1, 2, FALSE)</f>
        <v/>
      </c>
      <c r="I17" t="inlineStr">
        <is>
          <t>SEPTIMO</t>
        </is>
      </c>
      <c r="J17" t="inlineStr">
        <is>
          <t>TT</t>
        </is>
      </c>
      <c r="K17" s="19">
        <f>ROUND((COUNTIF(F17, N$3) / 50) * $L$1, 0)</f>
        <v/>
      </c>
    </row>
    <row r="18">
      <c r="A18" s="8" t="inlineStr">
        <is>
          <t>Socio-Emocional</t>
        </is>
      </c>
      <c r="B18" s="9">
        <f>+CONCATENATE(LEFT(D18,3),"-",C18)</f>
        <v/>
      </c>
      <c r="C18" s="9" t="inlineStr">
        <is>
          <t>34. Se rinde fácilmente ante la frustración.</t>
        </is>
      </c>
      <c r="D18" s="10" t="inlineStr">
        <is>
          <t>Alerta/Mejora</t>
        </is>
      </c>
      <c r="E18" s="11" t="n">
        <v>2</v>
      </c>
      <c r="F18">
        <f>VLOOKUP(G18, $L$3:$N$7, 3, 1)</f>
        <v/>
      </c>
      <c r="G18">
        <f>+L$1-E18</f>
        <v/>
      </c>
      <c r="H18">
        <f>VLOOKUP(F18, REGLA1, 2, FALSE)</f>
        <v/>
      </c>
      <c r="I18" t="inlineStr">
        <is>
          <t>SEPTIMO</t>
        </is>
      </c>
      <c r="J18" t="inlineStr">
        <is>
          <t>TT</t>
        </is>
      </c>
      <c r="K18" s="19">
        <f>ROUND((COUNTIF(F18, N$3) / 50) * $L$1, 0)</f>
        <v/>
      </c>
    </row>
    <row r="19">
      <c r="A19" s="8" t="inlineStr">
        <is>
          <t>Socio-Emocional</t>
        </is>
      </c>
      <c r="B19" s="9">
        <f>+CONCATENATE(LEFT(D19,3),"-",C19)</f>
        <v/>
      </c>
      <c r="C19" s="9" t="inlineStr">
        <is>
          <t>36. Trabaja de forma aislada o es individualista.</t>
        </is>
      </c>
      <c r="D19" s="10" t="inlineStr">
        <is>
          <t>Alerta/Mejora</t>
        </is>
      </c>
      <c r="E19" s="11" t="n">
        <v>1</v>
      </c>
      <c r="F19">
        <f>VLOOKUP(G19, $L$3:$N$7, 3, 1)</f>
        <v/>
      </c>
      <c r="G19">
        <f>+L$1-E19</f>
        <v/>
      </c>
      <c r="H19">
        <f>VLOOKUP(F19, REGLA1, 2, FALSE)</f>
        <v/>
      </c>
      <c r="I19" t="inlineStr">
        <is>
          <t>SEPTIMO</t>
        </is>
      </c>
      <c r="J19" t="inlineStr">
        <is>
          <t>TT</t>
        </is>
      </c>
      <c r="K19" s="19">
        <f>ROUND((COUNTIF(F19, N$3) / 50) * $L$1, 0)</f>
        <v/>
      </c>
    </row>
    <row r="20">
      <c r="A20" s="8" t="inlineStr">
        <is>
          <t>Socio-Emocional</t>
        </is>
      </c>
      <c r="B20" s="9">
        <f>+CONCATENATE(LEFT(D20,3),"-",C20)</f>
        <v/>
      </c>
      <c r="C20" s="9" t="inlineStr">
        <is>
          <t>38. Ignora o se burla de los sentimientos de otros.</t>
        </is>
      </c>
      <c r="D20" s="10" t="inlineStr">
        <is>
          <t>Alerta/Mejora</t>
        </is>
      </c>
      <c r="E20" s="11" t="n">
        <v>3</v>
      </c>
      <c r="F20">
        <f>VLOOKUP(G20, $L$3:$N$7, 3, 1)</f>
        <v/>
      </c>
      <c r="G20">
        <f>+L$1-E20</f>
        <v/>
      </c>
      <c r="H20">
        <f>VLOOKUP(F20, REGLA1, 2, FALSE)</f>
        <v/>
      </c>
      <c r="I20" t="inlineStr">
        <is>
          <t>SEPTIMO</t>
        </is>
      </c>
      <c r="J20" t="inlineStr">
        <is>
          <t>TT</t>
        </is>
      </c>
      <c r="K20" s="19">
        <f>ROUND((COUNTIF(F20, N$3) / 50) * $L$1, 0)</f>
        <v/>
      </c>
    </row>
    <row r="21">
      <c r="A21" s="8" t="inlineStr">
        <is>
          <t>Socio-Emocional</t>
        </is>
      </c>
      <c r="B21" s="9">
        <f>+CONCATENATE(LEFT(D21,3),"-",C21)</f>
        <v/>
      </c>
      <c r="C21" s="9" t="inlineStr">
        <is>
          <t>40. Ejerce presión negativa o bullying.</t>
        </is>
      </c>
      <c r="D21" s="10" t="inlineStr">
        <is>
          <t>Alerta/Mejora</t>
        </is>
      </c>
      <c r="E21" s="11" t="n">
        <v>1</v>
      </c>
      <c r="F21">
        <f>VLOOKUP(G21, $L$3:$N$7, 3, 1)</f>
        <v/>
      </c>
      <c r="G21">
        <f>+L$1-E21</f>
        <v/>
      </c>
      <c r="H21">
        <f>VLOOKUP(F21, REGLA1, 2, FALSE)</f>
        <v/>
      </c>
      <c r="I21" t="inlineStr">
        <is>
          <t>SEPTIMO</t>
        </is>
      </c>
      <c r="J21" t="inlineStr">
        <is>
          <t>TT</t>
        </is>
      </c>
      <c r="K21" s="19">
        <f>ROUND((COUNTIF(F21, N$3) / 50) * $L$1, 0)</f>
        <v/>
      </c>
    </row>
    <row r="22">
      <c r="A22" s="8" t="inlineStr">
        <is>
          <t>Socio-Emocional</t>
        </is>
      </c>
      <c r="B22" s="9">
        <f>+CONCATENATE(LEFT(D22,3),"-",C22)</f>
        <v/>
      </c>
      <c r="C22" s="9" t="inlineStr">
        <is>
          <t>42. Reacciona de forma agresiva o impulsiva.</t>
        </is>
      </c>
      <c r="D22" s="10" t="inlineStr">
        <is>
          <t>Alerta/Mejora</t>
        </is>
      </c>
      <c r="E22" s="11" t="n">
        <v>1</v>
      </c>
      <c r="F22">
        <f>VLOOKUP(G22, $L$3:$N$7, 3, 1)</f>
        <v/>
      </c>
      <c r="G22">
        <f>+L$1-E22</f>
        <v/>
      </c>
      <c r="H22">
        <f>VLOOKUP(F22, REGLA1, 2, FALSE)</f>
        <v/>
      </c>
      <c r="I22" t="inlineStr">
        <is>
          <t>SEPTIMO</t>
        </is>
      </c>
      <c r="J22" t="inlineStr">
        <is>
          <t>TT</t>
        </is>
      </c>
      <c r="K22" s="19">
        <f>ROUND((COUNTIF(F22, N$3) / 50) * $L$1, 0)</f>
        <v/>
      </c>
    </row>
    <row r="23">
      <c r="A23" s="8" t="inlineStr">
        <is>
          <t>Socio-Emocional</t>
        </is>
      </c>
      <c r="B23" s="9">
        <f>+CONCATENATE(LEFT(D23,3),"-",C23)</f>
        <v/>
      </c>
      <c r="C23" s="9" t="inlineStr">
        <is>
          <t>44. Expresa inseguridad constante ("no puedo").</t>
        </is>
      </c>
      <c r="D23" s="10" t="inlineStr">
        <is>
          <t>Alerta/Mejora</t>
        </is>
      </c>
      <c r="E23" s="11" t="n">
        <v>1</v>
      </c>
      <c r="F23">
        <f>VLOOKUP(G23, $L$3:$N$7, 3, 1)</f>
        <v/>
      </c>
      <c r="G23">
        <f>+L$1-E23</f>
        <v/>
      </c>
      <c r="H23">
        <f>VLOOKUP(F23, REGLA1, 2, FALSE)</f>
        <v/>
      </c>
      <c r="I23" t="inlineStr">
        <is>
          <t>SEPTIMO</t>
        </is>
      </c>
      <c r="J23" t="inlineStr">
        <is>
          <t>TT</t>
        </is>
      </c>
      <c r="K23" s="19">
        <f>ROUND((COUNTIF(F23, N$3) / 50) * $L$1, 0)</f>
        <v/>
      </c>
    </row>
    <row r="24">
      <c r="A24" s="8" t="inlineStr">
        <is>
          <t>Actitudinal</t>
        </is>
      </c>
      <c r="B24" s="9">
        <f>+CONCATENATE(LEFT(D24,3),"-",C24)</f>
        <v/>
      </c>
      <c r="C24" s="9" t="inlineStr">
        <is>
          <t>46. Requiere estímulos externos para trabajar.</t>
        </is>
      </c>
      <c r="D24" s="10" t="inlineStr">
        <is>
          <t>Alerta/Mejora</t>
        </is>
      </c>
      <c r="E24" s="11" t="n">
        <v>2</v>
      </c>
      <c r="F24">
        <f>VLOOKUP(G24, $L$3:$N$7, 3, 1)</f>
        <v/>
      </c>
      <c r="G24">
        <f>+L$1-E24</f>
        <v/>
      </c>
      <c r="H24">
        <f>VLOOKUP(F24, REGLA1, 2, FALSE)</f>
        <v/>
      </c>
      <c r="I24" t="inlineStr">
        <is>
          <t>SEPTIMO</t>
        </is>
      </c>
      <c r="J24" t="inlineStr">
        <is>
          <t>TT</t>
        </is>
      </c>
      <c r="K24" s="19">
        <f>ROUND((COUNTIF(F24, N$3) / 50) * $L$1, 0)</f>
        <v/>
      </c>
    </row>
    <row r="25">
      <c r="A25" s="8" t="inlineStr">
        <is>
          <t>Actitudinal</t>
        </is>
      </c>
      <c r="B25" s="9">
        <f>+CONCATENATE(LEFT(D25,3),"-",C25)</f>
        <v/>
      </c>
      <c r="C25" s="9" t="inlineStr">
        <is>
          <t>48. Abandona proyectos a mitad de camino.</t>
        </is>
      </c>
      <c r="D25" s="10" t="inlineStr">
        <is>
          <t>Alerta/Mejora</t>
        </is>
      </c>
      <c r="E25" s="11" t="n">
        <v>0</v>
      </c>
      <c r="F25">
        <f>VLOOKUP(G25, $L$3:$N$7, 3, 1)</f>
        <v/>
      </c>
      <c r="G25">
        <f>+L$1-E25</f>
        <v/>
      </c>
      <c r="H25">
        <f>VLOOKUP(F25, REGLA1, 2, FALSE)</f>
        <v/>
      </c>
      <c r="I25" t="inlineStr">
        <is>
          <t>SEPTIMO</t>
        </is>
      </c>
      <c r="J25" t="inlineStr">
        <is>
          <t>TT</t>
        </is>
      </c>
      <c r="K25" s="19">
        <f>ROUND((COUNTIF(F25, N$3) / 50) * $L$1, 0)</f>
        <v/>
      </c>
    </row>
    <row r="26">
      <c r="A26" s="8" t="inlineStr">
        <is>
          <t>Actitudinal</t>
        </is>
      </c>
      <c r="B26" s="9">
        <f>+CONCATENATE(LEFT(D26,3),"-",C26)</f>
        <v/>
      </c>
      <c r="C26" s="9" t="inlineStr">
        <is>
          <t>50. Se muestra a la defensiva ante críticas.</t>
        </is>
      </c>
      <c r="D26" s="10" t="inlineStr">
        <is>
          <t>Alerta/Mejora</t>
        </is>
      </c>
      <c r="E26" s="11" t="n">
        <v>0</v>
      </c>
      <c r="F26">
        <f>VLOOKUP(G26, $L$3:$N$7, 3, 1)</f>
        <v/>
      </c>
      <c r="G26">
        <f>+L$1-E26</f>
        <v/>
      </c>
      <c r="H26">
        <f>VLOOKUP(F26, REGLA1, 2, FALSE)</f>
        <v/>
      </c>
      <c r="I26" t="inlineStr">
        <is>
          <t>SEPTIMO</t>
        </is>
      </c>
      <c r="J26" t="inlineStr">
        <is>
          <t>TT</t>
        </is>
      </c>
      <c r="K26" s="19">
        <f>ROUND((COUNTIF(F26, N$3) / 50) * $L$1, 0)</f>
        <v/>
      </c>
    </row>
    <row r="27">
      <c r="A27" s="15" t="inlineStr">
        <is>
          <t>Académica</t>
        </is>
      </c>
      <c r="B27" s="9">
        <f>+CONCATENATE(LEFT(D27,3),"-",C27)</f>
        <v/>
      </c>
      <c r="C27" s="16" t="inlineStr">
        <is>
          <t>01. Domina los conceptos clave del grado.</t>
        </is>
      </c>
      <c r="D27" s="17" t="inlineStr">
        <is>
          <t>Fortaleza/Logro</t>
        </is>
      </c>
      <c r="E27" s="11" t="n">
        <v>12</v>
      </c>
      <c r="F27">
        <f>VLOOKUP(G27, $L$3:$N$7, 3, 1)</f>
        <v/>
      </c>
      <c r="G27">
        <f>+E27</f>
        <v/>
      </c>
      <c r="H27">
        <f>VLOOKUP(F27, REGLA1, 2, FALSE)</f>
        <v/>
      </c>
      <c r="I27" t="inlineStr">
        <is>
          <t>SEPTIMO</t>
        </is>
      </c>
      <c r="J27" t="inlineStr">
        <is>
          <t>TT</t>
        </is>
      </c>
      <c r="K27" s="19">
        <f>ROUND((COUNTIF(F27, N$3) / 50) * $L$1, 0)</f>
        <v/>
      </c>
    </row>
    <row r="28">
      <c r="A28" s="15" t="inlineStr">
        <is>
          <t>Académica</t>
        </is>
      </c>
      <c r="B28" s="9">
        <f>+CONCATENATE(LEFT(D28,3),"-",C28)</f>
        <v/>
      </c>
      <c r="C28" s="16" t="inlineStr">
        <is>
          <t>03. Posee un pensamiento crítico y analítico.</t>
        </is>
      </c>
      <c r="D28" s="17" t="inlineStr">
        <is>
          <t>Fortaleza/Logro</t>
        </is>
      </c>
      <c r="E28" s="11" t="n">
        <v>14</v>
      </c>
      <c r="F28">
        <f>VLOOKUP(G28, $L$3:$N$7, 3, 1)</f>
        <v/>
      </c>
      <c r="G28">
        <f>+E28</f>
        <v/>
      </c>
      <c r="H28">
        <f>VLOOKUP(F28, REGLA1, 2, FALSE)</f>
        <v/>
      </c>
      <c r="I28" t="inlineStr">
        <is>
          <t>SEPTIMO</t>
        </is>
      </c>
      <c r="J28" t="inlineStr">
        <is>
          <t>TT</t>
        </is>
      </c>
      <c r="K28" s="19">
        <f>ROUND((COUNTIF(F28, N$3) / 50) * $L$1, 0)</f>
        <v/>
      </c>
    </row>
    <row r="29">
      <c r="A29" s="15" t="inlineStr">
        <is>
          <t>Académica</t>
        </is>
      </c>
      <c r="B29" s="9">
        <f>+CONCATENATE(LEFT(D29,3),"-",C29)</f>
        <v/>
      </c>
      <c r="C29" s="16" t="inlineStr">
        <is>
          <t>05. Entrega trabajos con alta calidad y orden.</t>
        </is>
      </c>
      <c r="D29" s="17" t="inlineStr">
        <is>
          <t>Fortaleza/Logro</t>
        </is>
      </c>
      <c r="E29" s="11" t="n">
        <v>12</v>
      </c>
      <c r="F29">
        <f>VLOOKUP(G29, $L$3:$N$7, 3, 1)</f>
        <v/>
      </c>
      <c r="G29">
        <f>+E29</f>
        <v/>
      </c>
      <c r="H29">
        <f>VLOOKUP(F29, REGLA1, 2, FALSE)</f>
        <v/>
      </c>
      <c r="I29" t="inlineStr">
        <is>
          <t>SEPTIMO</t>
        </is>
      </c>
      <c r="J29" t="inlineStr">
        <is>
          <t>TT</t>
        </is>
      </c>
      <c r="K29" s="19">
        <f>ROUND((COUNTIF(F29, N$3) / 50) * $L$1, 0)</f>
        <v/>
      </c>
    </row>
    <row r="30">
      <c r="A30" s="15" t="inlineStr">
        <is>
          <t>Académica</t>
        </is>
      </c>
      <c r="B30" s="9">
        <f>+CONCATENATE(LEFT(D30,3),"-",C30)</f>
        <v/>
      </c>
      <c r="C30" s="16" t="inlineStr">
        <is>
          <t>07. Resuelve problemas lógicos con fluidez.</t>
        </is>
      </c>
      <c r="D30" s="17" t="inlineStr">
        <is>
          <t>Fortaleza/Logro</t>
        </is>
      </c>
      <c r="E30" s="11" t="n">
        <v>12</v>
      </c>
      <c r="F30">
        <f>VLOOKUP(G30, $L$3:$N$7, 3, 1)</f>
        <v/>
      </c>
      <c r="G30">
        <f>+E30</f>
        <v/>
      </c>
      <c r="H30">
        <f>VLOOKUP(F30, REGLA1, 2, FALSE)</f>
        <v/>
      </c>
      <c r="I30" t="inlineStr">
        <is>
          <t>SEPTIMO</t>
        </is>
      </c>
      <c r="J30" t="inlineStr">
        <is>
          <t>TT</t>
        </is>
      </c>
      <c r="K30" s="19">
        <f>ROUND((COUNTIF(F30, N$3) / 50) * $L$1, 0)</f>
        <v/>
      </c>
    </row>
    <row r="31">
      <c r="A31" s="15" t="inlineStr">
        <is>
          <t>Académica</t>
        </is>
      </c>
      <c r="B31" s="9">
        <f>+CONCATENATE(LEFT(D31,3),"-",C31)</f>
        <v/>
      </c>
      <c r="C31" s="16" t="inlineStr">
        <is>
          <t>09. Utiliza vocabulario técnico preciso.</t>
        </is>
      </c>
      <c r="D31" s="17" t="inlineStr">
        <is>
          <t>Fortaleza/Logro</t>
        </is>
      </c>
      <c r="E31" s="11" t="n">
        <v>12</v>
      </c>
      <c r="F31">
        <f>VLOOKUP(G31, $L$3:$N$7, 3, 1)</f>
        <v/>
      </c>
      <c r="G31">
        <f>+E31</f>
        <v/>
      </c>
      <c r="H31">
        <f>VLOOKUP(F31, REGLA1, 2, FALSE)</f>
        <v/>
      </c>
      <c r="I31" t="inlineStr">
        <is>
          <t>SEPTIMO</t>
        </is>
      </c>
      <c r="J31" t="inlineStr">
        <is>
          <t>TT</t>
        </is>
      </c>
      <c r="K31" s="19">
        <f>ROUND((COUNTIF(F31, N$3) / 50) * $L$1, 0)</f>
        <v/>
      </c>
    </row>
    <row r="32">
      <c r="A32" s="15" t="inlineStr">
        <is>
          <t>Académica</t>
        </is>
      </c>
      <c r="B32" s="9">
        <f>+CONCATENATE(LEFT(D32,3),"-",C32)</f>
        <v/>
      </c>
      <c r="C32" s="16" t="inlineStr">
        <is>
          <t>11. Posee excelentes hábitos de lectura.</t>
        </is>
      </c>
      <c r="D32" s="17" t="inlineStr">
        <is>
          <t>Fortaleza/Logro</t>
        </is>
      </c>
      <c r="E32" s="11" t="n">
        <v>11</v>
      </c>
      <c r="F32">
        <f>VLOOKUP(G32, $L$3:$N$7, 3, 1)</f>
        <v/>
      </c>
      <c r="G32">
        <f>+E32</f>
        <v/>
      </c>
      <c r="H32">
        <f>VLOOKUP(F32, REGLA1, 2, FALSE)</f>
        <v/>
      </c>
      <c r="I32" t="inlineStr">
        <is>
          <t>SEPTIMO</t>
        </is>
      </c>
      <c r="J32" t="inlineStr">
        <is>
          <t>TT</t>
        </is>
      </c>
      <c r="K32" s="19">
        <f>ROUND((COUNTIF(F32, N$3) / 50) * $L$1, 0)</f>
        <v/>
      </c>
    </row>
    <row r="33">
      <c r="A33" s="15" t="inlineStr">
        <is>
          <t>Académica</t>
        </is>
      </c>
      <c r="B33" s="9">
        <f>+CONCATENATE(LEFT(D33,3),"-",C33)</f>
        <v/>
      </c>
      <c r="C33" s="16" t="inlineStr">
        <is>
          <t>13. Es autónomo en la realización de tareas.</t>
        </is>
      </c>
      <c r="D33" s="17" t="inlineStr">
        <is>
          <t>Fortaleza/Logro</t>
        </is>
      </c>
      <c r="E33" s="11" t="n">
        <v>14</v>
      </c>
      <c r="F33">
        <f>VLOOKUP(G33, $L$3:$N$7, 3, 1)</f>
        <v/>
      </c>
      <c r="G33">
        <f>+E33</f>
        <v/>
      </c>
      <c r="H33">
        <f>VLOOKUP(F33, REGLA1, 2, FALSE)</f>
        <v/>
      </c>
      <c r="I33" t="inlineStr">
        <is>
          <t>SEPTIMO</t>
        </is>
      </c>
      <c r="J33" t="inlineStr">
        <is>
          <t>TT</t>
        </is>
      </c>
      <c r="K33" s="19">
        <f>ROUND((COUNTIF(F33, N$3) / 50) * $L$1, 0)</f>
        <v/>
      </c>
    </row>
    <row r="34">
      <c r="A34" s="15" t="inlineStr">
        <is>
          <t>Académica</t>
        </is>
      </c>
      <c r="B34" s="9">
        <f>+CONCATENATE(LEFT(D34,3),"-",C34)</f>
        <v/>
      </c>
      <c r="C34" s="16" t="inlineStr">
        <is>
          <t>15. Investiga más allá de lo solicitado.</t>
        </is>
      </c>
      <c r="D34" s="17" t="inlineStr">
        <is>
          <t>Fortaleza/Logro</t>
        </is>
      </c>
      <c r="E34" s="11" t="n">
        <v>12</v>
      </c>
      <c r="F34">
        <f>VLOOKUP(G34, $L$3:$N$7, 3, 1)</f>
        <v/>
      </c>
      <c r="G34">
        <f>+E34</f>
        <v/>
      </c>
      <c r="H34">
        <f>VLOOKUP(F34, REGLA1, 2, FALSE)</f>
        <v/>
      </c>
      <c r="I34" t="inlineStr">
        <is>
          <t>SEPTIMO</t>
        </is>
      </c>
      <c r="J34" t="inlineStr">
        <is>
          <t>TT</t>
        </is>
      </c>
      <c r="K34" s="19">
        <f>ROUND((COUNTIF(F34, N$3) / 50) * $L$1, 0)</f>
        <v/>
      </c>
    </row>
    <row r="35">
      <c r="A35" s="15" t="inlineStr">
        <is>
          <t>Conductual</t>
        </is>
      </c>
      <c r="B35" s="9">
        <f>+CONCATENATE(LEFT(D35,3),"-",C35)</f>
        <v/>
      </c>
      <c r="C35" s="16" t="inlineStr">
        <is>
          <t>17. Respeta las normas de convivencia.</t>
        </is>
      </c>
      <c r="D35" s="17" t="inlineStr">
        <is>
          <t>Fortaleza/Logro</t>
        </is>
      </c>
      <c r="E35" s="11" t="n">
        <v>14</v>
      </c>
      <c r="F35">
        <f>VLOOKUP(G35, $L$3:$N$7, 3, 1)</f>
        <v/>
      </c>
      <c r="G35">
        <f>+E35</f>
        <v/>
      </c>
      <c r="H35">
        <f>VLOOKUP(F35, REGLA1, 2, FALSE)</f>
        <v/>
      </c>
      <c r="I35" t="inlineStr">
        <is>
          <t>SEPTIMO</t>
        </is>
      </c>
      <c r="J35" t="inlineStr">
        <is>
          <t>TT</t>
        </is>
      </c>
      <c r="K35" s="19">
        <f>ROUND((COUNTIF(F35, N$3) / 50) * $L$1, 0)</f>
        <v/>
      </c>
    </row>
    <row r="36">
      <c r="A36" s="15" t="inlineStr">
        <is>
          <t>Conductual</t>
        </is>
      </c>
      <c r="B36" s="9">
        <f>+CONCATENATE(LEFT(D36,3),"-",C36)</f>
        <v/>
      </c>
      <c r="C36" s="16" t="inlineStr">
        <is>
          <t>19. Es puntual en todas sus obligaciones.</t>
        </is>
      </c>
      <c r="D36" s="17" t="inlineStr">
        <is>
          <t>Fortaleza/Logro</t>
        </is>
      </c>
      <c r="E36" s="11" t="n">
        <v>12</v>
      </c>
      <c r="F36">
        <f>VLOOKUP(G36, $L$3:$N$7, 3, 1)</f>
        <v/>
      </c>
      <c r="G36">
        <f>+E36</f>
        <v/>
      </c>
      <c r="H36">
        <f>VLOOKUP(F36, REGLA1, 2, FALSE)</f>
        <v/>
      </c>
      <c r="I36" t="inlineStr">
        <is>
          <t>SEPTIMO</t>
        </is>
      </c>
      <c r="J36" t="inlineStr">
        <is>
          <t>TT</t>
        </is>
      </c>
      <c r="K36" s="19">
        <f>ROUND((COUNTIF(F36, N$3) / 50) * $L$1, 0)</f>
        <v/>
      </c>
    </row>
    <row r="37">
      <c r="A37" s="15" t="inlineStr">
        <is>
          <t>Conductual</t>
        </is>
      </c>
      <c r="B37" s="9">
        <f>+CONCATENATE(LEFT(D37,3),"-",C37)</f>
        <v/>
      </c>
      <c r="C37" s="16" t="inlineStr">
        <is>
          <t>21. Cuida el material propio y ajeno.</t>
        </is>
      </c>
      <c r="D37" s="17" t="inlineStr">
        <is>
          <t>Fortaleza/Logro</t>
        </is>
      </c>
      <c r="E37" s="11" t="n">
        <v>14</v>
      </c>
      <c r="F37">
        <f>VLOOKUP(G37, $L$3:$N$7, 3, 1)</f>
        <v/>
      </c>
      <c r="G37">
        <f>+E37</f>
        <v/>
      </c>
      <c r="H37">
        <f>VLOOKUP(F37, REGLA1, 2, FALSE)</f>
        <v/>
      </c>
      <c r="I37" t="inlineStr">
        <is>
          <t>SEPTIMO</t>
        </is>
      </c>
      <c r="J37" t="inlineStr">
        <is>
          <t>TT</t>
        </is>
      </c>
      <c r="K37" s="19">
        <f>ROUND((COUNTIF(F37, N$3) / 50) * $L$1, 0)</f>
        <v/>
      </c>
    </row>
    <row r="38">
      <c r="A38" s="15" t="inlineStr">
        <is>
          <t>Conductual</t>
        </is>
      </c>
      <c r="B38" s="9">
        <f>+CONCATENATE(LEFT(D38,3),"-",C38)</f>
        <v/>
      </c>
      <c r="C38" s="16" t="inlineStr">
        <is>
          <t>23. Escucha con atención y no interrumpe.</t>
        </is>
      </c>
      <c r="D38" s="17" t="inlineStr">
        <is>
          <t>Fortaleza/Logro</t>
        </is>
      </c>
      <c r="E38" s="11" t="n">
        <v>14</v>
      </c>
      <c r="F38">
        <f>VLOOKUP(G38, $L$3:$N$7, 3, 1)</f>
        <v/>
      </c>
      <c r="G38">
        <f>+E38</f>
        <v/>
      </c>
      <c r="H38">
        <f>VLOOKUP(F38, REGLA1, 2, FALSE)</f>
        <v/>
      </c>
      <c r="I38" t="inlineStr">
        <is>
          <t>SEPTIMO</t>
        </is>
      </c>
      <c r="J38" t="inlineStr">
        <is>
          <t>TT</t>
        </is>
      </c>
      <c r="K38" s="19">
        <f>ROUND((COUNTIF(F38, N$3) / 50) * $L$1, 0)</f>
        <v/>
      </c>
    </row>
    <row r="39">
      <c r="A39" s="15" t="inlineStr">
        <is>
          <t>Conductual</t>
        </is>
      </c>
      <c r="B39" s="9">
        <f>+CONCATENATE(LEFT(D39,3),"-",C39)</f>
        <v/>
      </c>
      <c r="C39" s="16" t="inlineStr">
        <is>
          <t>25. Utiliza el lenguaje de forma respetuosa.</t>
        </is>
      </c>
      <c r="D39" s="17" t="inlineStr">
        <is>
          <t>Fortaleza/Logro</t>
        </is>
      </c>
      <c r="E39" s="11" t="n">
        <v>14</v>
      </c>
      <c r="F39">
        <f>VLOOKUP(G39, $L$3:$N$7, 3, 1)</f>
        <v/>
      </c>
      <c r="G39">
        <f>+E39</f>
        <v/>
      </c>
      <c r="H39">
        <f>VLOOKUP(F39, REGLA1, 2, FALSE)</f>
        <v/>
      </c>
      <c r="I39" t="inlineStr">
        <is>
          <t>SEPTIMO</t>
        </is>
      </c>
      <c r="J39" t="inlineStr">
        <is>
          <t>TT</t>
        </is>
      </c>
      <c r="K39" s="19">
        <f>ROUND((COUNTIF(F39, N$3) / 50) * $L$1, 0)</f>
        <v/>
      </c>
    </row>
    <row r="40">
      <c r="A40" s="15" t="inlineStr">
        <is>
          <t>Conductual</t>
        </is>
      </c>
      <c r="B40" s="9">
        <f>+CONCATENATE(LEFT(D40,3),"-",C40)</f>
        <v/>
      </c>
      <c r="C40" s="16" t="inlineStr">
        <is>
          <t>27. Reconoce sus errores honestamente.</t>
        </is>
      </c>
      <c r="D40" s="17" t="inlineStr">
        <is>
          <t>Fortaleza/Logro</t>
        </is>
      </c>
      <c r="E40" s="11" t="n">
        <v>14</v>
      </c>
      <c r="F40">
        <f>VLOOKUP(G40, $L$3:$N$7, 3, 1)</f>
        <v/>
      </c>
      <c r="G40">
        <f>+E40</f>
        <v/>
      </c>
      <c r="H40">
        <f>VLOOKUP(F40, REGLA1, 2, FALSE)</f>
        <v/>
      </c>
      <c r="I40" t="inlineStr">
        <is>
          <t>SEPTIMO</t>
        </is>
      </c>
      <c r="J40" t="inlineStr">
        <is>
          <t>TT</t>
        </is>
      </c>
      <c r="K40" s="19">
        <f>ROUND((COUNTIF(F40, N$3) / 50) * $L$1, 0)</f>
        <v/>
      </c>
      <c r="N40" s="1" t="inlineStr">
        <is>
          <t>Suma de Cantidad de veces</t>
        </is>
      </c>
      <c r="O40" s="1" t="inlineStr">
        <is>
          <t>Etiquetas de columna</t>
        </is>
      </c>
    </row>
    <row r="41">
      <c r="A41" s="15" t="inlineStr">
        <is>
          <t>Conductual</t>
        </is>
      </c>
      <c r="B41" s="9">
        <f>+CONCATENATE(LEFT(D41,3),"-",C41)</f>
        <v/>
      </c>
      <c r="C41" s="16" t="inlineStr">
        <is>
          <t>29. Usa la tecnología con fines educativos.</t>
        </is>
      </c>
      <c r="D41" s="17" t="inlineStr">
        <is>
          <t>Fortaleza/Logro</t>
        </is>
      </c>
      <c r="E41" s="11" t="n">
        <v>12</v>
      </c>
      <c r="F41">
        <f>VLOOKUP(G41, $L$3:$N$7, 3, 1)</f>
        <v/>
      </c>
      <c r="G41">
        <f>+E41</f>
        <v/>
      </c>
      <c r="H41">
        <f>VLOOKUP(F41, REGLA1, 2, FALSE)</f>
        <v/>
      </c>
      <c r="I41" t="inlineStr">
        <is>
          <t>SEPTIMO</t>
        </is>
      </c>
      <c r="J41" t="inlineStr">
        <is>
          <t>TT</t>
        </is>
      </c>
      <c r="K41" s="19">
        <f>ROUND((COUNTIF(F41, N$3) / 50) * $L$1, 0)</f>
        <v/>
      </c>
      <c r="N41" s="1" t="inlineStr">
        <is>
          <t>Etiquetas de fila</t>
        </is>
      </c>
      <c r="O41" t="inlineStr">
        <is>
          <t>Alerta/Mejora</t>
        </is>
      </c>
      <c r="P41" t="inlineStr">
        <is>
          <t>Fortaleza/Logro</t>
        </is>
      </c>
      <c r="Q41" t="inlineStr">
        <is>
          <t>Total general</t>
        </is>
      </c>
    </row>
    <row r="42">
      <c r="A42" s="15" t="inlineStr">
        <is>
          <t>Conductual</t>
        </is>
      </c>
      <c r="B42" s="9">
        <f>+CONCATENATE(LEFT(D42,3),"-",C42)</f>
        <v/>
      </c>
      <c r="C42" s="16" t="inlineStr">
        <is>
          <t>31. Mantiene el orden en espacios comunes.</t>
        </is>
      </c>
      <c r="D42" s="17" t="inlineStr">
        <is>
          <t>Fortaleza/Logro</t>
        </is>
      </c>
      <c r="E42" s="11" t="n">
        <v>11</v>
      </c>
      <c r="F42">
        <f>VLOOKUP(G42, $L$3:$N$7, 3, 1)</f>
        <v/>
      </c>
      <c r="G42">
        <f>+E42</f>
        <v/>
      </c>
      <c r="H42">
        <f>VLOOKUP(F42, REGLA1, 2, FALSE)</f>
        <v/>
      </c>
      <c r="I42" t="inlineStr">
        <is>
          <t>SEPTIMO</t>
        </is>
      </c>
      <c r="J42" t="inlineStr">
        <is>
          <t>TT</t>
        </is>
      </c>
      <c r="K42" s="19">
        <f>ROUND((COUNTIF(F42, N$3) / 50) * $L$1, 0)</f>
        <v/>
      </c>
      <c r="N42" s="3" t="inlineStr">
        <is>
          <t>Académica</t>
        </is>
      </c>
      <c r="O42" t="n">
        <v>19</v>
      </c>
      <c r="P42" t="n">
        <v>99</v>
      </c>
      <c r="Q42" t="n">
        <v>118</v>
      </c>
    </row>
    <row r="43">
      <c r="A43" s="15" t="inlineStr">
        <is>
          <t>Socio-Emocional</t>
        </is>
      </c>
      <c r="B43" s="9">
        <f>+CONCATENATE(LEFT(D43,3),"-",C43)</f>
        <v/>
      </c>
      <c r="C43" s="16" t="inlineStr">
        <is>
          <t>33. Muestra resiliencia ante el fracaso.</t>
        </is>
      </c>
      <c r="D43" s="17" t="inlineStr">
        <is>
          <t>Fortaleza/Logro</t>
        </is>
      </c>
      <c r="E43" s="11" t="n">
        <v>12</v>
      </c>
      <c r="F43">
        <f>VLOOKUP(G43, $L$3:$N$7, 3, 1)</f>
        <v/>
      </c>
      <c r="G43">
        <f>+E43</f>
        <v/>
      </c>
      <c r="H43">
        <f>VLOOKUP(F43, REGLA1, 2, FALSE)</f>
        <v/>
      </c>
      <c r="I43" t="inlineStr">
        <is>
          <t>SEPTIMO</t>
        </is>
      </c>
      <c r="J43" t="inlineStr">
        <is>
          <t>TT</t>
        </is>
      </c>
      <c r="K43" s="19">
        <f>ROUND((COUNTIF(F43, N$3) / 50) * $L$1, 0)</f>
        <v/>
      </c>
      <c r="N43" s="3" t="inlineStr">
        <is>
          <t>Actitudinal</t>
        </is>
      </c>
      <c r="O43" t="n">
        <v>2</v>
      </c>
      <c r="P43" t="n">
        <v>34</v>
      </c>
      <c r="Q43" t="n">
        <v>36</v>
      </c>
    </row>
    <row r="44">
      <c r="A44" s="15" t="inlineStr">
        <is>
          <t>Socio-Emocional</t>
        </is>
      </c>
      <c r="B44" s="9">
        <f>+CONCATENATE(LEFT(D44,3),"-",C44)</f>
        <v/>
      </c>
      <c r="C44" s="16" t="inlineStr">
        <is>
          <t>35. Trabaja de forma colaborativa y equitativa.</t>
        </is>
      </c>
      <c r="D44" s="17" t="inlineStr">
        <is>
          <t>Fortaleza/Logro</t>
        </is>
      </c>
      <c r="E44" s="11" t="n">
        <v>12</v>
      </c>
      <c r="F44">
        <f>VLOOKUP(G44, $L$3:$N$7, 3, 1)</f>
        <v/>
      </c>
      <c r="G44">
        <f>+E44</f>
        <v/>
      </c>
      <c r="H44">
        <f>VLOOKUP(F44, REGLA1, 2, FALSE)</f>
        <v/>
      </c>
      <c r="I44" t="inlineStr">
        <is>
          <t>SEPTIMO</t>
        </is>
      </c>
      <c r="J44" t="inlineStr">
        <is>
          <t>TT</t>
        </is>
      </c>
      <c r="K44" s="19">
        <f>ROUND((COUNTIF(F44, N$3) / 50) * $L$1, 0)</f>
        <v/>
      </c>
      <c r="N44" s="3" t="inlineStr">
        <is>
          <t>Conductual</t>
        </is>
      </c>
      <c r="O44" t="n">
        <v>4</v>
      </c>
      <c r="P44" t="n">
        <v>105</v>
      </c>
      <c r="Q44" t="n">
        <v>109</v>
      </c>
    </row>
    <row r="45">
      <c r="A45" s="15" t="inlineStr">
        <is>
          <t>Socio-Emocional</t>
        </is>
      </c>
      <c r="B45" s="9">
        <f>+CONCATENATE(LEFT(D45,3),"-",C45)</f>
        <v/>
      </c>
      <c r="C45" s="16" t="inlineStr">
        <is>
          <t>37. Es empático con las necesidades ajenas.</t>
        </is>
      </c>
      <c r="D45" s="17" t="inlineStr">
        <is>
          <t>Fortaleza/Logro</t>
        </is>
      </c>
      <c r="E45" s="11" t="n">
        <v>12</v>
      </c>
      <c r="F45">
        <f>VLOOKUP(G45, $L$3:$N$7, 3, 1)</f>
        <v/>
      </c>
      <c r="G45">
        <f>+E45</f>
        <v/>
      </c>
      <c r="H45">
        <f>VLOOKUP(F45, REGLA1, 2, FALSE)</f>
        <v/>
      </c>
      <c r="I45" t="inlineStr">
        <is>
          <t>SEPTIMO</t>
        </is>
      </c>
      <c r="J45" t="inlineStr">
        <is>
          <t>TT</t>
        </is>
      </c>
      <c r="K45" s="19">
        <f>ROUND((COUNTIF(F45, N$3) / 50) * $L$1, 0)</f>
        <v/>
      </c>
      <c r="N45" s="3" t="inlineStr">
        <is>
          <t>Socio-Emocional</t>
        </is>
      </c>
      <c r="O45" t="n">
        <v>9</v>
      </c>
      <c r="P45" t="n">
        <v>72</v>
      </c>
      <c r="Q45" t="n">
        <v>81</v>
      </c>
    </row>
    <row r="46">
      <c r="A46" s="15" t="inlineStr">
        <is>
          <t>Socio-Emocional</t>
        </is>
      </c>
      <c r="B46" s="9">
        <f>+CONCATENATE(LEFT(D46,3),"-",C46)</f>
        <v/>
      </c>
      <c r="C46" s="16" t="inlineStr">
        <is>
          <t>39. Posee un liderazgo positivo y ético.</t>
        </is>
      </c>
      <c r="D46" s="17" t="inlineStr">
        <is>
          <t>Fortaleza/Logro</t>
        </is>
      </c>
      <c r="E46" s="11" t="n">
        <v>12</v>
      </c>
      <c r="F46">
        <f>VLOOKUP(G46, $L$3:$N$7, 3, 1)</f>
        <v/>
      </c>
      <c r="G46">
        <f>+E46</f>
        <v/>
      </c>
      <c r="H46">
        <f>VLOOKUP(F46, REGLA1, 2, FALSE)</f>
        <v/>
      </c>
      <c r="I46" t="inlineStr">
        <is>
          <t>SEPTIMO</t>
        </is>
      </c>
      <c r="J46" t="inlineStr">
        <is>
          <t>TT</t>
        </is>
      </c>
      <c r="K46" s="19">
        <f>ROUND((COUNTIF(F46, N$3) / 50) * $L$1, 0)</f>
        <v/>
      </c>
      <c r="N46" s="3" t="inlineStr">
        <is>
          <t>Total general</t>
        </is>
      </c>
      <c r="O46" t="n">
        <v>34</v>
      </c>
      <c r="P46" t="n">
        <v>310</v>
      </c>
      <c r="Q46" t="n">
        <v>344</v>
      </c>
    </row>
    <row r="47">
      <c r="A47" s="15" t="inlineStr">
        <is>
          <t>Socio-Emocional</t>
        </is>
      </c>
      <c r="B47" s="9">
        <f>+CONCATENATE(LEFT(D47,3),"-",C47)</f>
        <v/>
      </c>
      <c r="C47" s="16" t="inlineStr">
        <is>
          <t>41. Se comunica de manera asertiva.</t>
        </is>
      </c>
      <c r="D47" s="17" t="inlineStr">
        <is>
          <t>Fortaleza/Logro</t>
        </is>
      </c>
      <c r="E47" s="11" t="n">
        <v>12</v>
      </c>
      <c r="F47">
        <f>VLOOKUP(G47, $L$3:$N$7, 3, 1)</f>
        <v/>
      </c>
      <c r="G47">
        <f>+E47</f>
        <v/>
      </c>
      <c r="H47">
        <f>VLOOKUP(F47, REGLA1, 2, FALSE)</f>
        <v/>
      </c>
      <c r="I47" t="inlineStr">
        <is>
          <t>SEPTIMO</t>
        </is>
      </c>
      <c r="J47" t="inlineStr">
        <is>
          <t>TT</t>
        </is>
      </c>
      <c r="K47" s="19">
        <f>ROUND((COUNTIF(F47, N$3) / 50) * $L$1, 0)</f>
        <v/>
      </c>
    </row>
    <row r="48">
      <c r="A48" s="15" t="inlineStr">
        <is>
          <t>Socio-Emocional</t>
        </is>
      </c>
      <c r="B48" s="9">
        <f>+CONCATENATE(LEFT(D48,3),"-",C48)</f>
        <v/>
      </c>
      <c r="C48" s="16" t="inlineStr">
        <is>
          <t>43. Tiene una autoestima académica sólida.</t>
        </is>
      </c>
      <c r="D48" s="17" t="inlineStr">
        <is>
          <t>Fortaleza/Logro</t>
        </is>
      </c>
      <c r="E48" s="11" t="n">
        <v>12</v>
      </c>
      <c r="F48">
        <f>VLOOKUP(G48, $L$3:$N$7, 3, 1)</f>
        <v/>
      </c>
      <c r="G48">
        <f>+E48</f>
        <v/>
      </c>
      <c r="H48">
        <f>VLOOKUP(F48, REGLA1, 2, FALSE)</f>
        <v/>
      </c>
      <c r="I48" t="inlineStr">
        <is>
          <t>SEPTIMO</t>
        </is>
      </c>
      <c r="J48" t="inlineStr">
        <is>
          <t>TT</t>
        </is>
      </c>
      <c r="K48" s="19">
        <f>ROUND((COUNTIF(F48, N$3) / 50) * $L$1, 0)</f>
        <v/>
      </c>
      <c r="O48" s="1" t="inlineStr">
        <is>
          <t>Etiquetas de columna</t>
        </is>
      </c>
    </row>
    <row r="49">
      <c r="A49" s="15" t="inlineStr">
        <is>
          <t>Actitudinal</t>
        </is>
      </c>
      <c r="B49" s="9">
        <f>+CONCATENATE(LEFT(D49,3),"-",C49)</f>
        <v/>
      </c>
      <c r="C49" s="16" t="inlineStr">
        <is>
          <t>45. Muestra curiosidad e iniciativa propia.</t>
        </is>
      </c>
      <c r="D49" s="17" t="inlineStr">
        <is>
          <t>Fortaleza/Logro</t>
        </is>
      </c>
      <c r="E49" s="11" t="n">
        <v>12</v>
      </c>
      <c r="F49">
        <f>VLOOKUP(G49, $L$3:$N$7, 3, 1)</f>
        <v/>
      </c>
      <c r="G49">
        <f>+E49</f>
        <v/>
      </c>
      <c r="H49">
        <f>VLOOKUP(F49, REGLA1, 2, FALSE)</f>
        <v/>
      </c>
      <c r="I49" t="inlineStr">
        <is>
          <t>SEPTIMO</t>
        </is>
      </c>
      <c r="J49" t="inlineStr">
        <is>
          <t>TT</t>
        </is>
      </c>
      <c r="K49" s="19">
        <f>ROUND((COUNTIF(F49, N$3) / 50) * $L$1, 0)</f>
        <v/>
      </c>
      <c r="O49" t="inlineStr">
        <is>
          <t>Alerta/Mejora</t>
        </is>
      </c>
      <c r="P49" t="inlineStr">
        <is>
          <t>Fortaleza/Logro</t>
        </is>
      </c>
      <c r="Q49" t="inlineStr">
        <is>
          <t>(en blanco)</t>
        </is>
      </c>
      <c r="R49" t="inlineStr">
        <is>
          <t>Total general</t>
        </is>
      </c>
    </row>
    <row r="50">
      <c r="A50" s="15" t="inlineStr">
        <is>
          <t>Actitudinal</t>
        </is>
      </c>
      <c r="B50" s="9">
        <f>+CONCATENATE(LEFT(D50,3),"-",C50)</f>
        <v/>
      </c>
      <c r="C50" s="16" t="inlineStr">
        <is>
          <t>47. Es persistente en tareas complejas.</t>
        </is>
      </c>
      <c r="D50" s="17" t="inlineStr">
        <is>
          <t>Fortaleza/Logro</t>
        </is>
      </c>
      <c r="E50" s="11" t="n">
        <v>10</v>
      </c>
      <c r="F50">
        <f>VLOOKUP(G50, $L$3:$N$7, 3, 1)</f>
        <v/>
      </c>
      <c r="G50">
        <f>+E50</f>
        <v/>
      </c>
      <c r="H50">
        <f>VLOOKUP(F50, REGLA1, 2, FALSE)</f>
        <v/>
      </c>
      <c r="I50" t="inlineStr">
        <is>
          <t>SEPTIMO</t>
        </is>
      </c>
      <c r="J50" t="inlineStr">
        <is>
          <t>TT</t>
        </is>
      </c>
      <c r="K50" s="19">
        <f>ROUND((COUNTIF(F50, N$3) / 50) * $L$1, 0)</f>
        <v/>
      </c>
      <c r="N50" t="inlineStr">
        <is>
          <t>Suma de Cantidad de veces</t>
        </is>
      </c>
      <c r="O50" t="n">
        <v>34</v>
      </c>
      <c r="P50" t="n">
        <v>310</v>
      </c>
      <c r="R50" t="n">
        <v>344</v>
      </c>
    </row>
    <row r="51">
      <c r="A51" s="15" t="inlineStr">
        <is>
          <t>Actitudinal</t>
        </is>
      </c>
      <c r="B51" s="9">
        <f>+CONCATENATE(LEFT(D51,3),"-",C51)</f>
        <v/>
      </c>
      <c r="C51" s="16" t="inlineStr">
        <is>
          <t>49. Acepta retroalimentación constructiva.</t>
        </is>
      </c>
      <c r="D51" s="17" t="inlineStr">
        <is>
          <t>Fortaleza/Logro</t>
        </is>
      </c>
      <c r="E51" s="11" t="n">
        <v>12</v>
      </c>
      <c r="F51">
        <f>VLOOKUP(G51, $L$3:$N$7, 3, 1)</f>
        <v/>
      </c>
      <c r="G51">
        <f>+E51</f>
        <v/>
      </c>
      <c r="H51">
        <f>VLOOKUP(F51, REGLA1, 2, FALSE)</f>
        <v/>
      </c>
      <c r="I51" t="inlineStr">
        <is>
          <t>SEPTIMO</t>
        </is>
      </c>
      <c r="J51" t="inlineStr">
        <is>
          <t>TT</t>
        </is>
      </c>
      <c r="K51" s="19">
        <f>ROUND((COUNTIF(F51, N$3) / 50) * $L$1, 0)</f>
        <v/>
      </c>
    </row>
    <row r="52"/>
    <row r="53"/>
    <row r="54">
      <c r="N54" t="inlineStr">
        <is>
          <t xml:space="preserve">Nota </t>
        </is>
      </c>
      <c r="O54" t="inlineStr">
        <is>
          <t>Cantidad de alumnos</t>
        </is>
      </c>
      <c r="Q54" t="inlineStr">
        <is>
          <t>% de Alumnos</t>
        </is>
      </c>
    </row>
    <row r="55">
      <c r="N55" t="n">
        <v>1</v>
      </c>
      <c r="O55">
        <f>ROUND((COUNTIF($F$2:$F$51, N55) / 50) * $L$1, 0)</f>
        <v/>
      </c>
      <c r="Q55" s="18">
        <f>+O55/O$60</f>
        <v/>
      </c>
      <c r="S55" t="inlineStr">
        <is>
          <t xml:space="preserve">Muy bueno </t>
        </is>
      </c>
      <c r="T55">
        <f>+O59+O58</f>
        <v/>
      </c>
      <c r="U55" s="18">
        <f>+T55/O$60</f>
        <v/>
      </c>
    </row>
    <row r="56">
      <c r="N56" t="n">
        <v>2</v>
      </c>
      <c r="O56">
        <f>ROUND((COUNTIF($F$2:$F$51, N56) / 50) * $L$1, 0)</f>
        <v/>
      </c>
      <c r="Q56" s="18">
        <f>+O56/O$60</f>
        <v/>
      </c>
      <c r="S56" t="inlineStr">
        <is>
          <t>Bueno</t>
        </is>
      </c>
      <c r="T56">
        <f>+O57</f>
        <v/>
      </c>
      <c r="U56" s="18">
        <f>+T56/O$60</f>
        <v/>
      </c>
    </row>
    <row r="57">
      <c r="N57" t="n">
        <v>3</v>
      </c>
      <c r="O57">
        <f>ROUND((COUNTIF($F$2:$F$51, N57) / 50) * $L$1, 0)</f>
        <v/>
      </c>
      <c r="Q57" s="18">
        <f>+O57/O$60</f>
        <v/>
      </c>
      <c r="S57" t="inlineStr">
        <is>
          <t>A mejorar</t>
        </is>
      </c>
      <c r="T57">
        <f>+O55+O56</f>
        <v/>
      </c>
      <c r="U57" s="18">
        <f>+T57/O$60</f>
        <v/>
      </c>
    </row>
    <row r="58">
      <c r="N58" t="n">
        <v>4</v>
      </c>
      <c r="O58">
        <f>ROUND((COUNTIF($F$2:$F$51, N58) / 50) * $L$1, 0)</f>
        <v/>
      </c>
      <c r="Q58" s="18">
        <f>+O58/O$60</f>
        <v/>
      </c>
    </row>
    <row r="59">
      <c r="N59" t="n">
        <v>5</v>
      </c>
      <c r="O59">
        <f>ROUND((COUNTIF($F$2:$F$51, N59) / 50) * $L$1, 0)</f>
        <v/>
      </c>
      <c r="Q59" s="18">
        <f>+O59/O$60</f>
        <v/>
      </c>
    </row>
    <row r="60">
      <c r="O60">
        <f>SUM(O55:O59)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cols>
    <col width="18.28515625" customWidth="1" min="1" max="1"/>
    <col width="58.42578125" customWidth="1" min="2" max="2"/>
    <col width="60.140625" customWidth="1" min="3" max="3"/>
    <col width="20.140625" customWidth="1" min="4" max="4"/>
    <col width="17.140625" customWidth="1" min="5" max="5"/>
    <col width="6.85546875" customWidth="1" min="6" max="6"/>
    <col width="3.7109375" customWidth="1" min="7" max="7"/>
    <col width="29" customWidth="1" min="8" max="8"/>
    <col width="8.28515625" customWidth="1" min="9" max="9"/>
    <col width="7.28515625" customWidth="1" min="10" max="10"/>
    <col width="11" customWidth="1" min="11" max="11"/>
    <col width="3.7109375" customWidth="1" min="12" max="12"/>
    <col width="26" customWidth="1" min="14" max="14"/>
    <col width="22.85546875" customWidth="1" min="15" max="15"/>
    <col width="14.85546875" customWidth="1" min="16" max="16"/>
    <col width="11.140625" customWidth="1" min="17" max="17"/>
    <col width="12.5703125" customWidth="1" min="18" max="18"/>
  </cols>
  <sheetData>
    <row r="1">
      <c r="A1" s="4" t="inlineStr">
        <is>
          <t>Categoría</t>
        </is>
      </c>
      <c r="B1" s="5" t="inlineStr">
        <is>
          <t xml:space="preserve">Indicador </t>
        </is>
      </c>
      <c r="C1" s="5" t="inlineStr">
        <is>
          <t xml:space="preserve">Indicador </t>
        </is>
      </c>
      <c r="D1" s="6" t="inlineStr">
        <is>
          <t>Tipo de Indicador</t>
        </is>
      </c>
      <c r="E1" s="7" t="inlineStr">
        <is>
          <t>Cantidad de veces</t>
        </is>
      </c>
      <c r="F1" t="inlineStr">
        <is>
          <t>NOTA</t>
        </is>
      </c>
      <c r="G1" t="inlineStr">
        <is>
          <t>PR</t>
        </is>
      </c>
      <c r="H1" t="inlineStr">
        <is>
          <t>VALORACION</t>
        </is>
      </c>
      <c r="I1" t="inlineStr">
        <is>
          <t>GRADO</t>
        </is>
      </c>
      <c r="J1" t="inlineStr">
        <is>
          <t>TURNO</t>
        </is>
      </c>
      <c r="K1" t="inlineStr">
        <is>
          <t>NF</t>
        </is>
      </c>
      <c r="L1" t="n">
        <v>42</v>
      </c>
      <c r="N1">
        <f>+GETPIVOTDATA("Cantidad de veces",$N$48)</f>
        <v/>
      </c>
    </row>
    <row r="2">
      <c r="A2" s="8" t="inlineStr">
        <is>
          <t>Académica</t>
        </is>
      </c>
      <c r="B2" s="9">
        <f>+CONCATENATE(LEFT(D2,3),"-",C2)</f>
        <v/>
      </c>
      <c r="C2" s="9" t="inlineStr">
        <is>
          <t>02. Presenta lagunas en conocimientos previos.</t>
        </is>
      </c>
      <c r="D2" s="10" t="inlineStr">
        <is>
          <t>Alerta/Mejora</t>
        </is>
      </c>
      <c r="E2" s="11" t="n">
        <v>8</v>
      </c>
      <c r="F2">
        <f>VLOOKUP(G2, $L$3:$N$7, 3, 1)</f>
        <v/>
      </c>
      <c r="G2">
        <f>+L$1-E2</f>
        <v/>
      </c>
      <c r="H2">
        <f>VLOOKUP(F2, REGLA1, 2, FALSE)</f>
        <v/>
      </c>
      <c r="I2" t="inlineStr">
        <is>
          <t>OCTAVO</t>
        </is>
      </c>
      <c r="J2" t="inlineStr">
        <is>
          <t>TM</t>
        </is>
      </c>
      <c r="K2">
        <f>+E2/$L$1</f>
        <v/>
      </c>
    </row>
    <row r="3">
      <c r="A3" s="8" t="inlineStr">
        <is>
          <t>Académica</t>
        </is>
      </c>
      <c r="B3" s="9">
        <f>+CONCATENATE(LEFT(D3,3),"-",C3)</f>
        <v/>
      </c>
      <c r="C3" s="9" t="inlineStr">
        <is>
          <t>04. Se limita a memorizar sin comprender.</t>
        </is>
      </c>
      <c r="D3" s="10" t="inlineStr">
        <is>
          <t>Alerta/Mejora</t>
        </is>
      </c>
      <c r="E3" s="11" t="n">
        <v>6</v>
      </c>
      <c r="F3">
        <f>VLOOKUP(G3, $L$3:$N$7, 3, 1)</f>
        <v/>
      </c>
      <c r="G3">
        <f>+L$1-E3</f>
        <v/>
      </c>
      <c r="H3">
        <f>VLOOKUP(F3, REGLA1, 2, FALSE)</f>
        <v/>
      </c>
      <c r="I3" t="inlineStr">
        <is>
          <t>OCTAVO</t>
        </is>
      </c>
      <c r="J3" t="inlineStr">
        <is>
          <t>TM</t>
        </is>
      </c>
      <c r="K3">
        <f>+E3/$L$1</f>
        <v/>
      </c>
      <c r="L3" s="12" t="n">
        <v>0</v>
      </c>
      <c r="M3" s="12" t="n">
        <v>24</v>
      </c>
      <c r="N3" s="13" t="n">
        <v>1</v>
      </c>
      <c r="P3" s="1" t="inlineStr">
        <is>
          <t>Etiquetas de fila</t>
        </is>
      </c>
      <c r="Q3" t="inlineStr">
        <is>
          <t>Suma de Cantidad de veces</t>
        </is>
      </c>
    </row>
    <row r="4">
      <c r="A4" s="8" t="inlineStr">
        <is>
          <t>Académica</t>
        </is>
      </c>
      <c r="B4" s="9">
        <f>+CONCATENATE(LEFT(D4,3),"-",C4)</f>
        <v/>
      </c>
      <c r="C4" s="9" t="inlineStr">
        <is>
          <t>06. Entrega tareas incompletas o descuidadas.</t>
        </is>
      </c>
      <c r="D4" s="10" t="inlineStr">
        <is>
          <t>Alerta/Mejora</t>
        </is>
      </c>
      <c r="E4" s="11" t="n">
        <v>4</v>
      </c>
      <c r="F4">
        <f>VLOOKUP(G4, $L$3:$N$7, 3, 1)</f>
        <v/>
      </c>
      <c r="G4">
        <f>+L$1-E4</f>
        <v/>
      </c>
      <c r="H4">
        <f>VLOOKUP(F4, REGLA1, 2, FALSE)</f>
        <v/>
      </c>
      <c r="I4" t="inlineStr">
        <is>
          <t>OCTAVO</t>
        </is>
      </c>
      <c r="J4" t="inlineStr">
        <is>
          <t>TM</t>
        </is>
      </c>
      <c r="K4">
        <f>+E4/$L$1</f>
        <v/>
      </c>
      <c r="L4" s="12" t="n">
        <v>25</v>
      </c>
      <c r="M4" s="12" t="n">
        <v>28</v>
      </c>
      <c r="N4" s="13" t="n">
        <v>2</v>
      </c>
      <c r="P4" s="3" t="inlineStr">
        <is>
          <t>Alerta/Mejora</t>
        </is>
      </c>
      <c r="Q4" t="n">
        <v>34</v>
      </c>
    </row>
    <row r="5">
      <c r="A5" s="8" t="inlineStr">
        <is>
          <t>Académica</t>
        </is>
      </c>
      <c r="B5" s="9">
        <f>+CONCATENATE(LEFT(D5,3),"-",C5)</f>
        <v/>
      </c>
      <c r="C5" s="9" t="inlineStr">
        <is>
          <t>08. Se bloquea ante desafíos matemáticos.</t>
        </is>
      </c>
      <c r="D5" s="10" t="inlineStr">
        <is>
          <t>Alerta/Mejora</t>
        </is>
      </c>
      <c r="E5" s="11" t="n">
        <v>7</v>
      </c>
      <c r="F5">
        <f>VLOOKUP(G5, $L$3:$N$7, 3, 1)</f>
        <v/>
      </c>
      <c r="G5">
        <f>+L$1-E5</f>
        <v/>
      </c>
      <c r="H5">
        <f>VLOOKUP(F5, REGLA1, 2, FALSE)</f>
        <v/>
      </c>
      <c r="I5" t="inlineStr">
        <is>
          <t>OCTAVO</t>
        </is>
      </c>
      <c r="J5" t="inlineStr">
        <is>
          <t>TM</t>
        </is>
      </c>
      <c r="K5">
        <f>+E5/$L$1</f>
        <v/>
      </c>
      <c r="L5" s="12" t="n">
        <v>29</v>
      </c>
      <c r="M5" s="12" t="n">
        <v>33</v>
      </c>
      <c r="N5" s="13" t="n">
        <v>3</v>
      </c>
      <c r="P5" s="3" t="inlineStr">
        <is>
          <t>Fortaleza/Logro</t>
        </is>
      </c>
      <c r="Q5" t="n">
        <v>310</v>
      </c>
    </row>
    <row r="6">
      <c r="A6" s="8" t="inlineStr">
        <is>
          <t>Académica</t>
        </is>
      </c>
      <c r="B6" s="9">
        <f>+CONCATENATE(LEFT(D6,3),"-",C6)</f>
        <v/>
      </c>
      <c r="C6" s="9" t="inlineStr">
        <is>
          <t>10. Tiene dificultades de expresión oral/escrita.</t>
        </is>
      </c>
      <c r="D6" s="10" t="inlineStr">
        <is>
          <t>Alerta/Mejora</t>
        </is>
      </c>
      <c r="E6" s="11" t="n">
        <v>5</v>
      </c>
      <c r="F6">
        <f>VLOOKUP(G6, $L$3:$N$7, 3, 1)</f>
        <v/>
      </c>
      <c r="G6">
        <f>+L$1-E6</f>
        <v/>
      </c>
      <c r="H6">
        <f>VLOOKUP(F6, REGLA1, 2, FALSE)</f>
        <v/>
      </c>
      <c r="I6" t="inlineStr">
        <is>
          <t>OCTAVO</t>
        </is>
      </c>
      <c r="J6" t="inlineStr">
        <is>
          <t>TM</t>
        </is>
      </c>
      <c r="K6">
        <f>+E6/$L$1</f>
        <v/>
      </c>
      <c r="L6" s="12" t="n">
        <v>34</v>
      </c>
      <c r="M6" s="12" t="n">
        <v>38</v>
      </c>
      <c r="N6" s="13" t="n">
        <v>4</v>
      </c>
      <c r="P6" s="3" t="inlineStr">
        <is>
          <t>Total general</t>
        </is>
      </c>
      <c r="Q6" t="n">
        <v>344</v>
      </c>
    </row>
    <row r="7">
      <c r="A7" s="8" t="inlineStr">
        <is>
          <t>Académica</t>
        </is>
      </c>
      <c r="B7" s="9">
        <f>+CONCATENATE(LEFT(D7,3),"-",C7)</f>
        <v/>
      </c>
      <c r="C7" s="9" t="inlineStr">
        <is>
          <t>12. Muestra rechazo o desinterés por la lectura.</t>
        </is>
      </c>
      <c r="D7" s="10" t="inlineStr">
        <is>
          <t>Alerta/Mejora</t>
        </is>
      </c>
      <c r="E7" s="11" t="n">
        <v>6</v>
      </c>
      <c r="F7">
        <f>VLOOKUP(G7, $L$3:$N$7, 3, 1)</f>
        <v/>
      </c>
      <c r="G7">
        <f>+L$1-E7</f>
        <v/>
      </c>
      <c r="H7">
        <f>VLOOKUP(F7, REGLA1, 2, FALSE)</f>
        <v/>
      </c>
      <c r="I7" t="inlineStr">
        <is>
          <t>OCTAVO</t>
        </is>
      </c>
      <c r="J7" t="inlineStr">
        <is>
          <t>TM</t>
        </is>
      </c>
      <c r="K7">
        <f>+E7/$L$1</f>
        <v/>
      </c>
      <c r="L7" s="12" t="n">
        <v>39</v>
      </c>
      <c r="M7" s="12" t="n">
        <v>42</v>
      </c>
      <c r="N7" s="13" t="n">
        <v>5</v>
      </c>
    </row>
    <row r="8">
      <c r="A8" s="8" t="inlineStr">
        <is>
          <t>Académica</t>
        </is>
      </c>
      <c r="B8" s="9">
        <f>+CONCATENATE(LEFT(D8,3),"-",C8)</f>
        <v/>
      </c>
      <c r="C8" s="9" t="inlineStr">
        <is>
          <t>14. Requiere supervisión constante para avanzar.</t>
        </is>
      </c>
      <c r="D8" s="10" t="inlineStr">
        <is>
          <t>Alerta/Mejora</t>
        </is>
      </c>
      <c r="E8" s="11" t="n">
        <v>7</v>
      </c>
      <c r="F8">
        <f>VLOOKUP(G8, $L$3:$N$7, 3, 1)</f>
        <v/>
      </c>
      <c r="G8">
        <f>+L$1-E8</f>
        <v/>
      </c>
      <c r="H8">
        <f>VLOOKUP(F8, REGLA1, 2, FALSE)</f>
        <v/>
      </c>
      <c r="I8" t="inlineStr">
        <is>
          <t>OCTAVO</t>
        </is>
      </c>
      <c r="J8" t="inlineStr">
        <is>
          <t>TM</t>
        </is>
      </c>
      <c r="K8">
        <f>+E8/$L$1</f>
        <v/>
      </c>
    </row>
    <row r="9">
      <c r="A9" s="8" t="inlineStr">
        <is>
          <t>Académica</t>
        </is>
      </c>
      <c r="B9" s="9">
        <f>+CONCATENATE(LEFT(D9,3),"-",C9)</f>
        <v/>
      </c>
      <c r="C9" s="9" t="inlineStr">
        <is>
          <t>16. Muestra apatía por temas nuevos.</t>
        </is>
      </c>
      <c r="D9" s="10" t="inlineStr">
        <is>
          <t>Alerta/Mejora</t>
        </is>
      </c>
      <c r="E9" s="11" t="n">
        <v>2</v>
      </c>
      <c r="F9">
        <f>VLOOKUP(G9, $L$3:$N$7, 3, 1)</f>
        <v/>
      </c>
      <c r="G9">
        <f>+L$1-E9</f>
        <v/>
      </c>
      <c r="H9">
        <f>VLOOKUP(F9, REGLA1, 2, FALSE)</f>
        <v/>
      </c>
      <c r="I9" t="inlineStr">
        <is>
          <t>OCTAVO</t>
        </is>
      </c>
      <c r="J9" t="inlineStr">
        <is>
          <t>TM</t>
        </is>
      </c>
      <c r="K9">
        <f>+E9/$L$1</f>
        <v/>
      </c>
    </row>
    <row r="10">
      <c r="A10" s="8" t="inlineStr">
        <is>
          <t>Conductual</t>
        </is>
      </c>
      <c r="B10" s="9">
        <f>+CONCATENATE(LEFT(D10,3),"-",C10)</f>
        <v/>
      </c>
      <c r="C10" s="9" t="inlineStr">
        <is>
          <t>18. Desafía activamente la autoridad.</t>
        </is>
      </c>
      <c r="D10" s="10" t="inlineStr">
        <is>
          <t>Alerta/Mejora</t>
        </is>
      </c>
      <c r="E10" s="11" t="n">
        <v>1</v>
      </c>
      <c r="F10">
        <f>VLOOKUP(G10, $L$3:$N$7, 3, 1)</f>
        <v/>
      </c>
      <c r="G10">
        <f>+L$1-E10</f>
        <v/>
      </c>
      <c r="H10">
        <f>VLOOKUP(F10, REGLA1, 2, FALSE)</f>
        <v/>
      </c>
      <c r="I10" t="inlineStr">
        <is>
          <t>OCTAVO</t>
        </is>
      </c>
      <c r="J10" t="inlineStr">
        <is>
          <t>TM</t>
        </is>
      </c>
      <c r="K10">
        <f>+E10/$L$1</f>
        <v/>
      </c>
    </row>
    <row r="11">
      <c r="A11" s="8" t="inlineStr">
        <is>
          <t>Conductual</t>
        </is>
      </c>
      <c r="B11" s="9">
        <f>+CONCATENATE(LEFT(D11,3),"-",C11)</f>
        <v/>
      </c>
      <c r="C11" s="9" t="inlineStr">
        <is>
          <t>20. Presenta retardos o inasistencias frecuentes.</t>
        </is>
      </c>
      <c r="D11" s="10" t="inlineStr">
        <is>
          <t>Alerta/Mejora</t>
        </is>
      </c>
      <c r="E11" s="11" t="n">
        <v>4</v>
      </c>
      <c r="F11">
        <f>VLOOKUP(G11, $L$3:$N$7, 3, 1)</f>
        <v/>
      </c>
      <c r="G11">
        <f>+L$1-E11</f>
        <v/>
      </c>
      <c r="H11">
        <f>VLOOKUP(F11, REGLA1, 2, FALSE)</f>
        <v/>
      </c>
      <c r="I11" t="inlineStr">
        <is>
          <t>OCTAVO</t>
        </is>
      </c>
      <c r="J11" t="inlineStr">
        <is>
          <t>TM</t>
        </is>
      </c>
      <c r="K11">
        <f>+E11/$L$1</f>
        <v/>
      </c>
    </row>
    <row r="12">
      <c r="A12" s="8" t="inlineStr">
        <is>
          <t>Conductual</t>
        </is>
      </c>
      <c r="B12" s="9">
        <f>+CONCATENATE(LEFT(D12,3),"-",C12)</f>
        <v/>
      </c>
      <c r="C12" s="9" t="inlineStr">
        <is>
          <t>22. Daña el mobiliario o materiales escolares.</t>
        </is>
      </c>
      <c r="D12" s="10" t="inlineStr">
        <is>
          <t>Alerta/Mejora</t>
        </is>
      </c>
      <c r="E12" s="11" t="n">
        <v>1</v>
      </c>
      <c r="F12">
        <f>VLOOKUP(G12, $L$3:$N$7, 3, 1)</f>
        <v/>
      </c>
      <c r="G12">
        <f>+L$1-E12</f>
        <v/>
      </c>
      <c r="H12">
        <f>VLOOKUP(F12, REGLA1, 2, FALSE)</f>
        <v/>
      </c>
      <c r="I12" t="inlineStr">
        <is>
          <t>OCTAVO</t>
        </is>
      </c>
      <c r="J12" t="inlineStr">
        <is>
          <t>TM</t>
        </is>
      </c>
      <c r="K12">
        <f>+E12/$L$1</f>
        <v/>
      </c>
    </row>
    <row r="13">
      <c r="A13" s="8" t="inlineStr">
        <is>
          <t>Conductual</t>
        </is>
      </c>
      <c r="B13" s="9">
        <f>+CONCATENATE(LEFT(D13,3),"-",C13)</f>
        <v/>
      </c>
      <c r="C13" s="9" t="inlineStr">
        <is>
          <t>24. Interrumpe constantemente el flujo de clase.</t>
        </is>
      </c>
      <c r="D13" s="10" t="inlineStr">
        <is>
          <t>Alerta/Mejora</t>
        </is>
      </c>
      <c r="E13" s="11" t="n">
        <v>9</v>
      </c>
      <c r="F13">
        <f>VLOOKUP(G13, $L$3:$N$7, 3, 1)</f>
        <v/>
      </c>
      <c r="G13">
        <f>+L$1-E13</f>
        <v/>
      </c>
      <c r="H13">
        <f>VLOOKUP(F13, REGLA1, 2, FALSE)</f>
        <v/>
      </c>
      <c r="I13" t="inlineStr">
        <is>
          <t>OCTAVO</t>
        </is>
      </c>
      <c r="J13" t="inlineStr">
        <is>
          <t>TM</t>
        </is>
      </c>
      <c r="K13">
        <f>+E13/$L$1</f>
        <v/>
      </c>
    </row>
    <row r="14">
      <c r="A14" s="8" t="inlineStr">
        <is>
          <t>Conductual</t>
        </is>
      </c>
      <c r="B14" s="9">
        <f>+CONCATENATE(LEFT(D14,3),"-",C14)</f>
        <v/>
      </c>
      <c r="C14" s="9" t="inlineStr">
        <is>
          <t>26. Emplea lenguaje soez o despectivo.</t>
        </is>
      </c>
      <c r="D14" s="10" t="inlineStr">
        <is>
          <t>Alerta/Mejora</t>
        </is>
      </c>
      <c r="E14" s="11" t="n">
        <v>2</v>
      </c>
      <c r="F14">
        <f>VLOOKUP(G14, $L$3:$N$7, 3, 1)</f>
        <v/>
      </c>
      <c r="G14">
        <f>+L$1-E14</f>
        <v/>
      </c>
      <c r="H14">
        <f>VLOOKUP(F14, REGLA1, 2, FALSE)</f>
        <v/>
      </c>
      <c r="I14" t="inlineStr">
        <is>
          <t>OCTAVO</t>
        </is>
      </c>
      <c r="J14" t="inlineStr">
        <is>
          <t>TM</t>
        </is>
      </c>
      <c r="K14">
        <f>+E14/$L$1</f>
        <v/>
      </c>
    </row>
    <row r="15">
      <c r="A15" s="8" t="inlineStr">
        <is>
          <t>Conductual</t>
        </is>
      </c>
      <c r="B15" s="9">
        <f>+CONCATENATE(LEFT(D15,3),"-",C15)</f>
        <v/>
      </c>
      <c r="C15" s="9" t="inlineStr">
        <is>
          <t>28. Miente o culpa a otros por sus actos.</t>
        </is>
      </c>
      <c r="D15" s="10" t="inlineStr">
        <is>
          <t>Alerta/Mejora</t>
        </is>
      </c>
      <c r="E15" s="11" t="n">
        <v>2</v>
      </c>
      <c r="F15">
        <f>VLOOKUP(G15, $L$3:$N$7, 3, 1)</f>
        <v/>
      </c>
      <c r="G15">
        <f>+L$1-E15</f>
        <v/>
      </c>
      <c r="H15">
        <f>VLOOKUP(F15, REGLA1, 2, FALSE)</f>
        <v/>
      </c>
      <c r="I15" t="inlineStr">
        <is>
          <t>OCTAVO</t>
        </is>
      </c>
      <c r="J15" t="inlineStr">
        <is>
          <t>TM</t>
        </is>
      </c>
      <c r="K15">
        <f>+E15/$L$1</f>
        <v/>
      </c>
    </row>
    <row r="16">
      <c r="A16" s="8" t="inlineStr">
        <is>
          <t>Conductual</t>
        </is>
      </c>
      <c r="B16" s="9">
        <f>+CONCATENATE(LEFT(D16,3),"-",C16)</f>
        <v/>
      </c>
      <c r="C16" s="9" t="inlineStr">
        <is>
          <t>30. Se distrae con dispositivos electrónicos.</t>
        </is>
      </c>
      <c r="D16" s="10" t="inlineStr">
        <is>
          <t>Alerta/Mejora</t>
        </is>
      </c>
      <c r="E16" s="11" t="n">
        <v>8</v>
      </c>
      <c r="F16">
        <f>VLOOKUP(G16, $L$3:$N$7, 3, 1)</f>
        <v/>
      </c>
      <c r="G16">
        <f>+L$1-E16</f>
        <v/>
      </c>
      <c r="H16">
        <f>VLOOKUP(F16, REGLA1, 2, FALSE)</f>
        <v/>
      </c>
      <c r="I16" t="inlineStr">
        <is>
          <t>OCTAVO</t>
        </is>
      </c>
      <c r="J16" t="inlineStr">
        <is>
          <t>TM</t>
        </is>
      </c>
      <c r="K16">
        <f>+E16/$L$1</f>
        <v/>
      </c>
    </row>
    <row r="17">
      <c r="A17" s="8" t="inlineStr">
        <is>
          <t>Conductual</t>
        </is>
      </c>
      <c r="B17" s="9">
        <f>+CONCATENATE(LEFT(D17,3),"-",C17)</f>
        <v/>
      </c>
      <c r="C17" s="9" t="inlineStr">
        <is>
          <t>32. Fomenta el desorden o el caos en el grupo.</t>
        </is>
      </c>
      <c r="D17" s="10" t="inlineStr">
        <is>
          <t>Alerta/Mejora</t>
        </is>
      </c>
      <c r="E17" s="11" t="n">
        <v>5</v>
      </c>
      <c r="F17">
        <f>VLOOKUP(G17, $L$3:$N$7, 3, 1)</f>
        <v/>
      </c>
      <c r="G17">
        <f>+L$1-E17</f>
        <v/>
      </c>
      <c r="H17">
        <f>VLOOKUP(F17, REGLA1, 2, FALSE)</f>
        <v/>
      </c>
      <c r="I17" t="inlineStr">
        <is>
          <t>OCTAVO</t>
        </is>
      </c>
      <c r="J17" t="inlineStr">
        <is>
          <t>TM</t>
        </is>
      </c>
      <c r="K17">
        <f>+E17/$L$1</f>
        <v/>
      </c>
    </row>
    <row r="18">
      <c r="A18" s="8" t="inlineStr">
        <is>
          <t>Socio-Emocional</t>
        </is>
      </c>
      <c r="B18" s="9">
        <f>+CONCATENATE(LEFT(D18,3),"-",C18)</f>
        <v/>
      </c>
      <c r="C18" s="9" t="inlineStr">
        <is>
          <t>34. Se rinde fácilmente ante la frustración.</t>
        </is>
      </c>
      <c r="D18" s="10" t="inlineStr">
        <is>
          <t>Alerta/Mejora</t>
        </is>
      </c>
      <c r="E18" s="11" t="n">
        <v>6</v>
      </c>
      <c r="F18">
        <f>VLOOKUP(G18, $L$3:$N$7, 3, 1)</f>
        <v/>
      </c>
      <c r="G18">
        <f>+L$1-E18</f>
        <v/>
      </c>
      <c r="H18">
        <f>VLOOKUP(F18, REGLA1, 2, FALSE)</f>
        <v/>
      </c>
      <c r="I18" t="inlineStr">
        <is>
          <t>OCTAVO</t>
        </is>
      </c>
      <c r="J18" t="inlineStr">
        <is>
          <t>TM</t>
        </is>
      </c>
      <c r="K18">
        <f>+E18/$L$1</f>
        <v/>
      </c>
    </row>
    <row r="19">
      <c r="A19" s="8" t="inlineStr">
        <is>
          <t>Socio-Emocional</t>
        </is>
      </c>
      <c r="B19" s="9">
        <f>+CONCATENATE(LEFT(D19,3),"-",C19)</f>
        <v/>
      </c>
      <c r="C19" s="9" t="inlineStr">
        <is>
          <t>36. Trabaja de forma aislada o es individualista.</t>
        </is>
      </c>
      <c r="D19" s="10" t="inlineStr">
        <is>
          <t>Alerta/Mejora</t>
        </is>
      </c>
      <c r="E19" s="11" t="n">
        <v>3</v>
      </c>
      <c r="F19">
        <f>VLOOKUP(G19, $L$3:$N$7, 3, 1)</f>
        <v/>
      </c>
      <c r="G19">
        <f>+L$1-E19</f>
        <v/>
      </c>
      <c r="H19">
        <f>VLOOKUP(F19, REGLA1, 2, FALSE)</f>
        <v/>
      </c>
      <c r="I19" t="inlineStr">
        <is>
          <t>OCTAVO</t>
        </is>
      </c>
      <c r="J19" t="inlineStr">
        <is>
          <t>TM</t>
        </is>
      </c>
      <c r="K19">
        <f>+E19/$L$1</f>
        <v/>
      </c>
    </row>
    <row r="20">
      <c r="A20" s="8" t="inlineStr">
        <is>
          <t>Socio-Emocional</t>
        </is>
      </c>
      <c r="B20" s="9">
        <f>+CONCATENATE(LEFT(D20,3),"-",C20)</f>
        <v/>
      </c>
      <c r="C20" s="9" t="inlineStr">
        <is>
          <t>38. Ignora o se burla de los sentimientos de otros.</t>
        </is>
      </c>
      <c r="D20" s="10" t="inlineStr">
        <is>
          <t>Alerta/Mejora</t>
        </is>
      </c>
      <c r="E20" s="11" t="n">
        <v>2</v>
      </c>
      <c r="F20">
        <f>VLOOKUP(G20, $L$3:$N$7, 3, 1)</f>
        <v/>
      </c>
      <c r="G20">
        <f>+L$1-E20</f>
        <v/>
      </c>
      <c r="H20">
        <f>VLOOKUP(F20, REGLA1, 2, FALSE)</f>
        <v/>
      </c>
      <c r="I20" t="inlineStr">
        <is>
          <t>OCTAVO</t>
        </is>
      </c>
      <c r="J20" t="inlineStr">
        <is>
          <t>TM</t>
        </is>
      </c>
      <c r="K20">
        <f>+E20/$L$1</f>
        <v/>
      </c>
    </row>
    <row r="21">
      <c r="A21" s="8" t="inlineStr">
        <is>
          <t>Socio-Emocional</t>
        </is>
      </c>
      <c r="B21" s="9">
        <f>+CONCATENATE(LEFT(D21,3),"-",C21)</f>
        <v/>
      </c>
      <c r="C21" s="9" t="inlineStr">
        <is>
          <t>40. Ejerce presión negativa o bullying.</t>
        </is>
      </c>
      <c r="D21" s="10" t="inlineStr">
        <is>
          <t>Alerta/Mejora</t>
        </is>
      </c>
      <c r="E21" s="11" t="n">
        <v>1</v>
      </c>
      <c r="F21">
        <f>VLOOKUP(G21, $L$3:$N$7, 3, 1)</f>
        <v/>
      </c>
      <c r="G21">
        <f>+L$1-E21</f>
        <v/>
      </c>
      <c r="H21">
        <f>VLOOKUP(F21, REGLA1, 2, FALSE)</f>
        <v/>
      </c>
      <c r="I21" t="inlineStr">
        <is>
          <t>OCTAVO</t>
        </is>
      </c>
      <c r="J21" t="inlineStr">
        <is>
          <t>TM</t>
        </is>
      </c>
      <c r="K21">
        <f>+E21/$L$1</f>
        <v/>
      </c>
    </row>
    <row r="22">
      <c r="A22" s="8" t="inlineStr">
        <is>
          <t>Socio-Emocional</t>
        </is>
      </c>
      <c r="B22" s="9">
        <f>+CONCATENATE(LEFT(D22,3),"-",C22)</f>
        <v/>
      </c>
      <c r="C22" s="9" t="inlineStr">
        <is>
          <t>42. Reacciona de forma agresiva o impulsiva.</t>
        </is>
      </c>
      <c r="D22" s="10" t="inlineStr">
        <is>
          <t>Alerta/Mejora</t>
        </is>
      </c>
      <c r="E22" s="11" t="n">
        <v>2</v>
      </c>
      <c r="F22">
        <f>VLOOKUP(G22, $L$3:$N$7, 3, 1)</f>
        <v/>
      </c>
      <c r="G22">
        <f>+L$1-E22</f>
        <v/>
      </c>
      <c r="H22">
        <f>VLOOKUP(F22, REGLA1, 2, FALSE)</f>
        <v/>
      </c>
      <c r="I22" t="inlineStr">
        <is>
          <t>OCTAVO</t>
        </is>
      </c>
      <c r="J22" t="inlineStr">
        <is>
          <t>TM</t>
        </is>
      </c>
      <c r="K22">
        <f>+E22/$L$1</f>
        <v/>
      </c>
    </row>
    <row r="23">
      <c r="A23" s="8" t="inlineStr">
        <is>
          <t>Socio-Emocional</t>
        </is>
      </c>
      <c r="B23" s="9">
        <f>+CONCATENATE(LEFT(D23,3),"-",C23)</f>
        <v/>
      </c>
      <c r="C23" s="9" t="inlineStr">
        <is>
          <t>44. Expresa inseguridad constante ("no puedo").</t>
        </is>
      </c>
      <c r="D23" s="10" t="inlineStr">
        <is>
          <t>Alerta/Mejora</t>
        </is>
      </c>
      <c r="E23" s="11" t="n">
        <v>5</v>
      </c>
      <c r="F23">
        <f>VLOOKUP(G23, $L$3:$N$7, 3, 1)</f>
        <v/>
      </c>
      <c r="G23">
        <f>+L$1-E23</f>
        <v/>
      </c>
      <c r="H23">
        <f>VLOOKUP(F23, REGLA1, 2, FALSE)</f>
        <v/>
      </c>
      <c r="I23" t="inlineStr">
        <is>
          <t>OCTAVO</t>
        </is>
      </c>
      <c r="J23" t="inlineStr">
        <is>
          <t>TM</t>
        </is>
      </c>
      <c r="K23">
        <f>+E23/$L$1</f>
        <v/>
      </c>
    </row>
    <row r="24">
      <c r="A24" s="8" t="inlineStr">
        <is>
          <t>Actitudinal</t>
        </is>
      </c>
      <c r="B24" s="9">
        <f>+CONCATENATE(LEFT(D24,3),"-",C24)</f>
        <v/>
      </c>
      <c r="C24" s="9" t="inlineStr">
        <is>
          <t>46. Requiere estímulos externos para trabajar.</t>
        </is>
      </c>
      <c r="D24" s="10" t="inlineStr">
        <is>
          <t>Alerta/Mejora</t>
        </is>
      </c>
      <c r="E24" s="11" t="n">
        <v>7</v>
      </c>
      <c r="F24">
        <f>VLOOKUP(G24, $L$3:$N$7, 3, 1)</f>
        <v/>
      </c>
      <c r="G24">
        <f>+L$1-E24</f>
        <v/>
      </c>
      <c r="H24">
        <f>VLOOKUP(F24, REGLA1, 2, FALSE)</f>
        <v/>
      </c>
      <c r="I24" t="inlineStr">
        <is>
          <t>OCTAVO</t>
        </is>
      </c>
      <c r="J24" t="inlineStr">
        <is>
          <t>TM</t>
        </is>
      </c>
      <c r="K24">
        <f>+E24/$L$1</f>
        <v/>
      </c>
    </row>
    <row r="25">
      <c r="A25" s="8" t="inlineStr">
        <is>
          <t>Actitudinal</t>
        </is>
      </c>
      <c r="B25" s="9">
        <f>+CONCATENATE(LEFT(D25,3),"-",C25)</f>
        <v/>
      </c>
      <c r="C25" s="9" t="inlineStr">
        <is>
          <t>48. Abandona proyectos a mitad de camino.</t>
        </is>
      </c>
      <c r="D25" s="10" t="inlineStr">
        <is>
          <t>Alerta/Mejora</t>
        </is>
      </c>
      <c r="E25" s="11" t="n">
        <v>3</v>
      </c>
      <c r="F25">
        <f>VLOOKUP(G25, $L$3:$N$7, 3, 1)</f>
        <v/>
      </c>
      <c r="G25">
        <f>+L$1-E25</f>
        <v/>
      </c>
      <c r="H25">
        <f>VLOOKUP(F25, REGLA1, 2, FALSE)</f>
        <v/>
      </c>
      <c r="I25" t="inlineStr">
        <is>
          <t>OCTAVO</t>
        </is>
      </c>
      <c r="J25" t="inlineStr">
        <is>
          <t>TM</t>
        </is>
      </c>
      <c r="K25">
        <f>+E25/$L$1</f>
        <v/>
      </c>
    </row>
    <row r="26">
      <c r="A26" s="8" t="inlineStr">
        <is>
          <t>Actitudinal</t>
        </is>
      </c>
      <c r="B26" s="9">
        <f>+CONCATENATE(LEFT(D26,3),"-",C26)</f>
        <v/>
      </c>
      <c r="C26" s="9" t="inlineStr">
        <is>
          <t>50. Se muestra a la defensiva ante críticas.</t>
        </is>
      </c>
      <c r="D26" s="10" t="inlineStr">
        <is>
          <t>Alerta/Mejora</t>
        </is>
      </c>
      <c r="E26" s="11" t="n">
        <v>4</v>
      </c>
      <c r="F26">
        <f>VLOOKUP(G26, $L$3:$N$7, 3, 1)</f>
        <v/>
      </c>
      <c r="G26">
        <f>+L$1-E26</f>
        <v/>
      </c>
      <c r="H26">
        <f>VLOOKUP(F26, REGLA1, 2, FALSE)</f>
        <v/>
      </c>
      <c r="I26" t="inlineStr">
        <is>
          <t>OCTAVO</t>
        </is>
      </c>
      <c r="J26" t="inlineStr">
        <is>
          <t>TM</t>
        </is>
      </c>
      <c r="K26">
        <f>+E26/$L$1</f>
        <v/>
      </c>
    </row>
    <row r="27">
      <c r="A27" s="15" t="inlineStr">
        <is>
          <t>Académica</t>
        </is>
      </c>
      <c r="B27" s="9">
        <f>+CONCATENATE(LEFT(D27,3),"-",C27)</f>
        <v/>
      </c>
      <c r="C27" s="16" t="inlineStr">
        <is>
          <t>01. Domina los conceptos clave del grado.</t>
        </is>
      </c>
      <c r="D27" s="17" t="inlineStr">
        <is>
          <t>Fortaleza/Logro</t>
        </is>
      </c>
      <c r="E27" s="11" t="n">
        <v>12</v>
      </c>
      <c r="F27">
        <f>VLOOKUP(G27, $L$3:$N$7, 3, 1)</f>
        <v/>
      </c>
      <c r="G27">
        <f>+E27</f>
        <v/>
      </c>
      <c r="H27">
        <f>VLOOKUP(F27, REGLA1, 2, FALSE)</f>
        <v/>
      </c>
      <c r="I27" t="inlineStr">
        <is>
          <t>OCTAVO</t>
        </is>
      </c>
      <c r="J27" t="inlineStr">
        <is>
          <t>TM</t>
        </is>
      </c>
      <c r="K27">
        <f>+E27/$L$1</f>
        <v/>
      </c>
    </row>
    <row r="28">
      <c r="A28" s="15" t="inlineStr">
        <is>
          <t>Académica</t>
        </is>
      </c>
      <c r="B28" s="9">
        <f>+CONCATENATE(LEFT(D28,3),"-",C28)</f>
        <v/>
      </c>
      <c r="C28" s="16" t="inlineStr">
        <is>
          <t>03. Posee un pensamiento crítico y analítico.</t>
        </is>
      </c>
      <c r="D28" s="17" t="inlineStr">
        <is>
          <t>Fortaleza/Logro</t>
        </is>
      </c>
      <c r="E28" s="11" t="n">
        <v>11</v>
      </c>
      <c r="F28">
        <f>VLOOKUP(G28, $L$3:$N$7, 3, 1)</f>
        <v/>
      </c>
      <c r="G28">
        <f>+E28</f>
        <v/>
      </c>
      <c r="H28">
        <f>VLOOKUP(F28, REGLA1, 2, FALSE)</f>
        <v/>
      </c>
      <c r="I28" t="inlineStr">
        <is>
          <t>OCTAVO</t>
        </is>
      </c>
      <c r="J28" t="inlineStr">
        <is>
          <t>TM</t>
        </is>
      </c>
      <c r="K28">
        <f>+E28/$L$1</f>
        <v/>
      </c>
    </row>
    <row r="29">
      <c r="A29" s="15" t="inlineStr">
        <is>
          <t>Académica</t>
        </is>
      </c>
      <c r="B29" s="9">
        <f>+CONCATENATE(LEFT(D29,3),"-",C29)</f>
        <v/>
      </c>
      <c r="C29" s="16" t="inlineStr">
        <is>
          <t>05. Entrega trabajos con alta calidad y orden.</t>
        </is>
      </c>
      <c r="D29" s="17" t="inlineStr">
        <is>
          <t>Fortaleza/Logro</t>
        </is>
      </c>
      <c r="E29" s="11" t="n">
        <v>13</v>
      </c>
      <c r="F29">
        <f>VLOOKUP(G29, $L$3:$N$7, 3, 1)</f>
        <v/>
      </c>
      <c r="G29">
        <f>+E29</f>
        <v/>
      </c>
      <c r="H29">
        <f>VLOOKUP(F29, REGLA1, 2, FALSE)</f>
        <v/>
      </c>
      <c r="I29" t="inlineStr">
        <is>
          <t>OCTAVO</t>
        </is>
      </c>
      <c r="J29" t="inlineStr">
        <is>
          <t>TM</t>
        </is>
      </c>
      <c r="K29">
        <f>+E29/$L$1</f>
        <v/>
      </c>
    </row>
    <row r="30">
      <c r="A30" s="15" t="inlineStr">
        <is>
          <t>Académica</t>
        </is>
      </c>
      <c r="B30" s="9">
        <f>+CONCATENATE(LEFT(D30,3),"-",C30)</f>
        <v/>
      </c>
      <c r="C30" s="16" t="inlineStr">
        <is>
          <t>07. Resuelve problemas lógicos con fluidez.</t>
        </is>
      </c>
      <c r="D30" s="17" t="inlineStr">
        <is>
          <t>Fortaleza/Logro</t>
        </is>
      </c>
      <c r="E30" s="11" t="n">
        <v>10</v>
      </c>
      <c r="F30">
        <f>VLOOKUP(G30, $L$3:$N$7, 3, 1)</f>
        <v/>
      </c>
      <c r="G30">
        <f>+E30</f>
        <v/>
      </c>
      <c r="H30">
        <f>VLOOKUP(F30, REGLA1, 2, FALSE)</f>
        <v/>
      </c>
      <c r="I30" t="inlineStr">
        <is>
          <t>OCTAVO</t>
        </is>
      </c>
      <c r="J30" t="inlineStr">
        <is>
          <t>TM</t>
        </is>
      </c>
      <c r="K30">
        <f>+E30/$L$1</f>
        <v/>
      </c>
    </row>
    <row r="31">
      <c r="A31" s="15" t="inlineStr">
        <is>
          <t>Académica</t>
        </is>
      </c>
      <c r="B31" s="9">
        <f>+CONCATENATE(LEFT(D31,3),"-",C31)</f>
        <v/>
      </c>
      <c r="C31" s="16" t="inlineStr">
        <is>
          <t>09. Utiliza vocabulario técnico preciso.</t>
        </is>
      </c>
      <c r="D31" s="17" t="inlineStr">
        <is>
          <t>Fortaleza/Logro</t>
        </is>
      </c>
      <c r="E31" s="11" t="n">
        <v>12</v>
      </c>
      <c r="F31">
        <f>VLOOKUP(G31, $L$3:$N$7, 3, 1)</f>
        <v/>
      </c>
      <c r="G31">
        <f>+E31</f>
        <v/>
      </c>
      <c r="H31">
        <f>VLOOKUP(F31, REGLA1, 2, FALSE)</f>
        <v/>
      </c>
      <c r="I31" t="inlineStr">
        <is>
          <t>OCTAVO</t>
        </is>
      </c>
      <c r="J31" t="inlineStr">
        <is>
          <t>TM</t>
        </is>
      </c>
      <c r="K31">
        <f>+E31/$L$1</f>
        <v/>
      </c>
    </row>
    <row r="32">
      <c r="A32" s="15" t="inlineStr">
        <is>
          <t>Académica</t>
        </is>
      </c>
      <c r="B32" s="9">
        <f>+CONCATENATE(LEFT(D32,3),"-",C32)</f>
        <v/>
      </c>
      <c r="C32" s="16" t="inlineStr">
        <is>
          <t>11. Posee excelentes hábitos de lectura.</t>
        </is>
      </c>
      <c r="D32" s="17" t="inlineStr">
        <is>
          <t>Fortaleza/Logro</t>
        </is>
      </c>
      <c r="E32" s="11" t="n">
        <v>11</v>
      </c>
      <c r="F32">
        <f>VLOOKUP(G32, $L$3:$N$7, 3, 1)</f>
        <v/>
      </c>
      <c r="G32">
        <f>+E32</f>
        <v/>
      </c>
      <c r="H32">
        <f>VLOOKUP(F32, REGLA1, 2, FALSE)</f>
        <v/>
      </c>
      <c r="I32" t="inlineStr">
        <is>
          <t>OCTAVO</t>
        </is>
      </c>
      <c r="J32" t="inlineStr">
        <is>
          <t>TM</t>
        </is>
      </c>
      <c r="K32">
        <f>+E32/$L$1</f>
        <v/>
      </c>
    </row>
    <row r="33">
      <c r="A33" s="15" t="inlineStr">
        <is>
          <t>Académica</t>
        </is>
      </c>
      <c r="B33" s="9">
        <f>+CONCATENATE(LEFT(D33,3),"-",C33)</f>
        <v/>
      </c>
      <c r="C33" s="16" t="inlineStr">
        <is>
          <t>13. Es autónomo en la realización de tareas.</t>
        </is>
      </c>
      <c r="D33" s="17" t="inlineStr">
        <is>
          <t>Fortaleza/Logro</t>
        </is>
      </c>
      <c r="E33" s="11" t="n">
        <v>14</v>
      </c>
      <c r="F33">
        <f>VLOOKUP(G33, $L$3:$N$7, 3, 1)</f>
        <v/>
      </c>
      <c r="G33">
        <f>+E33</f>
        <v/>
      </c>
      <c r="H33">
        <f>VLOOKUP(F33, REGLA1, 2, FALSE)</f>
        <v/>
      </c>
      <c r="I33" t="inlineStr">
        <is>
          <t>OCTAVO</t>
        </is>
      </c>
      <c r="J33" t="inlineStr">
        <is>
          <t>TM</t>
        </is>
      </c>
      <c r="K33">
        <f>+E33/$L$1</f>
        <v/>
      </c>
    </row>
    <row r="34">
      <c r="A34" s="15" t="inlineStr">
        <is>
          <t>Académica</t>
        </is>
      </c>
      <c r="B34" s="9">
        <f>+CONCATENATE(LEFT(D34,3),"-",C34)</f>
        <v/>
      </c>
      <c r="C34" s="16" t="inlineStr">
        <is>
          <t>15. Investiga más allá de lo solicitado.</t>
        </is>
      </c>
      <c r="D34" s="17" t="inlineStr">
        <is>
          <t>Fortaleza/Logro</t>
        </is>
      </c>
      <c r="E34" s="11" t="n">
        <v>10</v>
      </c>
      <c r="F34">
        <f>VLOOKUP(G34, $L$3:$N$7, 3, 1)</f>
        <v/>
      </c>
      <c r="G34">
        <f>+E34</f>
        <v/>
      </c>
      <c r="H34">
        <f>VLOOKUP(F34, REGLA1, 2, FALSE)</f>
        <v/>
      </c>
      <c r="I34" t="inlineStr">
        <is>
          <t>OCTAVO</t>
        </is>
      </c>
      <c r="J34" t="inlineStr">
        <is>
          <t>TM</t>
        </is>
      </c>
      <c r="K34">
        <f>+E34/$L$1</f>
        <v/>
      </c>
    </row>
    <row r="35">
      <c r="A35" s="15" t="inlineStr">
        <is>
          <t>Conductual</t>
        </is>
      </c>
      <c r="B35" s="9">
        <f>+CONCATENATE(LEFT(D35,3),"-",C35)</f>
        <v/>
      </c>
      <c r="C35" s="16" t="inlineStr">
        <is>
          <t>17. Respeta las normas de convivencia.</t>
        </is>
      </c>
      <c r="D35" s="17" t="inlineStr">
        <is>
          <t>Fortaleza/Logro</t>
        </is>
      </c>
      <c r="E35" s="11" t="n">
        <v>13</v>
      </c>
      <c r="F35">
        <f>VLOOKUP(G35, $L$3:$N$7, 3, 1)</f>
        <v/>
      </c>
      <c r="G35">
        <f>+E35</f>
        <v/>
      </c>
      <c r="H35">
        <f>VLOOKUP(F35, REGLA1, 2, FALSE)</f>
        <v/>
      </c>
      <c r="I35" t="inlineStr">
        <is>
          <t>OCTAVO</t>
        </is>
      </c>
      <c r="J35" t="inlineStr">
        <is>
          <t>TM</t>
        </is>
      </c>
      <c r="K35">
        <f>+E35/$L$1</f>
        <v/>
      </c>
    </row>
    <row r="36">
      <c r="A36" s="15" t="inlineStr">
        <is>
          <t>Conductual</t>
        </is>
      </c>
      <c r="B36" s="9">
        <f>+CONCATENATE(LEFT(D36,3),"-",C36)</f>
        <v/>
      </c>
      <c r="C36" s="16" t="inlineStr">
        <is>
          <t>19. Es puntual en todas sus obligaciones.</t>
        </is>
      </c>
      <c r="D36" s="17" t="inlineStr">
        <is>
          <t>Fortaleza/Logro</t>
        </is>
      </c>
      <c r="E36" s="11" t="n">
        <v>12</v>
      </c>
      <c r="F36">
        <f>VLOOKUP(G36, $L$3:$N$7, 3, 1)</f>
        <v/>
      </c>
      <c r="G36">
        <f>+E36</f>
        <v/>
      </c>
      <c r="H36">
        <f>VLOOKUP(F36, REGLA1, 2, FALSE)</f>
        <v/>
      </c>
      <c r="I36" t="inlineStr">
        <is>
          <t>OCTAVO</t>
        </is>
      </c>
      <c r="J36" t="inlineStr">
        <is>
          <t>TM</t>
        </is>
      </c>
      <c r="K36">
        <f>+E36/$L$1</f>
        <v/>
      </c>
    </row>
    <row r="37">
      <c r="A37" s="15" t="inlineStr">
        <is>
          <t>Conductual</t>
        </is>
      </c>
      <c r="B37" s="9">
        <f>+CONCATENATE(LEFT(D37,3),"-",C37)</f>
        <v/>
      </c>
      <c r="C37" s="16" t="inlineStr">
        <is>
          <t>21. Cuida el material propio y ajeno.</t>
        </is>
      </c>
      <c r="D37" s="17" t="inlineStr">
        <is>
          <t>Fortaleza/Logro</t>
        </is>
      </c>
      <c r="E37" s="11" t="n">
        <v>14</v>
      </c>
      <c r="F37">
        <f>VLOOKUP(G37, $L$3:$N$7, 3, 1)</f>
        <v/>
      </c>
      <c r="G37">
        <f>+E37</f>
        <v/>
      </c>
      <c r="H37">
        <f>VLOOKUP(F37, REGLA1, 2, FALSE)</f>
        <v/>
      </c>
      <c r="I37" t="inlineStr">
        <is>
          <t>OCTAVO</t>
        </is>
      </c>
      <c r="J37" t="inlineStr">
        <is>
          <t>TM</t>
        </is>
      </c>
      <c r="K37">
        <f>+E37/$L$1</f>
        <v/>
      </c>
    </row>
    <row r="38">
      <c r="A38" s="15" t="inlineStr">
        <is>
          <t>Conductual</t>
        </is>
      </c>
      <c r="B38" s="9">
        <f>+CONCATENATE(LEFT(D38,3),"-",C38)</f>
        <v/>
      </c>
      <c r="C38" s="16" t="inlineStr">
        <is>
          <t>23. Escucha con atención y no interrumpe.</t>
        </is>
      </c>
      <c r="D38" s="17" t="inlineStr">
        <is>
          <t>Fortaleza/Logro</t>
        </is>
      </c>
      <c r="E38" s="11" t="n">
        <v>12</v>
      </c>
      <c r="F38">
        <f>VLOOKUP(G38, $L$3:$N$7, 3, 1)</f>
        <v/>
      </c>
      <c r="G38">
        <f>+E38</f>
        <v/>
      </c>
      <c r="H38">
        <f>VLOOKUP(F38, REGLA1, 2, FALSE)</f>
        <v/>
      </c>
      <c r="I38" t="inlineStr">
        <is>
          <t>OCTAVO</t>
        </is>
      </c>
      <c r="J38" t="inlineStr">
        <is>
          <t>TM</t>
        </is>
      </c>
      <c r="K38">
        <f>+E38/$L$1</f>
        <v/>
      </c>
    </row>
    <row r="39">
      <c r="A39" s="15" t="inlineStr">
        <is>
          <t>Conductual</t>
        </is>
      </c>
      <c r="B39" s="9">
        <f>+CONCATENATE(LEFT(D39,3),"-",C39)</f>
        <v/>
      </c>
      <c r="C39" s="16" t="inlineStr">
        <is>
          <t>25. Utiliza el lenguaje de forma respetuosa.</t>
        </is>
      </c>
      <c r="D39" s="17" t="inlineStr">
        <is>
          <t>Fortaleza/Logro</t>
        </is>
      </c>
      <c r="E39" s="11" t="n">
        <v>14</v>
      </c>
      <c r="F39">
        <f>VLOOKUP(G39, $L$3:$N$7, 3, 1)</f>
        <v/>
      </c>
      <c r="G39">
        <f>+E39</f>
        <v/>
      </c>
      <c r="H39">
        <f>VLOOKUP(F39, REGLA1, 2, FALSE)</f>
        <v/>
      </c>
      <c r="I39" t="inlineStr">
        <is>
          <t>OCTAVO</t>
        </is>
      </c>
      <c r="J39" t="inlineStr">
        <is>
          <t>TM</t>
        </is>
      </c>
      <c r="K39">
        <f>+E39/$L$1</f>
        <v/>
      </c>
    </row>
    <row r="40">
      <c r="A40" s="15" t="inlineStr">
        <is>
          <t>Conductual</t>
        </is>
      </c>
      <c r="B40" s="9">
        <f>+CONCATENATE(LEFT(D40,3),"-",C40)</f>
        <v/>
      </c>
      <c r="C40" s="16" t="inlineStr">
        <is>
          <t>27. Reconoce sus errores honestamente.</t>
        </is>
      </c>
      <c r="D40" s="17" t="inlineStr">
        <is>
          <t>Fortaleza/Logro</t>
        </is>
      </c>
      <c r="E40" s="11" t="n">
        <v>13</v>
      </c>
      <c r="F40">
        <f>VLOOKUP(G40, $L$3:$N$7, 3, 1)</f>
        <v/>
      </c>
      <c r="G40">
        <f>+E40</f>
        <v/>
      </c>
      <c r="H40">
        <f>VLOOKUP(F40, REGLA1, 2, FALSE)</f>
        <v/>
      </c>
      <c r="I40" t="inlineStr">
        <is>
          <t>OCTAVO</t>
        </is>
      </c>
      <c r="J40" t="inlineStr">
        <is>
          <t>TM</t>
        </is>
      </c>
      <c r="K40">
        <f>+E40/$L$1</f>
        <v/>
      </c>
      <c r="N40" s="1" t="inlineStr">
        <is>
          <t>Suma de Cantidad de veces</t>
        </is>
      </c>
      <c r="O40" s="1" t="inlineStr">
        <is>
          <t>Etiquetas de columna</t>
        </is>
      </c>
    </row>
    <row r="41">
      <c r="A41" s="15" t="inlineStr">
        <is>
          <t>Conductual</t>
        </is>
      </c>
      <c r="B41" s="9">
        <f>+CONCATENATE(LEFT(D41,3),"-",C41)</f>
        <v/>
      </c>
      <c r="C41" s="16" t="inlineStr">
        <is>
          <t>29. Usa la tecnología con fines educativos.</t>
        </is>
      </c>
      <c r="D41" s="17" t="inlineStr">
        <is>
          <t>Fortaleza/Logro</t>
        </is>
      </c>
      <c r="E41" s="11" t="n">
        <v>11</v>
      </c>
      <c r="F41">
        <f>VLOOKUP(G41, $L$3:$N$7, 3, 1)</f>
        <v/>
      </c>
      <c r="G41">
        <f>+E41</f>
        <v/>
      </c>
      <c r="H41">
        <f>VLOOKUP(F41, REGLA1, 2, FALSE)</f>
        <v/>
      </c>
      <c r="I41" t="inlineStr">
        <is>
          <t>OCTAVO</t>
        </is>
      </c>
      <c r="J41" t="inlineStr">
        <is>
          <t>TM</t>
        </is>
      </c>
      <c r="K41">
        <f>+E41/$L$1</f>
        <v/>
      </c>
      <c r="N41" s="1" t="inlineStr">
        <is>
          <t>Etiquetas de fila</t>
        </is>
      </c>
      <c r="O41" t="inlineStr">
        <is>
          <t>Alerta/Mejora</t>
        </is>
      </c>
      <c r="P41" t="inlineStr">
        <is>
          <t>Fortaleza/Logro</t>
        </is>
      </c>
      <c r="Q41" t="inlineStr">
        <is>
          <t>Total general</t>
        </is>
      </c>
    </row>
    <row r="42">
      <c r="A42" s="15" t="inlineStr">
        <is>
          <t>Conductual</t>
        </is>
      </c>
      <c r="B42" s="9">
        <f>+CONCATENATE(LEFT(D42,3),"-",C42)</f>
        <v/>
      </c>
      <c r="C42" s="16" t="inlineStr">
        <is>
          <t>31. Mantiene el orden en espacios comunes.</t>
        </is>
      </c>
      <c r="D42" s="17" t="inlineStr">
        <is>
          <t>Fortaleza/Logro</t>
        </is>
      </c>
      <c r="E42" s="11" t="n">
        <v>12</v>
      </c>
      <c r="F42">
        <f>VLOOKUP(G42, $L$3:$N$7, 3, 1)</f>
        <v/>
      </c>
      <c r="G42">
        <f>+E42</f>
        <v/>
      </c>
      <c r="H42">
        <f>VLOOKUP(F42, REGLA1, 2, FALSE)</f>
        <v/>
      </c>
      <c r="I42" t="inlineStr">
        <is>
          <t>OCTAVO</t>
        </is>
      </c>
      <c r="J42" t="inlineStr">
        <is>
          <t>TM</t>
        </is>
      </c>
      <c r="K42">
        <f>+E42/$L$1</f>
        <v/>
      </c>
      <c r="N42" s="3" t="inlineStr">
        <is>
          <t>Académica</t>
        </is>
      </c>
      <c r="O42" t="n">
        <v>19</v>
      </c>
      <c r="P42" t="n">
        <v>99</v>
      </c>
      <c r="Q42" t="n">
        <v>118</v>
      </c>
    </row>
    <row r="43">
      <c r="A43" s="15" t="inlineStr">
        <is>
          <t>Socio-Emocional</t>
        </is>
      </c>
      <c r="B43" s="9">
        <f>+CONCATENATE(LEFT(D43,3),"-",C43)</f>
        <v/>
      </c>
      <c r="C43" s="16" t="inlineStr">
        <is>
          <t>33. Muestra resiliencia ante el fracaso.</t>
        </is>
      </c>
      <c r="D43" s="17" t="inlineStr">
        <is>
          <t>Fortaleza/Logro</t>
        </is>
      </c>
      <c r="E43" s="11" t="n">
        <v>11</v>
      </c>
      <c r="F43">
        <f>VLOOKUP(G43, $L$3:$N$7, 3, 1)</f>
        <v/>
      </c>
      <c r="G43">
        <f>+E43</f>
        <v/>
      </c>
      <c r="H43">
        <f>VLOOKUP(F43, REGLA1, 2, FALSE)</f>
        <v/>
      </c>
      <c r="I43" t="inlineStr">
        <is>
          <t>OCTAVO</t>
        </is>
      </c>
      <c r="J43" t="inlineStr">
        <is>
          <t>TM</t>
        </is>
      </c>
      <c r="K43">
        <f>+E43/$L$1</f>
        <v/>
      </c>
      <c r="N43" s="3" t="inlineStr">
        <is>
          <t>Actitudinal</t>
        </is>
      </c>
      <c r="O43" t="n">
        <v>2</v>
      </c>
      <c r="P43" t="n">
        <v>34</v>
      </c>
      <c r="Q43" t="n">
        <v>36</v>
      </c>
    </row>
    <row r="44">
      <c r="A44" s="15" t="inlineStr">
        <is>
          <t>Socio-Emocional</t>
        </is>
      </c>
      <c r="B44" s="9">
        <f>+CONCATENATE(LEFT(D44,3),"-",C44)</f>
        <v/>
      </c>
      <c r="C44" s="16" t="inlineStr">
        <is>
          <t>35. Trabaja de forma colaborativa y equitativa.</t>
        </is>
      </c>
      <c r="D44" s="17" t="inlineStr">
        <is>
          <t>Fortaleza/Logro</t>
        </is>
      </c>
      <c r="E44" s="11" t="n">
        <v>14</v>
      </c>
      <c r="F44">
        <f>VLOOKUP(G44, $L$3:$N$7, 3, 1)</f>
        <v/>
      </c>
      <c r="G44">
        <f>+E44</f>
        <v/>
      </c>
      <c r="H44">
        <f>VLOOKUP(F44, REGLA1, 2, FALSE)</f>
        <v/>
      </c>
      <c r="I44" t="inlineStr">
        <is>
          <t>OCTAVO</t>
        </is>
      </c>
      <c r="J44" t="inlineStr">
        <is>
          <t>TM</t>
        </is>
      </c>
      <c r="K44">
        <f>+E44/$L$1</f>
        <v/>
      </c>
      <c r="N44" s="3" t="inlineStr">
        <is>
          <t>Conductual</t>
        </is>
      </c>
      <c r="O44" t="n">
        <v>4</v>
      </c>
      <c r="P44" t="n">
        <v>105</v>
      </c>
      <c r="Q44" t="n">
        <v>109</v>
      </c>
    </row>
    <row r="45">
      <c r="A45" s="15" t="inlineStr">
        <is>
          <t>Socio-Emocional</t>
        </is>
      </c>
      <c r="B45" s="9">
        <f>+CONCATENATE(LEFT(D45,3),"-",C45)</f>
        <v/>
      </c>
      <c r="C45" s="16" t="inlineStr">
        <is>
          <t>37. Es empático con las necesidades ajenas.</t>
        </is>
      </c>
      <c r="D45" s="17" t="inlineStr">
        <is>
          <t>Fortaleza/Logro</t>
        </is>
      </c>
      <c r="E45" s="11" t="n">
        <v>13</v>
      </c>
      <c r="F45">
        <f>VLOOKUP(G45, $L$3:$N$7, 3, 1)</f>
        <v/>
      </c>
      <c r="G45">
        <f>+E45</f>
        <v/>
      </c>
      <c r="H45">
        <f>VLOOKUP(F45, REGLA1, 2, FALSE)</f>
        <v/>
      </c>
      <c r="I45" t="inlineStr">
        <is>
          <t>OCTAVO</t>
        </is>
      </c>
      <c r="J45" t="inlineStr">
        <is>
          <t>TM</t>
        </is>
      </c>
      <c r="K45">
        <f>+E45/$L$1</f>
        <v/>
      </c>
      <c r="N45" s="3" t="inlineStr">
        <is>
          <t>Socio-Emocional</t>
        </is>
      </c>
      <c r="O45" t="n">
        <v>9</v>
      </c>
      <c r="P45" t="n">
        <v>72</v>
      </c>
      <c r="Q45" t="n">
        <v>81</v>
      </c>
    </row>
    <row r="46">
      <c r="A46" s="15" t="inlineStr">
        <is>
          <t>Socio-Emocional</t>
        </is>
      </c>
      <c r="B46" s="9">
        <f>+CONCATENATE(LEFT(D46,3),"-",C46)</f>
        <v/>
      </c>
      <c r="C46" s="16" t="inlineStr">
        <is>
          <t>39. Posee un liderazgo positivo y ético.</t>
        </is>
      </c>
      <c r="D46" s="17" t="inlineStr">
        <is>
          <t>Fortaleza/Logro</t>
        </is>
      </c>
      <c r="E46" s="11" t="n">
        <v>11</v>
      </c>
      <c r="F46">
        <f>VLOOKUP(G46, $L$3:$N$7, 3, 1)</f>
        <v/>
      </c>
      <c r="G46">
        <f>+E46</f>
        <v/>
      </c>
      <c r="H46">
        <f>VLOOKUP(F46, REGLA1, 2, FALSE)</f>
        <v/>
      </c>
      <c r="I46" t="inlineStr">
        <is>
          <t>OCTAVO</t>
        </is>
      </c>
      <c r="J46" t="inlineStr">
        <is>
          <t>TM</t>
        </is>
      </c>
      <c r="K46">
        <f>+E46/$L$1</f>
        <v/>
      </c>
      <c r="N46" s="3" t="inlineStr">
        <is>
          <t>Total general</t>
        </is>
      </c>
      <c r="O46" t="n">
        <v>34</v>
      </c>
      <c r="P46" t="n">
        <v>310</v>
      </c>
      <c r="Q46" t="n">
        <v>344</v>
      </c>
    </row>
    <row r="47">
      <c r="A47" s="15" t="inlineStr">
        <is>
          <t>Socio-Emocional</t>
        </is>
      </c>
      <c r="B47" s="9">
        <f>+CONCATENATE(LEFT(D47,3),"-",C47)</f>
        <v/>
      </c>
      <c r="C47" s="16" t="inlineStr">
        <is>
          <t>41. Se comunica de manera asertiva.</t>
        </is>
      </c>
      <c r="D47" s="17" t="inlineStr">
        <is>
          <t>Fortaleza/Logro</t>
        </is>
      </c>
      <c r="E47" s="11" t="n">
        <v>12</v>
      </c>
      <c r="F47">
        <f>VLOOKUP(G47, $L$3:$N$7, 3, 1)</f>
        <v/>
      </c>
      <c r="G47">
        <f>+E47</f>
        <v/>
      </c>
      <c r="H47">
        <f>VLOOKUP(F47, REGLA1, 2, FALSE)</f>
        <v/>
      </c>
      <c r="I47" t="inlineStr">
        <is>
          <t>OCTAVO</t>
        </is>
      </c>
      <c r="J47" t="inlineStr">
        <is>
          <t>TM</t>
        </is>
      </c>
      <c r="K47">
        <f>+E47/$L$1</f>
        <v/>
      </c>
    </row>
    <row r="48">
      <c r="A48" s="15" t="inlineStr">
        <is>
          <t>Socio-Emocional</t>
        </is>
      </c>
      <c r="B48" s="9">
        <f>+CONCATENATE(LEFT(D48,3),"-",C48)</f>
        <v/>
      </c>
      <c r="C48" s="16" t="inlineStr">
        <is>
          <t>43. Tiene una autoestima académica sólida.</t>
        </is>
      </c>
      <c r="D48" s="17" t="inlineStr">
        <is>
          <t>Fortaleza/Logro</t>
        </is>
      </c>
      <c r="E48" s="11" t="n">
        <v>12</v>
      </c>
      <c r="F48">
        <f>VLOOKUP(G48, $L$3:$N$7, 3, 1)</f>
        <v/>
      </c>
      <c r="G48">
        <f>+E48</f>
        <v/>
      </c>
      <c r="H48">
        <f>VLOOKUP(F48, REGLA1, 2, FALSE)</f>
        <v/>
      </c>
      <c r="I48" t="inlineStr">
        <is>
          <t>OCTAVO</t>
        </is>
      </c>
      <c r="J48" t="inlineStr">
        <is>
          <t>TM</t>
        </is>
      </c>
      <c r="K48">
        <f>+E48/$L$1</f>
        <v/>
      </c>
      <c r="O48" s="1" t="inlineStr">
        <is>
          <t>Etiquetas de columna</t>
        </is>
      </c>
    </row>
    <row r="49">
      <c r="A49" s="15" t="inlineStr">
        <is>
          <t>Actitudinal</t>
        </is>
      </c>
      <c r="B49" s="9">
        <f>+CONCATENATE(LEFT(D49,3),"-",C49)</f>
        <v/>
      </c>
      <c r="C49" s="16" t="inlineStr">
        <is>
          <t>45. Muestra curiosidad e iniciativa propia.</t>
        </is>
      </c>
      <c r="D49" s="17" t="inlineStr">
        <is>
          <t>Fortaleza/Logro</t>
        </is>
      </c>
      <c r="E49" s="11" t="n">
        <v>14</v>
      </c>
      <c r="F49">
        <f>VLOOKUP(G49, $L$3:$N$7, 3, 1)</f>
        <v/>
      </c>
      <c r="G49">
        <f>+E49</f>
        <v/>
      </c>
      <c r="H49">
        <f>VLOOKUP(F49, REGLA1, 2, FALSE)</f>
        <v/>
      </c>
      <c r="I49" t="inlineStr">
        <is>
          <t>OCTAVO</t>
        </is>
      </c>
      <c r="J49" t="inlineStr">
        <is>
          <t>TM</t>
        </is>
      </c>
      <c r="K49">
        <f>+E49/$L$1</f>
        <v/>
      </c>
      <c r="O49" t="inlineStr">
        <is>
          <t>Alerta/Mejora</t>
        </is>
      </c>
      <c r="P49" t="inlineStr">
        <is>
          <t>Fortaleza/Logro</t>
        </is>
      </c>
      <c r="Q49" t="inlineStr">
        <is>
          <t>(en blanco)</t>
        </is>
      </c>
      <c r="R49" t="inlineStr">
        <is>
          <t>Total general</t>
        </is>
      </c>
    </row>
    <row r="50">
      <c r="A50" s="15" t="inlineStr">
        <is>
          <t>Actitudinal</t>
        </is>
      </c>
      <c r="B50" s="9">
        <f>+CONCATENATE(LEFT(D50,3),"-",C50)</f>
        <v/>
      </c>
      <c r="C50" s="16" t="inlineStr">
        <is>
          <t>47. Es persistente en tareas complejas.</t>
        </is>
      </c>
      <c r="D50" s="17" t="inlineStr">
        <is>
          <t>Fortaleza/Logro</t>
        </is>
      </c>
      <c r="E50" s="11" t="n">
        <v>11</v>
      </c>
      <c r="F50">
        <f>VLOOKUP(G50, $L$3:$N$7, 3, 1)</f>
        <v/>
      </c>
      <c r="G50">
        <f>+E50</f>
        <v/>
      </c>
      <c r="H50">
        <f>VLOOKUP(F50, REGLA1, 2, FALSE)</f>
        <v/>
      </c>
      <c r="I50" t="inlineStr">
        <is>
          <t>OCTAVO</t>
        </is>
      </c>
      <c r="J50" t="inlineStr">
        <is>
          <t>TM</t>
        </is>
      </c>
      <c r="K50">
        <f>+E50/$L$1</f>
        <v/>
      </c>
      <c r="N50" t="inlineStr">
        <is>
          <t>Suma de Cantidad de veces</t>
        </is>
      </c>
      <c r="O50" t="n">
        <v>34</v>
      </c>
      <c r="P50" t="n">
        <v>310</v>
      </c>
      <c r="R50" t="n">
        <v>344</v>
      </c>
    </row>
    <row r="51">
      <c r="A51" s="15" t="inlineStr">
        <is>
          <t>Actitudinal</t>
        </is>
      </c>
      <c r="B51" s="9">
        <f>+CONCATENATE(LEFT(D51,3),"-",C51)</f>
        <v/>
      </c>
      <c r="C51" s="16" t="inlineStr">
        <is>
          <t>49. Acepta retroalimentación constructiva.</t>
        </is>
      </c>
      <c r="D51" s="17" t="inlineStr">
        <is>
          <t>Fortaleza/Logro</t>
        </is>
      </c>
      <c r="E51" s="11" t="n">
        <v>13</v>
      </c>
      <c r="F51">
        <f>VLOOKUP(G51, $L$3:$N$7, 3, 1)</f>
        <v/>
      </c>
      <c r="G51">
        <f>+E51</f>
        <v/>
      </c>
      <c r="H51">
        <f>VLOOKUP(F51, REGLA1, 2, FALSE)</f>
        <v/>
      </c>
      <c r="I51" t="inlineStr">
        <is>
          <t>OCTAVO</t>
        </is>
      </c>
      <c r="J51" t="inlineStr">
        <is>
          <t>TM</t>
        </is>
      </c>
      <c r="K51">
        <f>+E51/$L$1</f>
        <v/>
      </c>
    </row>
    <row r="52"/>
    <row r="53"/>
    <row r="54">
      <c r="N54" t="inlineStr">
        <is>
          <t xml:space="preserve">Nota </t>
        </is>
      </c>
      <c r="O54" t="inlineStr">
        <is>
          <t>Cantidad de alumnos</t>
        </is>
      </c>
      <c r="Q54" t="inlineStr">
        <is>
          <t>% de Alumnos</t>
        </is>
      </c>
    </row>
    <row r="55">
      <c r="N55" t="n">
        <v>1</v>
      </c>
      <c r="O55">
        <f>ROUND((COUNTIF($F$2:$F$51, N55) / 50) * $L$1, 0)</f>
        <v/>
      </c>
      <c r="Q55" s="18">
        <f>+O55/O$60</f>
        <v/>
      </c>
      <c r="S55" t="inlineStr">
        <is>
          <t xml:space="preserve">Muy bueno </t>
        </is>
      </c>
      <c r="T55">
        <f>+O59+O58</f>
        <v/>
      </c>
      <c r="U55" s="18">
        <f>+T55/O$60</f>
        <v/>
      </c>
    </row>
    <row r="56">
      <c r="N56" t="n">
        <v>2</v>
      </c>
      <c r="O56">
        <f>ROUND((COUNTIF($F$2:$F$51, N56) / 50) * $L$1, 0)</f>
        <v/>
      </c>
      <c r="Q56" s="18">
        <f>+O56/O$60</f>
        <v/>
      </c>
      <c r="S56" t="inlineStr">
        <is>
          <t>Bueno</t>
        </is>
      </c>
      <c r="T56">
        <f>+O57</f>
        <v/>
      </c>
      <c r="U56" s="18">
        <f>+T56/O$60</f>
        <v/>
      </c>
    </row>
    <row r="57">
      <c r="N57" t="n">
        <v>3</v>
      </c>
      <c r="O57">
        <f>ROUND((COUNTIF($F$2:$F$51, N57) / 50) * $L$1, 0)</f>
        <v/>
      </c>
      <c r="Q57" s="18">
        <f>+O57/O$60</f>
        <v/>
      </c>
      <c r="S57" t="inlineStr">
        <is>
          <t>A mejorar</t>
        </is>
      </c>
      <c r="T57">
        <f>+O55+O56</f>
        <v/>
      </c>
      <c r="U57" s="18">
        <f>+T57/O$60</f>
        <v/>
      </c>
    </row>
    <row r="58">
      <c r="N58" t="n">
        <v>4</v>
      </c>
      <c r="O58">
        <f>ROUND((COUNTIF($F$2:$F$51, N58) / 50) * $L$1, 0)</f>
        <v/>
      </c>
      <c r="Q58" s="18">
        <f>+O58/O$60</f>
        <v/>
      </c>
    </row>
    <row r="59">
      <c r="N59" t="n">
        <v>5</v>
      </c>
      <c r="O59">
        <f>ROUND((COUNTIF($F$2:$F$51, N59) / 50) * $L$1, 0)</f>
        <v/>
      </c>
      <c r="Q59" s="18">
        <f>+O59/O$60</f>
        <v/>
      </c>
    </row>
    <row r="60">
      <c r="O60">
        <f>SUM(O55:O59)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cols>
    <col width="18.28515625" customWidth="1" min="1" max="1"/>
    <col width="58.42578125" customWidth="1" min="2" max="2"/>
    <col width="60.140625" customWidth="1" min="3" max="3"/>
    <col width="20.140625" customWidth="1" min="4" max="4"/>
    <col width="17.140625" customWidth="1" min="5" max="5"/>
    <col width="6.85546875" customWidth="1" min="6" max="6"/>
    <col width="3.7109375" customWidth="1" min="7" max="7"/>
    <col width="12.42578125" customWidth="1" min="8" max="8"/>
    <col width="8.85546875" customWidth="1" min="9" max="9"/>
    <col width="8.85546875" customWidth="1" min="10" max="10"/>
    <col width="11" customWidth="1" min="11" max="11"/>
    <col width="3.7109375" customWidth="1" min="12" max="12"/>
    <col width="26" customWidth="1" min="14" max="14"/>
    <col width="22.85546875" customWidth="1" min="15" max="15"/>
    <col width="14.85546875" customWidth="1" min="16" max="16"/>
    <col width="11.140625" customWidth="1" min="17" max="17"/>
    <col width="12.5703125" customWidth="1" min="18" max="18"/>
  </cols>
  <sheetData>
    <row r="1">
      <c r="A1" s="4" t="inlineStr">
        <is>
          <t>Categoría</t>
        </is>
      </c>
      <c r="B1" s="5" t="inlineStr">
        <is>
          <t xml:space="preserve">Indicador </t>
        </is>
      </c>
      <c r="C1" s="5" t="inlineStr">
        <is>
          <t xml:space="preserve">Indicador </t>
        </is>
      </c>
      <c r="D1" s="6" t="inlineStr">
        <is>
          <t>Tipo de Indicador</t>
        </is>
      </c>
      <c r="E1" s="7" t="inlineStr">
        <is>
          <t>Cantidad de veces</t>
        </is>
      </c>
      <c r="F1" t="inlineStr">
        <is>
          <t>NOTA</t>
        </is>
      </c>
      <c r="G1" t="inlineStr">
        <is>
          <t>PR</t>
        </is>
      </c>
      <c r="H1" t="inlineStr">
        <is>
          <t>VALORACION</t>
        </is>
      </c>
      <c r="I1" t="inlineStr">
        <is>
          <t>GRADO</t>
        </is>
      </c>
      <c r="J1" t="inlineStr">
        <is>
          <t>TURNO</t>
        </is>
      </c>
      <c r="K1" t="inlineStr">
        <is>
          <t>NF</t>
        </is>
      </c>
      <c r="L1" t="n">
        <v>42</v>
      </c>
      <c r="N1">
        <f>+GETPIVOTDATA("Cantidad de veces",$N$48)</f>
        <v/>
      </c>
    </row>
    <row r="2">
      <c r="A2" s="8" t="inlineStr">
        <is>
          <t>Académica</t>
        </is>
      </c>
      <c r="B2" s="9">
        <f>+CONCATENATE(LEFT(D2,3),"-",C2)</f>
        <v/>
      </c>
      <c r="C2" s="9" t="inlineStr">
        <is>
          <t>02. Presenta lagunas en conocimientos previos.</t>
        </is>
      </c>
      <c r="D2" s="10" t="inlineStr">
        <is>
          <t>Alerta/Mejora</t>
        </is>
      </c>
      <c r="E2" s="11" t="n">
        <v>14</v>
      </c>
      <c r="F2">
        <f>VLOOKUP(G2, $L$3:$N$7, 3, 1)</f>
        <v/>
      </c>
      <c r="G2">
        <f>+L$1-E2</f>
        <v/>
      </c>
      <c r="H2">
        <f>VLOOKUP(F2, REGLA1, 2, FALSE)</f>
        <v/>
      </c>
      <c r="I2" t="inlineStr">
        <is>
          <t>NOVENO</t>
        </is>
      </c>
      <c r="J2" t="inlineStr">
        <is>
          <t>TM</t>
        </is>
      </c>
      <c r="K2">
        <f>+E2/$L$1</f>
        <v/>
      </c>
    </row>
    <row r="3">
      <c r="A3" s="8" t="inlineStr">
        <is>
          <t>Académica</t>
        </is>
      </c>
      <c r="B3" s="9">
        <f>+CONCATENATE(LEFT(D3,3),"-",C3)</f>
        <v/>
      </c>
      <c r="C3" s="9" t="inlineStr">
        <is>
          <t>04. Se limita a memorizar sin comprender.</t>
        </is>
      </c>
      <c r="D3" s="10" t="inlineStr">
        <is>
          <t>Alerta/Mejora</t>
        </is>
      </c>
      <c r="E3" s="11" t="n">
        <v>12</v>
      </c>
      <c r="F3">
        <f>VLOOKUP(G3, $L$3:$N$7, 3, 1)</f>
        <v/>
      </c>
      <c r="G3">
        <f>+L$1-E3</f>
        <v/>
      </c>
      <c r="H3">
        <f>VLOOKUP(F3, REGLA1, 2, FALSE)</f>
        <v/>
      </c>
      <c r="I3" t="inlineStr">
        <is>
          <t>NOVENO</t>
        </is>
      </c>
      <c r="J3" t="inlineStr">
        <is>
          <t>TM</t>
        </is>
      </c>
      <c r="K3">
        <f>+E3/$L$1</f>
        <v/>
      </c>
      <c r="L3" s="12" t="n">
        <v>0</v>
      </c>
      <c r="M3" s="12" t="n">
        <v>24</v>
      </c>
      <c r="N3" s="13" t="n">
        <v>1</v>
      </c>
      <c r="P3" s="1" t="inlineStr">
        <is>
          <t>Etiquetas de fila</t>
        </is>
      </c>
      <c r="Q3" t="inlineStr">
        <is>
          <t>Suma de Cantidad de veces</t>
        </is>
      </c>
    </row>
    <row r="4">
      <c r="A4" s="8" t="inlineStr">
        <is>
          <t>Académica</t>
        </is>
      </c>
      <c r="B4" s="9">
        <f>+CONCATENATE(LEFT(D4,3),"-",C4)</f>
        <v/>
      </c>
      <c r="C4" s="9" t="inlineStr">
        <is>
          <t>06. Entrega tareas incompletas o descuidadas.</t>
        </is>
      </c>
      <c r="D4" s="10" t="inlineStr">
        <is>
          <t>Alerta/Mejora</t>
        </is>
      </c>
      <c r="E4" s="11" t="n">
        <v>9</v>
      </c>
      <c r="F4">
        <f>VLOOKUP(G4, $L$3:$N$7, 3, 1)</f>
        <v/>
      </c>
      <c r="G4">
        <f>+L$1-E4</f>
        <v/>
      </c>
      <c r="H4">
        <f>VLOOKUP(F4, REGLA1, 2, FALSE)</f>
        <v/>
      </c>
      <c r="I4" t="inlineStr">
        <is>
          <t>NOVENO</t>
        </is>
      </c>
      <c r="J4" t="inlineStr">
        <is>
          <t>TM</t>
        </is>
      </c>
      <c r="K4">
        <f>+E4/$L$1</f>
        <v/>
      </c>
      <c r="L4" s="12" t="n">
        <v>25</v>
      </c>
      <c r="M4" s="12" t="n">
        <v>28</v>
      </c>
      <c r="N4" s="13" t="n">
        <v>2</v>
      </c>
      <c r="P4" s="3" t="inlineStr">
        <is>
          <t>Alerta/Mejora</t>
        </is>
      </c>
      <c r="Q4" t="n">
        <v>34</v>
      </c>
    </row>
    <row r="5">
      <c r="A5" s="8" t="inlineStr">
        <is>
          <t>Académica</t>
        </is>
      </c>
      <c r="B5" s="9">
        <f>+CONCATENATE(LEFT(D5,3),"-",C5)</f>
        <v/>
      </c>
      <c r="C5" s="9" t="inlineStr">
        <is>
          <t>08. Se bloquea ante desafíos matemáticos.</t>
        </is>
      </c>
      <c r="D5" s="10" t="inlineStr">
        <is>
          <t>Alerta/Mejora</t>
        </is>
      </c>
      <c r="E5" s="11" t="n">
        <v>15</v>
      </c>
      <c r="F5">
        <f>VLOOKUP(G5, $L$3:$N$7, 3, 1)</f>
        <v/>
      </c>
      <c r="G5">
        <f>+L$1-E5</f>
        <v/>
      </c>
      <c r="H5">
        <f>VLOOKUP(F5, REGLA1, 2, FALSE)</f>
        <v/>
      </c>
      <c r="I5" t="inlineStr">
        <is>
          <t>NOVENO</t>
        </is>
      </c>
      <c r="J5" t="inlineStr">
        <is>
          <t>TM</t>
        </is>
      </c>
      <c r="K5">
        <f>+E5/$L$1</f>
        <v/>
      </c>
      <c r="L5" s="12" t="n">
        <v>29</v>
      </c>
      <c r="M5" s="12" t="n">
        <v>33</v>
      </c>
      <c r="N5" s="13" t="n">
        <v>3</v>
      </c>
      <c r="P5" s="3" t="inlineStr">
        <is>
          <t>Fortaleza/Logro</t>
        </is>
      </c>
      <c r="Q5" t="n">
        <v>310</v>
      </c>
    </row>
    <row r="6">
      <c r="A6" s="8" t="inlineStr">
        <is>
          <t>Académica</t>
        </is>
      </c>
      <c r="B6" s="9">
        <f>+CONCATENATE(LEFT(D6,3),"-",C6)</f>
        <v/>
      </c>
      <c r="C6" s="9" t="inlineStr">
        <is>
          <t>10. Tiene dificultades de expresión oral/escrita.</t>
        </is>
      </c>
      <c r="D6" s="10" t="inlineStr">
        <is>
          <t>Alerta/Mejora</t>
        </is>
      </c>
      <c r="E6" s="11" t="n">
        <v>8</v>
      </c>
      <c r="F6">
        <f>VLOOKUP(G6, $L$3:$N$7, 3, 1)</f>
        <v/>
      </c>
      <c r="G6">
        <f>+L$1-E6</f>
        <v/>
      </c>
      <c r="H6">
        <f>VLOOKUP(F6, REGLA1, 2, FALSE)</f>
        <v/>
      </c>
      <c r="I6" t="inlineStr">
        <is>
          <t>NOVENO</t>
        </is>
      </c>
      <c r="J6" t="inlineStr">
        <is>
          <t>TM</t>
        </is>
      </c>
      <c r="K6">
        <f>+E6/$L$1</f>
        <v/>
      </c>
      <c r="L6" s="12" t="n">
        <v>34</v>
      </c>
      <c r="M6" s="12" t="n">
        <v>38</v>
      </c>
      <c r="N6" s="13" t="n">
        <v>4</v>
      </c>
      <c r="P6" s="3" t="inlineStr">
        <is>
          <t>Total general</t>
        </is>
      </c>
      <c r="Q6" t="n">
        <v>344</v>
      </c>
    </row>
    <row r="7">
      <c r="A7" s="8" t="inlineStr">
        <is>
          <t>Académica</t>
        </is>
      </c>
      <c r="B7" s="9">
        <f>+CONCATENATE(LEFT(D7,3),"-",C7)</f>
        <v/>
      </c>
      <c r="C7" s="9" t="inlineStr">
        <is>
          <t>12. Muestra rechazo o desinterés por la lectura.</t>
        </is>
      </c>
      <c r="D7" s="10" t="inlineStr">
        <is>
          <t>Alerta/Mejora</t>
        </is>
      </c>
      <c r="E7" s="11" t="n">
        <v>3</v>
      </c>
      <c r="F7">
        <f>VLOOKUP(G7, $L$3:$N$7, 3, 1)</f>
        <v/>
      </c>
      <c r="G7">
        <f>+L$1-E7</f>
        <v/>
      </c>
      <c r="H7">
        <f>VLOOKUP(F7, REGLA1, 2, FALSE)</f>
        <v/>
      </c>
      <c r="I7" t="inlineStr">
        <is>
          <t>NOVENO</t>
        </is>
      </c>
      <c r="J7" t="inlineStr">
        <is>
          <t>TM</t>
        </is>
      </c>
      <c r="K7">
        <f>+E7/$L$1</f>
        <v/>
      </c>
      <c r="L7" s="12" t="n">
        <v>39</v>
      </c>
      <c r="M7" s="12" t="n">
        <v>42</v>
      </c>
      <c r="N7" s="13" t="n">
        <v>5</v>
      </c>
    </row>
    <row r="8">
      <c r="A8" s="8" t="inlineStr">
        <is>
          <t>Académica</t>
        </is>
      </c>
      <c r="B8" s="9">
        <f>+CONCATENATE(LEFT(D8,3),"-",C8)</f>
        <v/>
      </c>
      <c r="C8" s="9" t="inlineStr">
        <is>
          <t>14. Requiere supervisión constante para avanzar.</t>
        </is>
      </c>
      <c r="D8" s="10" t="inlineStr">
        <is>
          <t>Alerta/Mejora</t>
        </is>
      </c>
      <c r="E8" s="11" t="n">
        <v>7</v>
      </c>
      <c r="F8">
        <f>VLOOKUP(G8, $L$3:$N$7, 3, 1)</f>
        <v/>
      </c>
      <c r="G8">
        <f>+L$1-E8</f>
        <v/>
      </c>
      <c r="H8">
        <f>VLOOKUP(F8, REGLA1, 2, FALSE)</f>
        <v/>
      </c>
      <c r="I8" t="inlineStr">
        <is>
          <t>NOVENO</t>
        </is>
      </c>
      <c r="J8" t="inlineStr">
        <is>
          <t>TM</t>
        </is>
      </c>
      <c r="K8">
        <f>+E8/$L$1</f>
        <v/>
      </c>
    </row>
    <row r="9">
      <c r="A9" s="8" t="inlineStr">
        <is>
          <t>Académica</t>
        </is>
      </c>
      <c r="B9" s="9">
        <f>+CONCATENATE(LEFT(D9,3),"-",C9)</f>
        <v/>
      </c>
      <c r="C9" s="9" t="inlineStr">
        <is>
          <t>16. Muestra apatía por temas nuevos.</t>
        </is>
      </c>
      <c r="D9" s="10" t="inlineStr">
        <is>
          <t>Alerta/Mejora</t>
        </is>
      </c>
      <c r="E9" s="11" t="n">
        <v>5</v>
      </c>
      <c r="F9">
        <f>VLOOKUP(G9, $L$3:$N$7, 3, 1)</f>
        <v/>
      </c>
      <c r="G9">
        <f>+L$1-E9</f>
        <v/>
      </c>
      <c r="H9">
        <f>VLOOKUP(F9, REGLA1, 2, FALSE)</f>
        <v/>
      </c>
      <c r="I9" t="inlineStr">
        <is>
          <t>NOVENO</t>
        </is>
      </c>
      <c r="J9" t="inlineStr">
        <is>
          <t>TM</t>
        </is>
      </c>
      <c r="K9">
        <f>+E9/$L$1</f>
        <v/>
      </c>
    </row>
    <row r="10">
      <c r="A10" s="8" t="inlineStr">
        <is>
          <t>Conductual</t>
        </is>
      </c>
      <c r="B10" s="9">
        <f>+CONCATENATE(LEFT(D10,3),"-",C10)</f>
        <v/>
      </c>
      <c r="C10" s="9" t="inlineStr">
        <is>
          <t>18. Desafía activamente la autoridad.</t>
        </is>
      </c>
      <c r="D10" s="10" t="inlineStr">
        <is>
          <t>Alerta/Mejora</t>
        </is>
      </c>
      <c r="E10" s="11" t="n">
        <v>2</v>
      </c>
      <c r="F10">
        <f>VLOOKUP(G10, $L$3:$N$7, 3, 1)</f>
        <v/>
      </c>
      <c r="G10">
        <f>+L$1-E10</f>
        <v/>
      </c>
      <c r="H10">
        <f>VLOOKUP(F10, REGLA1, 2, FALSE)</f>
        <v/>
      </c>
      <c r="I10" t="inlineStr">
        <is>
          <t>NOVENO</t>
        </is>
      </c>
      <c r="J10" t="inlineStr">
        <is>
          <t>TM</t>
        </is>
      </c>
      <c r="K10">
        <f>+E10/$L$1</f>
        <v/>
      </c>
    </row>
    <row r="11">
      <c r="A11" s="8" t="inlineStr">
        <is>
          <t>Conductual</t>
        </is>
      </c>
      <c r="B11" s="9">
        <f>+CONCATENATE(LEFT(D11,3),"-",C11)</f>
        <v/>
      </c>
      <c r="C11" s="9" t="inlineStr">
        <is>
          <t>20. Presenta retardos o inasistencias frecuentes.</t>
        </is>
      </c>
      <c r="D11" s="10" t="inlineStr">
        <is>
          <t>Alerta/Mejora</t>
        </is>
      </c>
      <c r="E11" s="11" t="n">
        <v>4</v>
      </c>
      <c r="F11">
        <f>VLOOKUP(G11, $L$3:$N$7, 3, 1)</f>
        <v/>
      </c>
      <c r="G11">
        <f>+L$1-E11</f>
        <v/>
      </c>
      <c r="H11">
        <f>VLOOKUP(F11, REGLA1, 2, FALSE)</f>
        <v/>
      </c>
      <c r="I11" t="inlineStr">
        <is>
          <t>NOVENO</t>
        </is>
      </c>
      <c r="J11" t="inlineStr">
        <is>
          <t>TM</t>
        </is>
      </c>
      <c r="K11">
        <f>+E11/$L$1</f>
        <v/>
      </c>
    </row>
    <row r="12">
      <c r="A12" s="8" t="inlineStr">
        <is>
          <t>Conductual</t>
        </is>
      </c>
      <c r="B12" s="9">
        <f>+CONCATENATE(LEFT(D12,3),"-",C12)</f>
        <v/>
      </c>
      <c r="C12" s="9" t="inlineStr">
        <is>
          <t>22. Daña el mobiliario o materiales escolares.</t>
        </is>
      </c>
      <c r="D12" s="10" t="inlineStr">
        <is>
          <t>Alerta/Mejora</t>
        </is>
      </c>
      <c r="E12" s="11" t="n">
        <v>0</v>
      </c>
      <c r="F12">
        <f>VLOOKUP(G12, $L$3:$N$7, 3, 1)</f>
        <v/>
      </c>
      <c r="G12">
        <f>+L$1-E12</f>
        <v/>
      </c>
      <c r="H12">
        <f>VLOOKUP(F12, REGLA1, 2, FALSE)</f>
        <v/>
      </c>
      <c r="I12" t="inlineStr">
        <is>
          <t>NOVENO</t>
        </is>
      </c>
      <c r="J12" t="inlineStr">
        <is>
          <t>TM</t>
        </is>
      </c>
      <c r="K12">
        <f>+E12/$L$1</f>
        <v/>
      </c>
    </row>
    <row r="13">
      <c r="A13" s="8" t="inlineStr">
        <is>
          <t>Conductual</t>
        </is>
      </c>
      <c r="B13" s="9">
        <f>+CONCATENATE(LEFT(D13,3),"-",C13)</f>
        <v/>
      </c>
      <c r="C13" s="9" t="inlineStr">
        <is>
          <t>24. Interrumpe constantemente el flujo de clase.</t>
        </is>
      </c>
      <c r="D13" s="10" t="inlineStr">
        <is>
          <t>Alerta/Mejora</t>
        </is>
      </c>
      <c r="E13" s="11" t="n">
        <v>26</v>
      </c>
      <c r="F13">
        <f>VLOOKUP(G13, $L$3:$N$7, 3, 1)</f>
        <v/>
      </c>
      <c r="G13">
        <f>+L$1-E13</f>
        <v/>
      </c>
      <c r="H13">
        <f>VLOOKUP(F13, REGLA1, 2, FALSE)</f>
        <v/>
      </c>
      <c r="I13" t="inlineStr">
        <is>
          <t>NOVENO</t>
        </is>
      </c>
      <c r="J13" t="inlineStr">
        <is>
          <t>TM</t>
        </is>
      </c>
      <c r="K13">
        <f>+E13/$L$1</f>
        <v/>
      </c>
    </row>
    <row r="14">
      <c r="A14" s="8" t="inlineStr">
        <is>
          <t>Conductual</t>
        </is>
      </c>
      <c r="B14" s="9">
        <f>+CONCATENATE(LEFT(D14,3),"-",C14)</f>
        <v/>
      </c>
      <c r="C14" s="9" t="inlineStr">
        <is>
          <t>26. Emplea lenguaje soez o despectivo.</t>
        </is>
      </c>
      <c r="D14" s="10" t="inlineStr">
        <is>
          <t>Alerta/Mejora</t>
        </is>
      </c>
      <c r="E14" s="11" t="n">
        <v>0</v>
      </c>
      <c r="F14">
        <f>VLOOKUP(G14, $L$3:$N$7, 3, 1)</f>
        <v/>
      </c>
      <c r="G14">
        <f>+L$1-E14</f>
        <v/>
      </c>
      <c r="H14">
        <f>VLOOKUP(F14, REGLA1, 2, FALSE)</f>
        <v/>
      </c>
      <c r="I14" t="inlineStr">
        <is>
          <t>NOVENO</t>
        </is>
      </c>
      <c r="J14" t="inlineStr">
        <is>
          <t>TM</t>
        </is>
      </c>
      <c r="K14">
        <f>+E14/$L$1</f>
        <v/>
      </c>
    </row>
    <row r="15">
      <c r="A15" s="8" t="inlineStr">
        <is>
          <t>Conductual</t>
        </is>
      </c>
      <c r="B15" s="9">
        <f>+CONCATENATE(LEFT(D15,3),"-",C15)</f>
        <v/>
      </c>
      <c r="C15" s="9" t="inlineStr">
        <is>
          <t>28. Miente o culpa a otros por sus actos.</t>
        </is>
      </c>
      <c r="D15" s="10" t="inlineStr">
        <is>
          <t>Alerta/Mejora</t>
        </is>
      </c>
      <c r="E15" s="11" t="n">
        <v>4</v>
      </c>
      <c r="F15">
        <f>VLOOKUP(G15, $L$3:$N$7, 3, 1)</f>
        <v/>
      </c>
      <c r="G15">
        <f>+L$1-E15</f>
        <v/>
      </c>
      <c r="H15">
        <f>VLOOKUP(F15, REGLA1, 2, FALSE)</f>
        <v/>
      </c>
      <c r="I15" t="inlineStr">
        <is>
          <t>NOVENO</t>
        </is>
      </c>
      <c r="J15" t="inlineStr">
        <is>
          <t>TM</t>
        </is>
      </c>
      <c r="K15">
        <f>+E15/$L$1</f>
        <v/>
      </c>
    </row>
    <row r="16">
      <c r="A16" s="8" t="inlineStr">
        <is>
          <t>Conductual</t>
        </is>
      </c>
      <c r="B16" s="9">
        <f>+CONCATENATE(LEFT(D16,3),"-",C16)</f>
        <v/>
      </c>
      <c r="C16" s="9" t="inlineStr">
        <is>
          <t>30. Se distrae con dispositivos electrónicos.</t>
        </is>
      </c>
      <c r="D16" s="10" t="inlineStr">
        <is>
          <t>Alerta/Mejora</t>
        </is>
      </c>
      <c r="E16" s="11" t="n">
        <v>10</v>
      </c>
      <c r="F16">
        <f>VLOOKUP(G16, $L$3:$N$7, 3, 1)</f>
        <v/>
      </c>
      <c r="G16">
        <f>+L$1-E16</f>
        <v/>
      </c>
      <c r="H16">
        <f>VLOOKUP(F16, REGLA1, 2, FALSE)</f>
        <v/>
      </c>
      <c r="I16" t="inlineStr">
        <is>
          <t>NOVENO</t>
        </is>
      </c>
      <c r="J16" t="inlineStr">
        <is>
          <t>TM</t>
        </is>
      </c>
      <c r="K16">
        <f>+E16/$L$1</f>
        <v/>
      </c>
    </row>
    <row r="17">
      <c r="A17" s="8" t="inlineStr">
        <is>
          <t>Conductual</t>
        </is>
      </c>
      <c r="B17" s="9">
        <f>+CONCATENATE(LEFT(D17,3),"-",C17)</f>
        <v/>
      </c>
      <c r="C17" s="9" t="inlineStr">
        <is>
          <t>32. Fomenta el desorden o el caos en el grupo.</t>
        </is>
      </c>
      <c r="D17" s="10" t="inlineStr">
        <is>
          <t>Alerta/Mejora</t>
        </is>
      </c>
      <c r="E17" s="11" t="n">
        <v>22</v>
      </c>
      <c r="F17">
        <f>VLOOKUP(G17, $L$3:$N$7, 3, 1)</f>
        <v/>
      </c>
      <c r="G17">
        <f>+L$1-E17</f>
        <v/>
      </c>
      <c r="H17">
        <f>VLOOKUP(F17, REGLA1, 2, FALSE)</f>
        <v/>
      </c>
      <c r="I17" t="inlineStr">
        <is>
          <t>NOVENO</t>
        </is>
      </c>
      <c r="J17" t="inlineStr">
        <is>
          <t>TM</t>
        </is>
      </c>
      <c r="K17">
        <f>+E17/$L$1</f>
        <v/>
      </c>
    </row>
    <row r="18">
      <c r="A18" s="8" t="inlineStr">
        <is>
          <t>Socio-Emocional</t>
        </is>
      </c>
      <c r="B18" s="9">
        <f>+CONCATENATE(LEFT(D18,3),"-",C18)</f>
        <v/>
      </c>
      <c r="C18" s="9" t="inlineStr">
        <is>
          <t>34. Se rinde fácilmente ante la frustración.</t>
        </is>
      </c>
      <c r="D18" s="10" t="inlineStr">
        <is>
          <t>Alerta/Mejora</t>
        </is>
      </c>
      <c r="E18" s="11" t="n">
        <v>9</v>
      </c>
      <c r="F18">
        <f>VLOOKUP(G18, $L$3:$N$7, 3, 1)</f>
        <v/>
      </c>
      <c r="G18">
        <f>+L$1-E18</f>
        <v/>
      </c>
      <c r="H18">
        <f>VLOOKUP(F18, REGLA1, 2, FALSE)</f>
        <v/>
      </c>
      <c r="I18" t="inlineStr">
        <is>
          <t>NOVENO</t>
        </is>
      </c>
      <c r="J18" t="inlineStr">
        <is>
          <t>TM</t>
        </is>
      </c>
      <c r="K18">
        <f>+E18/$L$1</f>
        <v/>
      </c>
    </row>
    <row r="19">
      <c r="A19" s="8" t="inlineStr">
        <is>
          <t>Socio-Emocional</t>
        </is>
      </c>
      <c r="B19" s="9">
        <f>+CONCATENATE(LEFT(D19,3),"-",C19)</f>
        <v/>
      </c>
      <c r="C19" s="9" t="inlineStr">
        <is>
          <t>36. Trabaja de forma aislada o es individualista.</t>
        </is>
      </c>
      <c r="D19" s="10" t="inlineStr">
        <is>
          <t>Alerta/Mejora</t>
        </is>
      </c>
      <c r="E19" s="11" t="n">
        <v>3</v>
      </c>
      <c r="F19">
        <f>VLOOKUP(G19, $L$3:$N$7, 3, 1)</f>
        <v/>
      </c>
      <c r="G19">
        <f>+L$1-E19</f>
        <v/>
      </c>
      <c r="H19">
        <f>VLOOKUP(F19, REGLA1, 2, FALSE)</f>
        <v/>
      </c>
      <c r="I19" t="inlineStr">
        <is>
          <t>NOVENO</t>
        </is>
      </c>
      <c r="J19" t="inlineStr">
        <is>
          <t>TM</t>
        </is>
      </c>
      <c r="K19">
        <f>+E19/$L$1</f>
        <v/>
      </c>
    </row>
    <row r="20">
      <c r="A20" s="8" t="inlineStr">
        <is>
          <t>Socio-Emocional</t>
        </is>
      </c>
      <c r="B20" s="9">
        <f>+CONCATENATE(LEFT(D20,3),"-",C20)</f>
        <v/>
      </c>
      <c r="C20" s="9" t="inlineStr">
        <is>
          <t>38. Ignora o se burla de los sentimientos de otros.</t>
        </is>
      </c>
      <c r="D20" s="10" t="inlineStr">
        <is>
          <t>Alerta/Mejora</t>
        </is>
      </c>
      <c r="E20" s="11" t="n">
        <v>2</v>
      </c>
      <c r="F20">
        <f>VLOOKUP(G20, $L$3:$N$7, 3, 1)</f>
        <v/>
      </c>
      <c r="G20">
        <f>+L$1-E20</f>
        <v/>
      </c>
      <c r="H20">
        <f>VLOOKUP(F20, REGLA1, 2, FALSE)</f>
        <v/>
      </c>
      <c r="I20" t="inlineStr">
        <is>
          <t>NOVENO</t>
        </is>
      </c>
      <c r="J20" t="inlineStr">
        <is>
          <t>TM</t>
        </is>
      </c>
      <c r="K20">
        <f>+E20/$L$1</f>
        <v/>
      </c>
    </row>
    <row r="21">
      <c r="A21" s="8" t="inlineStr">
        <is>
          <t>Socio-Emocional</t>
        </is>
      </c>
      <c r="B21" s="9">
        <f>+CONCATENATE(LEFT(D21,3),"-",C21)</f>
        <v/>
      </c>
      <c r="C21" s="9" t="inlineStr">
        <is>
          <t>40. Ejerce presión negativa o bullying.</t>
        </is>
      </c>
      <c r="D21" s="10" t="inlineStr">
        <is>
          <t>Alerta/Mejora</t>
        </is>
      </c>
      <c r="E21" s="11" t="n">
        <v>0</v>
      </c>
      <c r="F21">
        <f>VLOOKUP(G21, $L$3:$N$7, 3, 1)</f>
        <v/>
      </c>
      <c r="G21">
        <f>+L$1-E21</f>
        <v/>
      </c>
      <c r="H21">
        <f>VLOOKUP(F21, REGLA1, 2, FALSE)</f>
        <v/>
      </c>
      <c r="I21" t="inlineStr">
        <is>
          <t>NOVENO</t>
        </is>
      </c>
      <c r="J21" t="inlineStr">
        <is>
          <t>TM</t>
        </is>
      </c>
      <c r="K21">
        <f>+E21/$L$1</f>
        <v/>
      </c>
    </row>
    <row r="22">
      <c r="A22" s="8" t="inlineStr">
        <is>
          <t>Socio-Emocional</t>
        </is>
      </c>
      <c r="B22" s="9">
        <f>+CONCATENATE(LEFT(D22,3),"-",C22)</f>
        <v/>
      </c>
      <c r="C22" s="9" t="inlineStr">
        <is>
          <t>42. Reacciona de forma agresiva o impulsiva.</t>
        </is>
      </c>
      <c r="D22" s="10" t="inlineStr">
        <is>
          <t>Alerta/Mejora</t>
        </is>
      </c>
      <c r="E22" s="11" t="n">
        <v>0</v>
      </c>
      <c r="F22">
        <f>VLOOKUP(G22, $L$3:$N$7, 3, 1)</f>
        <v/>
      </c>
      <c r="G22">
        <f>+L$1-E22</f>
        <v/>
      </c>
      <c r="H22">
        <f>VLOOKUP(F22, REGLA1, 2, FALSE)</f>
        <v/>
      </c>
      <c r="I22" t="inlineStr">
        <is>
          <t>NOVENO</t>
        </is>
      </c>
      <c r="J22" t="inlineStr">
        <is>
          <t>TM</t>
        </is>
      </c>
      <c r="K22">
        <f>+E22/$L$1</f>
        <v/>
      </c>
    </row>
    <row r="23">
      <c r="A23" s="8" t="inlineStr">
        <is>
          <t>Socio-Emocional</t>
        </is>
      </c>
      <c r="B23" s="9">
        <f>+CONCATENATE(LEFT(D23,3),"-",C23)</f>
        <v/>
      </c>
      <c r="C23" s="9" t="inlineStr">
        <is>
          <t>44. Expresa inseguridad constante ("no puedo").</t>
        </is>
      </c>
      <c r="D23" s="10" t="inlineStr">
        <is>
          <t>Alerta/Mejora</t>
        </is>
      </c>
      <c r="E23" s="11" t="n">
        <v>8</v>
      </c>
      <c r="F23">
        <f>VLOOKUP(G23, $L$3:$N$7, 3, 1)</f>
        <v/>
      </c>
      <c r="G23">
        <f>+L$1-E23</f>
        <v/>
      </c>
      <c r="H23">
        <f>VLOOKUP(F23, REGLA1, 2, FALSE)</f>
        <v/>
      </c>
      <c r="I23" t="inlineStr">
        <is>
          <t>NOVENO</t>
        </is>
      </c>
      <c r="J23" t="inlineStr">
        <is>
          <t>TM</t>
        </is>
      </c>
      <c r="K23">
        <f>+E23/$L$1</f>
        <v/>
      </c>
    </row>
    <row r="24">
      <c r="A24" s="8" t="inlineStr">
        <is>
          <t>Actitudinal</t>
        </is>
      </c>
      <c r="B24" s="9">
        <f>+CONCATENATE(LEFT(D24,3),"-",C24)</f>
        <v/>
      </c>
      <c r="C24" s="9" t="inlineStr">
        <is>
          <t>46. Requiere estímulos externos para trabajar.</t>
        </is>
      </c>
      <c r="D24" s="10" t="inlineStr">
        <is>
          <t>Alerta/Mejora</t>
        </is>
      </c>
      <c r="E24" s="11" t="n">
        <v>16</v>
      </c>
      <c r="F24">
        <f>VLOOKUP(G24, $L$3:$N$7, 3, 1)</f>
        <v/>
      </c>
      <c r="G24">
        <f>+L$1-E24</f>
        <v/>
      </c>
      <c r="H24">
        <f>VLOOKUP(F24, REGLA1, 2, FALSE)</f>
        <v/>
      </c>
      <c r="I24" t="inlineStr">
        <is>
          <t>NOVENO</t>
        </is>
      </c>
      <c r="J24" t="inlineStr">
        <is>
          <t>TM</t>
        </is>
      </c>
      <c r="K24">
        <f>+E24/$L$1</f>
        <v/>
      </c>
    </row>
    <row r="25">
      <c r="A25" s="8" t="inlineStr">
        <is>
          <t>Actitudinal</t>
        </is>
      </c>
      <c r="B25" s="9">
        <f>+CONCATENATE(LEFT(D25,3),"-",C25)</f>
        <v/>
      </c>
      <c r="C25" s="9" t="inlineStr">
        <is>
          <t>48. Abandona proyectos a mitad de camino.</t>
        </is>
      </c>
      <c r="D25" s="10" t="inlineStr">
        <is>
          <t>Alerta/Mejora</t>
        </is>
      </c>
      <c r="E25" s="11" t="n">
        <v>7</v>
      </c>
      <c r="F25">
        <f>VLOOKUP(G25, $L$3:$N$7, 3, 1)</f>
        <v/>
      </c>
      <c r="G25">
        <f>+L$1-E25</f>
        <v/>
      </c>
      <c r="H25">
        <f>VLOOKUP(F25, REGLA1, 2, FALSE)</f>
        <v/>
      </c>
      <c r="I25" t="inlineStr">
        <is>
          <t>NOVENO</t>
        </is>
      </c>
      <c r="J25" t="inlineStr">
        <is>
          <t>TM</t>
        </is>
      </c>
      <c r="K25">
        <f>+E25/$L$1</f>
        <v/>
      </c>
    </row>
    <row r="26">
      <c r="A26" s="8" t="inlineStr">
        <is>
          <t>Actitudinal</t>
        </is>
      </c>
      <c r="B26" s="9">
        <f>+CONCATENATE(LEFT(D26,3),"-",C26)</f>
        <v/>
      </c>
      <c r="C26" s="9" t="inlineStr">
        <is>
          <t>50. Se muestra a la defensiva ante críticas.</t>
        </is>
      </c>
      <c r="D26" s="10" t="inlineStr">
        <is>
          <t>Alerta/Mejora</t>
        </is>
      </c>
      <c r="E26" s="11" t="n">
        <v>4</v>
      </c>
      <c r="F26">
        <f>VLOOKUP(G26, $L$3:$N$7, 3, 1)</f>
        <v/>
      </c>
      <c r="G26">
        <f>+L$1-E26</f>
        <v/>
      </c>
      <c r="H26">
        <f>VLOOKUP(F26, REGLA1, 2, FALSE)</f>
        <v/>
      </c>
      <c r="I26" t="inlineStr">
        <is>
          <t>NOVENO</t>
        </is>
      </c>
      <c r="J26" t="inlineStr">
        <is>
          <t>TM</t>
        </is>
      </c>
      <c r="K26">
        <f>+E26/$L$1</f>
        <v/>
      </c>
    </row>
    <row r="27">
      <c r="A27" s="15" t="inlineStr">
        <is>
          <t>Académica</t>
        </is>
      </c>
      <c r="B27" s="9">
        <f>+CONCATENATE(LEFT(D27,3),"-",C27)</f>
        <v/>
      </c>
      <c r="C27" s="16" t="inlineStr">
        <is>
          <t>01. Domina los conceptos clave del grado.</t>
        </is>
      </c>
      <c r="D27" s="17" t="inlineStr">
        <is>
          <t>Fortaleza/Logro</t>
        </is>
      </c>
      <c r="E27" s="11" t="n">
        <v>16</v>
      </c>
      <c r="F27">
        <f>VLOOKUP(G27, $L$3:$N$7, 3, 1)</f>
        <v/>
      </c>
      <c r="G27">
        <f>+E27</f>
        <v/>
      </c>
      <c r="H27">
        <f>VLOOKUP(F27, REGLA1, 2, FALSE)</f>
        <v/>
      </c>
      <c r="I27" t="inlineStr">
        <is>
          <t>NOVENO</t>
        </is>
      </c>
      <c r="J27" t="inlineStr">
        <is>
          <t>TM</t>
        </is>
      </c>
      <c r="K27">
        <f>+E27/$L$1</f>
        <v/>
      </c>
    </row>
    <row r="28">
      <c r="A28" s="15" t="inlineStr">
        <is>
          <t>Académica</t>
        </is>
      </c>
      <c r="B28" s="9">
        <f>+CONCATENATE(LEFT(D28,3),"-",C28)</f>
        <v/>
      </c>
      <c r="C28" s="16" t="inlineStr">
        <is>
          <t>03. Posee un pensamiento crítico y analítico.</t>
        </is>
      </c>
      <c r="D28" s="17" t="inlineStr">
        <is>
          <t>Fortaleza/Logro</t>
        </is>
      </c>
      <c r="E28" s="11" t="n">
        <v>14</v>
      </c>
      <c r="F28">
        <f>VLOOKUP(G28, $L$3:$N$7, 3, 1)</f>
        <v/>
      </c>
      <c r="G28">
        <f>+E28</f>
        <v/>
      </c>
      <c r="H28">
        <f>VLOOKUP(F28, REGLA1, 2, FALSE)</f>
        <v/>
      </c>
      <c r="I28" t="inlineStr">
        <is>
          <t>NOVENO</t>
        </is>
      </c>
      <c r="J28" t="inlineStr">
        <is>
          <t>TM</t>
        </is>
      </c>
      <c r="K28">
        <f>+E28/$L$1</f>
        <v/>
      </c>
    </row>
    <row r="29">
      <c r="A29" s="15" t="inlineStr">
        <is>
          <t>Académica</t>
        </is>
      </c>
      <c r="B29" s="9">
        <f>+CONCATENATE(LEFT(D29,3),"-",C29)</f>
        <v/>
      </c>
      <c r="C29" s="16" t="inlineStr">
        <is>
          <t>05. Entrega trabajos con alta calidad y orden.</t>
        </is>
      </c>
      <c r="D29" s="17" t="inlineStr">
        <is>
          <t>Fortaleza/Logro</t>
        </is>
      </c>
      <c r="E29" s="11" t="n">
        <v>21</v>
      </c>
      <c r="F29">
        <f>VLOOKUP(G29, $L$3:$N$7, 3, 1)</f>
        <v/>
      </c>
      <c r="G29">
        <f>+E29</f>
        <v/>
      </c>
      <c r="H29">
        <f>VLOOKUP(F29, REGLA1, 2, FALSE)</f>
        <v/>
      </c>
      <c r="I29" t="inlineStr">
        <is>
          <t>NOVENO</t>
        </is>
      </c>
      <c r="J29" t="inlineStr">
        <is>
          <t>TM</t>
        </is>
      </c>
      <c r="K29">
        <f>+E29/$L$1</f>
        <v/>
      </c>
    </row>
    <row r="30">
      <c r="A30" s="15" t="inlineStr">
        <is>
          <t>Académica</t>
        </is>
      </c>
      <c r="B30" s="9">
        <f>+CONCATENATE(LEFT(D30,3),"-",C30)</f>
        <v/>
      </c>
      <c r="C30" s="16" t="inlineStr">
        <is>
          <t>07. Resuelve problemas lógicos con fluidez.</t>
        </is>
      </c>
      <c r="D30" s="17" t="inlineStr">
        <is>
          <t>Fortaleza/Logro</t>
        </is>
      </c>
      <c r="E30" s="11" t="n">
        <v>15</v>
      </c>
      <c r="F30">
        <f>VLOOKUP(G30, $L$3:$N$7, 3, 1)</f>
        <v/>
      </c>
      <c r="G30">
        <f>+E30</f>
        <v/>
      </c>
      <c r="H30">
        <f>VLOOKUP(F30, REGLA1, 2, FALSE)</f>
        <v/>
      </c>
      <c r="I30" t="inlineStr">
        <is>
          <t>NOVENO</t>
        </is>
      </c>
      <c r="J30" t="inlineStr">
        <is>
          <t>TM</t>
        </is>
      </c>
      <c r="K30">
        <f>+E30/$L$1</f>
        <v/>
      </c>
    </row>
    <row r="31">
      <c r="A31" s="15" t="inlineStr">
        <is>
          <t>Académica</t>
        </is>
      </c>
      <c r="B31" s="9">
        <f>+CONCATENATE(LEFT(D31,3),"-",C31)</f>
        <v/>
      </c>
      <c r="C31" s="16" t="inlineStr">
        <is>
          <t>09. Utiliza vocabulario técnico preciso.</t>
        </is>
      </c>
      <c r="D31" s="17" t="inlineStr">
        <is>
          <t>Fortaleza/Logro</t>
        </is>
      </c>
      <c r="E31" s="11" t="n">
        <v>10</v>
      </c>
      <c r="F31">
        <f>VLOOKUP(G31, $L$3:$N$7, 3, 1)</f>
        <v/>
      </c>
      <c r="G31">
        <f>+E31</f>
        <v/>
      </c>
      <c r="H31">
        <f>VLOOKUP(F31, REGLA1, 2, FALSE)</f>
        <v/>
      </c>
      <c r="I31" t="inlineStr">
        <is>
          <t>NOVENO</t>
        </is>
      </c>
      <c r="J31" t="inlineStr">
        <is>
          <t>TM</t>
        </is>
      </c>
      <c r="K31">
        <f>+E31/$L$1</f>
        <v/>
      </c>
    </row>
    <row r="32">
      <c r="A32" s="15" t="inlineStr">
        <is>
          <t>Académica</t>
        </is>
      </c>
      <c r="B32" s="9">
        <f>+CONCATENATE(LEFT(D32,3),"-",C32)</f>
        <v/>
      </c>
      <c r="C32" s="16" t="inlineStr">
        <is>
          <t>11. Posee excelentes hábitos de lectura.</t>
        </is>
      </c>
      <c r="D32" s="17" t="inlineStr">
        <is>
          <t>Fortaleza/Logro</t>
        </is>
      </c>
      <c r="E32" s="11" t="n">
        <v>6</v>
      </c>
      <c r="F32">
        <f>VLOOKUP(G32, $L$3:$N$7, 3, 1)</f>
        <v/>
      </c>
      <c r="G32">
        <f>+E32</f>
        <v/>
      </c>
      <c r="H32">
        <f>VLOOKUP(F32, REGLA1, 2, FALSE)</f>
        <v/>
      </c>
      <c r="I32" t="inlineStr">
        <is>
          <t>NOVENO</t>
        </is>
      </c>
      <c r="J32" t="inlineStr">
        <is>
          <t>TM</t>
        </is>
      </c>
      <c r="K32">
        <f>+E32/$L$1</f>
        <v/>
      </c>
    </row>
    <row r="33">
      <c r="A33" s="15" t="inlineStr">
        <is>
          <t>Académica</t>
        </is>
      </c>
      <c r="B33" s="9">
        <f>+CONCATENATE(LEFT(D33,3),"-",C33)</f>
        <v/>
      </c>
      <c r="C33" s="16" t="inlineStr">
        <is>
          <t>13. Es autónomo en la realización de tareas.</t>
        </is>
      </c>
      <c r="D33" s="17" t="inlineStr">
        <is>
          <t>Fortaleza/Logro</t>
        </is>
      </c>
      <c r="E33" s="11" t="n">
        <v>21</v>
      </c>
      <c r="F33">
        <f>VLOOKUP(G33, $L$3:$N$7, 3, 1)</f>
        <v/>
      </c>
      <c r="G33">
        <f>+E33</f>
        <v/>
      </c>
      <c r="H33">
        <f>VLOOKUP(F33, REGLA1, 2, FALSE)</f>
        <v/>
      </c>
      <c r="I33" t="inlineStr">
        <is>
          <t>NOVENO</t>
        </is>
      </c>
      <c r="J33" t="inlineStr">
        <is>
          <t>TM</t>
        </is>
      </c>
      <c r="K33">
        <f>+E33/$L$1</f>
        <v/>
      </c>
    </row>
    <row r="34">
      <c r="A34" s="15" t="inlineStr">
        <is>
          <t>Académica</t>
        </is>
      </c>
      <c r="B34" s="9">
        <f>+CONCATENATE(LEFT(D34,3),"-",C34)</f>
        <v/>
      </c>
      <c r="C34" s="16" t="inlineStr">
        <is>
          <t>15. Investiga más allá de lo solicitado.</t>
        </is>
      </c>
      <c r="D34" s="17" t="inlineStr">
        <is>
          <t>Fortaleza/Logro</t>
        </is>
      </c>
      <c r="E34" s="11" t="n">
        <v>9</v>
      </c>
      <c r="F34">
        <f>VLOOKUP(G34, $L$3:$N$7, 3, 1)</f>
        <v/>
      </c>
      <c r="G34">
        <f>+E34</f>
        <v/>
      </c>
      <c r="H34">
        <f>VLOOKUP(F34, REGLA1, 2, FALSE)</f>
        <v/>
      </c>
      <c r="I34" t="inlineStr">
        <is>
          <t>NOVENO</t>
        </is>
      </c>
      <c r="J34" t="inlineStr">
        <is>
          <t>TM</t>
        </is>
      </c>
      <c r="K34">
        <f>+E34/$L$1</f>
        <v/>
      </c>
    </row>
    <row r="35">
      <c r="A35" s="15" t="inlineStr">
        <is>
          <t>Conductual</t>
        </is>
      </c>
      <c r="B35" s="9">
        <f>+CONCATENATE(LEFT(D35,3),"-",C35)</f>
        <v/>
      </c>
      <c r="C35" s="16" t="inlineStr">
        <is>
          <t>17. Respeta las normas de convivencia.</t>
        </is>
      </c>
      <c r="D35" s="17" t="inlineStr">
        <is>
          <t>Fortaleza/Logro</t>
        </is>
      </c>
      <c r="E35" s="11" t="n">
        <v>25</v>
      </c>
      <c r="F35">
        <f>VLOOKUP(G35, $L$3:$N$7, 3, 1)</f>
        <v/>
      </c>
      <c r="G35">
        <f>+E35</f>
        <v/>
      </c>
      <c r="H35">
        <f>VLOOKUP(F35, REGLA1, 2, FALSE)</f>
        <v/>
      </c>
      <c r="I35" t="inlineStr">
        <is>
          <t>NOVENO</t>
        </is>
      </c>
      <c r="J35" t="inlineStr">
        <is>
          <t>TM</t>
        </is>
      </c>
      <c r="K35">
        <f>+E35/$L$1</f>
        <v/>
      </c>
    </row>
    <row r="36">
      <c r="A36" s="15" t="inlineStr">
        <is>
          <t>Conductual</t>
        </is>
      </c>
      <c r="B36" s="9">
        <f>+CONCATENATE(LEFT(D36,3),"-",C36)</f>
        <v/>
      </c>
      <c r="C36" s="16" t="inlineStr">
        <is>
          <t>19. Es puntual en todas sus obligaciones.</t>
        </is>
      </c>
      <c r="D36" s="17" t="inlineStr">
        <is>
          <t>Fortaleza/Logro</t>
        </is>
      </c>
      <c r="E36" s="11" t="n">
        <v>21</v>
      </c>
      <c r="F36">
        <f>VLOOKUP(G36, $L$3:$N$7, 3, 1)</f>
        <v/>
      </c>
      <c r="G36">
        <f>+E36</f>
        <v/>
      </c>
      <c r="H36">
        <f>VLOOKUP(F36, REGLA1, 2, FALSE)</f>
        <v/>
      </c>
      <c r="I36" t="inlineStr">
        <is>
          <t>NOVENO</t>
        </is>
      </c>
      <c r="J36" t="inlineStr">
        <is>
          <t>TM</t>
        </is>
      </c>
      <c r="K36">
        <f>+E36/$L$1</f>
        <v/>
      </c>
    </row>
    <row r="37">
      <c r="A37" s="15" t="inlineStr">
        <is>
          <t>Conductual</t>
        </is>
      </c>
      <c r="B37" s="9">
        <f>+CONCATENATE(LEFT(D37,3),"-",C37)</f>
        <v/>
      </c>
      <c r="C37" s="16" t="inlineStr">
        <is>
          <t>21. Cuida el material propio y ajeno.</t>
        </is>
      </c>
      <c r="D37" s="17" t="inlineStr">
        <is>
          <t>Fortaleza/Logro</t>
        </is>
      </c>
      <c r="E37" s="11" t="n">
        <v>30</v>
      </c>
      <c r="F37">
        <f>VLOOKUP(G37, $L$3:$N$7, 3, 1)</f>
        <v/>
      </c>
      <c r="G37">
        <f>+E37</f>
        <v/>
      </c>
      <c r="H37">
        <f>VLOOKUP(F37, REGLA1, 2, FALSE)</f>
        <v/>
      </c>
      <c r="I37" t="inlineStr">
        <is>
          <t>NOVENO</t>
        </is>
      </c>
      <c r="J37" t="inlineStr">
        <is>
          <t>TM</t>
        </is>
      </c>
      <c r="K37">
        <f>+E37/$L$1</f>
        <v/>
      </c>
    </row>
    <row r="38">
      <c r="A38" s="15" t="inlineStr">
        <is>
          <t>Conductual</t>
        </is>
      </c>
      <c r="B38" s="9">
        <f>+CONCATENATE(LEFT(D38,3),"-",C38)</f>
        <v/>
      </c>
      <c r="C38" s="16" t="inlineStr">
        <is>
          <t>23. Escucha con atención y no interrumpe.</t>
        </is>
      </c>
      <c r="D38" s="17" t="inlineStr">
        <is>
          <t>Fortaleza/Logro</t>
        </is>
      </c>
      <c r="E38" s="11" t="n">
        <v>4</v>
      </c>
      <c r="F38">
        <f>VLOOKUP(G38, $L$3:$N$7, 3, 1)</f>
        <v/>
      </c>
      <c r="G38">
        <f>+E38</f>
        <v/>
      </c>
      <c r="H38">
        <f>VLOOKUP(F38, REGLA1, 2, FALSE)</f>
        <v/>
      </c>
      <c r="I38" t="inlineStr">
        <is>
          <t>NOVENO</t>
        </is>
      </c>
      <c r="J38" t="inlineStr">
        <is>
          <t>TM</t>
        </is>
      </c>
      <c r="K38">
        <f>+E38/$L$1</f>
        <v/>
      </c>
    </row>
    <row r="39">
      <c r="A39" s="15" t="inlineStr">
        <is>
          <t>Conductual</t>
        </is>
      </c>
      <c r="B39" s="9">
        <f>+CONCATENATE(LEFT(D39,3),"-",C39)</f>
        <v/>
      </c>
      <c r="C39" s="16" t="inlineStr">
        <is>
          <t>25. Utiliza el lenguaje de forma respetuosa.</t>
        </is>
      </c>
      <c r="D39" s="17" t="inlineStr">
        <is>
          <t>Fortaleza/Logro</t>
        </is>
      </c>
      <c r="E39" s="11" t="n">
        <v>30</v>
      </c>
      <c r="F39">
        <f>VLOOKUP(G39, $L$3:$N$7, 3, 1)</f>
        <v/>
      </c>
      <c r="G39">
        <f>+E39</f>
        <v/>
      </c>
      <c r="H39">
        <f>VLOOKUP(F39, REGLA1, 2, FALSE)</f>
        <v/>
      </c>
      <c r="I39" t="inlineStr">
        <is>
          <t>NOVENO</t>
        </is>
      </c>
      <c r="J39" t="inlineStr">
        <is>
          <t>TM</t>
        </is>
      </c>
      <c r="K39">
        <f>+E39/$L$1</f>
        <v/>
      </c>
    </row>
    <row r="40">
      <c r="A40" s="15" t="inlineStr">
        <is>
          <t>Conductual</t>
        </is>
      </c>
      <c r="B40" s="9">
        <f>+CONCATENATE(LEFT(D40,3),"-",C40)</f>
        <v/>
      </c>
      <c r="C40" s="16" t="inlineStr">
        <is>
          <t>27. Reconoce sus errores honestamente.</t>
        </is>
      </c>
      <c r="D40" s="17" t="inlineStr">
        <is>
          <t>Fortaleza/Logro</t>
        </is>
      </c>
      <c r="E40" s="11" t="n">
        <v>26</v>
      </c>
      <c r="F40">
        <f>VLOOKUP(G40, $L$3:$N$7, 3, 1)</f>
        <v/>
      </c>
      <c r="G40">
        <f>+E40</f>
        <v/>
      </c>
      <c r="H40">
        <f>VLOOKUP(F40, REGLA1, 2, FALSE)</f>
        <v/>
      </c>
      <c r="I40" t="inlineStr">
        <is>
          <t>NOVENO</t>
        </is>
      </c>
      <c r="J40" t="inlineStr">
        <is>
          <t>TM</t>
        </is>
      </c>
      <c r="K40">
        <f>+E40/$L$1</f>
        <v/>
      </c>
      <c r="N40" s="1" t="inlineStr">
        <is>
          <t>Suma de Cantidad de veces</t>
        </is>
      </c>
      <c r="O40" s="1" t="inlineStr">
        <is>
          <t>Etiquetas de columna</t>
        </is>
      </c>
    </row>
    <row r="41">
      <c r="A41" s="15" t="inlineStr">
        <is>
          <t>Conductual</t>
        </is>
      </c>
      <c r="B41" s="9">
        <f>+CONCATENATE(LEFT(D41,3),"-",C41)</f>
        <v/>
      </c>
      <c r="C41" s="16" t="inlineStr">
        <is>
          <t>29. Usa la tecnología con fines educativos.</t>
        </is>
      </c>
      <c r="D41" s="17" t="inlineStr">
        <is>
          <t>Fortaleza/Logro</t>
        </is>
      </c>
      <c r="E41" s="11" t="n">
        <v>18</v>
      </c>
      <c r="F41">
        <f>VLOOKUP(G41, $L$3:$N$7, 3, 1)</f>
        <v/>
      </c>
      <c r="G41">
        <f>+E41</f>
        <v/>
      </c>
      <c r="H41">
        <f>VLOOKUP(F41, REGLA1, 2, FALSE)</f>
        <v/>
      </c>
      <c r="I41" t="inlineStr">
        <is>
          <t>NOVENO</t>
        </is>
      </c>
      <c r="J41" t="inlineStr">
        <is>
          <t>TM</t>
        </is>
      </c>
      <c r="K41">
        <f>+E41/$L$1</f>
        <v/>
      </c>
      <c r="N41" s="1" t="inlineStr">
        <is>
          <t>Etiquetas de fila</t>
        </is>
      </c>
      <c r="O41" t="inlineStr">
        <is>
          <t>Alerta/Mejora</t>
        </is>
      </c>
      <c r="P41" t="inlineStr">
        <is>
          <t>Fortaleza/Logro</t>
        </is>
      </c>
      <c r="Q41" t="inlineStr">
        <is>
          <t>Total general</t>
        </is>
      </c>
    </row>
    <row r="42">
      <c r="A42" s="15" t="inlineStr">
        <is>
          <t>Conductual</t>
        </is>
      </c>
      <c r="B42" s="9">
        <f>+CONCATENATE(LEFT(D42,3),"-",C42)</f>
        <v/>
      </c>
      <c r="C42" s="16" t="inlineStr">
        <is>
          <t>31. Mantiene el orden en espacios comunes.</t>
        </is>
      </c>
      <c r="D42" s="17" t="inlineStr">
        <is>
          <t>Fortaleza/Logro</t>
        </is>
      </c>
      <c r="E42" s="11" t="n">
        <v>8</v>
      </c>
      <c r="F42">
        <f>VLOOKUP(G42, $L$3:$N$7, 3, 1)</f>
        <v/>
      </c>
      <c r="G42">
        <f>+E42</f>
        <v/>
      </c>
      <c r="H42">
        <f>VLOOKUP(F42, REGLA1, 2, FALSE)</f>
        <v/>
      </c>
      <c r="I42" t="inlineStr">
        <is>
          <t>NOVENO</t>
        </is>
      </c>
      <c r="J42" t="inlineStr">
        <is>
          <t>TM</t>
        </is>
      </c>
      <c r="K42">
        <f>+E42/$L$1</f>
        <v/>
      </c>
      <c r="N42" s="3" t="inlineStr">
        <is>
          <t>Académica</t>
        </is>
      </c>
      <c r="O42" t="n">
        <v>19</v>
      </c>
      <c r="P42" t="n">
        <v>99</v>
      </c>
      <c r="Q42" t="n">
        <v>118</v>
      </c>
    </row>
    <row r="43">
      <c r="A43" s="15" t="inlineStr">
        <is>
          <t>Socio-Emocional</t>
        </is>
      </c>
      <c r="B43" s="9">
        <f>+CONCATENATE(LEFT(D43,3),"-",C43)</f>
        <v/>
      </c>
      <c r="C43" s="16" t="inlineStr">
        <is>
          <t>33. Muestra resiliencia ante el fracaso.</t>
        </is>
      </c>
      <c r="D43" s="17" t="inlineStr">
        <is>
          <t>Fortaleza/Logro</t>
        </is>
      </c>
      <c r="E43" s="11" t="n">
        <v>21</v>
      </c>
      <c r="F43">
        <f>VLOOKUP(G43, $L$3:$N$7, 3, 1)</f>
        <v/>
      </c>
      <c r="G43">
        <f>+E43</f>
        <v/>
      </c>
      <c r="H43">
        <f>VLOOKUP(F43, REGLA1, 2, FALSE)</f>
        <v/>
      </c>
      <c r="I43" t="inlineStr">
        <is>
          <t>NOVENO</t>
        </is>
      </c>
      <c r="J43" t="inlineStr">
        <is>
          <t>TM</t>
        </is>
      </c>
      <c r="K43">
        <f>+E43/$L$1</f>
        <v/>
      </c>
      <c r="N43" s="3" t="inlineStr">
        <is>
          <t>Actitudinal</t>
        </is>
      </c>
      <c r="O43" t="n">
        <v>2</v>
      </c>
      <c r="P43" t="n">
        <v>34</v>
      </c>
      <c r="Q43" t="n">
        <v>36</v>
      </c>
    </row>
    <row r="44">
      <c r="A44" s="15" t="inlineStr">
        <is>
          <t>Socio-Emocional</t>
        </is>
      </c>
      <c r="B44" s="9">
        <f>+CONCATENATE(LEFT(D44,3),"-",C44)</f>
        <v/>
      </c>
      <c r="C44" s="16" t="inlineStr">
        <is>
          <t>35. Trabaja de forma colaborativa y equitativa.</t>
        </is>
      </c>
      <c r="D44" s="17" t="inlineStr">
        <is>
          <t>Fortaleza/Logro</t>
        </is>
      </c>
      <c r="E44" s="11" t="n">
        <v>27</v>
      </c>
      <c r="F44">
        <f>VLOOKUP(G44, $L$3:$N$7, 3, 1)</f>
        <v/>
      </c>
      <c r="G44">
        <f>+E44</f>
        <v/>
      </c>
      <c r="H44">
        <f>VLOOKUP(F44, REGLA1, 2, FALSE)</f>
        <v/>
      </c>
      <c r="I44" t="inlineStr">
        <is>
          <t>NOVENO</t>
        </is>
      </c>
      <c r="J44" t="inlineStr">
        <is>
          <t>TM</t>
        </is>
      </c>
      <c r="K44">
        <f>+E44/$L$1</f>
        <v/>
      </c>
      <c r="N44" s="3" t="inlineStr">
        <is>
          <t>Conductual</t>
        </is>
      </c>
      <c r="O44" t="n">
        <v>4</v>
      </c>
      <c r="P44" t="n">
        <v>105</v>
      </c>
      <c r="Q44" t="n">
        <v>109</v>
      </c>
    </row>
    <row r="45">
      <c r="A45" s="15" t="inlineStr">
        <is>
          <t>Socio-Emocional</t>
        </is>
      </c>
      <c r="B45" s="9">
        <f>+CONCATENATE(LEFT(D45,3),"-",C45)</f>
        <v/>
      </c>
      <c r="C45" s="16" t="inlineStr">
        <is>
          <t>37. Es empático con las necesidades ajenas.</t>
        </is>
      </c>
      <c r="D45" s="17" t="inlineStr">
        <is>
          <t>Fortaleza/Logro</t>
        </is>
      </c>
      <c r="E45" s="11" t="n">
        <v>28</v>
      </c>
      <c r="F45">
        <f>VLOOKUP(G45, $L$3:$N$7, 3, 1)</f>
        <v/>
      </c>
      <c r="G45">
        <f>+E45</f>
        <v/>
      </c>
      <c r="H45">
        <f>VLOOKUP(F45, REGLA1, 2, FALSE)</f>
        <v/>
      </c>
      <c r="I45" t="inlineStr">
        <is>
          <t>NOVENO</t>
        </is>
      </c>
      <c r="J45" t="inlineStr">
        <is>
          <t>TM</t>
        </is>
      </c>
      <c r="K45">
        <f>+E45/$L$1</f>
        <v/>
      </c>
      <c r="N45" s="3" t="inlineStr">
        <is>
          <t>Socio-Emocional</t>
        </is>
      </c>
      <c r="O45" t="n">
        <v>9</v>
      </c>
      <c r="P45" t="n">
        <v>72</v>
      </c>
      <c r="Q45" t="n">
        <v>81</v>
      </c>
    </row>
    <row r="46">
      <c r="A46" s="15" t="inlineStr">
        <is>
          <t>Socio-Emocional</t>
        </is>
      </c>
      <c r="B46" s="9">
        <f>+CONCATENATE(LEFT(D46,3),"-",C46)</f>
        <v/>
      </c>
      <c r="C46" s="16" t="inlineStr">
        <is>
          <t>39. Posee un liderazgo positivo y ético.</t>
        </is>
      </c>
      <c r="D46" s="17" t="inlineStr">
        <is>
          <t>Fortaleza/Logro</t>
        </is>
      </c>
      <c r="E46" s="11" t="n">
        <v>14</v>
      </c>
      <c r="F46">
        <f>VLOOKUP(G46, $L$3:$N$7, 3, 1)</f>
        <v/>
      </c>
      <c r="G46">
        <f>+E46</f>
        <v/>
      </c>
      <c r="H46">
        <f>VLOOKUP(F46, REGLA1, 2, FALSE)</f>
        <v/>
      </c>
      <c r="I46" t="inlineStr">
        <is>
          <t>NOVENO</t>
        </is>
      </c>
      <c r="J46" t="inlineStr">
        <is>
          <t>TM</t>
        </is>
      </c>
      <c r="K46">
        <f>+E46/$L$1</f>
        <v/>
      </c>
      <c r="N46" s="3" t="inlineStr">
        <is>
          <t>Total general</t>
        </is>
      </c>
      <c r="O46" t="n">
        <v>34</v>
      </c>
      <c r="P46" t="n">
        <v>310</v>
      </c>
      <c r="Q46" t="n">
        <v>344</v>
      </c>
    </row>
    <row r="47">
      <c r="A47" s="15" t="inlineStr">
        <is>
          <t>Socio-Emocional</t>
        </is>
      </c>
      <c r="B47" s="9">
        <f>+CONCATENATE(LEFT(D47,3),"-",C47)</f>
        <v/>
      </c>
      <c r="C47" s="16" t="inlineStr">
        <is>
          <t>41. Se comunica de manera asertiva.</t>
        </is>
      </c>
      <c r="D47" s="17" t="inlineStr">
        <is>
          <t>Fortaleza/Logro</t>
        </is>
      </c>
      <c r="E47" s="11" t="n">
        <v>24</v>
      </c>
      <c r="F47">
        <f>VLOOKUP(G47, $L$3:$N$7, 3, 1)</f>
        <v/>
      </c>
      <c r="G47">
        <f>+E47</f>
        <v/>
      </c>
      <c r="H47">
        <f>VLOOKUP(F47, REGLA1, 2, FALSE)</f>
        <v/>
      </c>
      <c r="I47" t="inlineStr">
        <is>
          <t>NOVENO</t>
        </is>
      </c>
      <c r="J47" t="inlineStr">
        <is>
          <t>TM</t>
        </is>
      </c>
      <c r="K47">
        <f>+E47/$L$1</f>
        <v/>
      </c>
    </row>
    <row r="48">
      <c r="A48" s="15" t="inlineStr">
        <is>
          <t>Socio-Emocional</t>
        </is>
      </c>
      <c r="B48" s="9">
        <f>+CONCATENATE(LEFT(D48,3),"-",C48)</f>
        <v/>
      </c>
      <c r="C48" s="16" t="inlineStr">
        <is>
          <t>43. Tiene una autoestima académica sólida.</t>
        </is>
      </c>
      <c r="D48" s="17" t="inlineStr">
        <is>
          <t>Fortaleza/Logro</t>
        </is>
      </c>
      <c r="E48" s="11" t="n">
        <v>18</v>
      </c>
      <c r="F48">
        <f>VLOOKUP(G48, $L$3:$N$7, 3, 1)</f>
        <v/>
      </c>
      <c r="G48">
        <f>+E48</f>
        <v/>
      </c>
      <c r="H48">
        <f>VLOOKUP(F48, REGLA1, 2, FALSE)</f>
        <v/>
      </c>
      <c r="I48" t="inlineStr">
        <is>
          <t>NOVENO</t>
        </is>
      </c>
      <c r="J48" t="inlineStr">
        <is>
          <t>TM</t>
        </is>
      </c>
      <c r="K48">
        <f>+E48/$L$1</f>
        <v/>
      </c>
      <c r="O48" s="1" t="inlineStr">
        <is>
          <t>Etiquetas de columna</t>
        </is>
      </c>
    </row>
    <row r="49">
      <c r="A49" s="15" t="inlineStr">
        <is>
          <t>Actitudinal</t>
        </is>
      </c>
      <c r="B49" s="9">
        <f>+CONCATENATE(LEFT(D49,3),"-",C49)</f>
        <v/>
      </c>
      <c r="C49" s="16" t="inlineStr">
        <is>
          <t>45. Muestra curiosidad e iniciativa propia.</t>
        </is>
      </c>
      <c r="D49" s="17" t="inlineStr">
        <is>
          <t>Fortaleza/Logro</t>
        </is>
      </c>
      <c r="E49" s="11" t="n">
        <v>23</v>
      </c>
      <c r="F49">
        <f>VLOOKUP(G49, $L$3:$N$7, 3, 1)</f>
        <v/>
      </c>
      <c r="G49">
        <f>+E49</f>
        <v/>
      </c>
      <c r="H49">
        <f>VLOOKUP(F49, REGLA1, 2, FALSE)</f>
        <v/>
      </c>
      <c r="I49" t="inlineStr">
        <is>
          <t>NOVENO</t>
        </is>
      </c>
      <c r="J49" t="inlineStr">
        <is>
          <t>TM</t>
        </is>
      </c>
      <c r="K49">
        <f>+E49/$L$1</f>
        <v/>
      </c>
      <c r="O49" t="inlineStr">
        <is>
          <t>Alerta/Mejora</t>
        </is>
      </c>
      <c r="P49" t="inlineStr">
        <is>
          <t>Fortaleza/Logro</t>
        </is>
      </c>
      <c r="Q49" t="inlineStr">
        <is>
          <t>(en blanco)</t>
        </is>
      </c>
      <c r="R49" t="inlineStr">
        <is>
          <t>Total general</t>
        </is>
      </c>
    </row>
    <row r="50">
      <c r="A50" s="15" t="inlineStr">
        <is>
          <t>Actitudinal</t>
        </is>
      </c>
      <c r="B50" s="9">
        <f>+CONCATENATE(LEFT(D50,3),"-",C50)</f>
        <v/>
      </c>
      <c r="C50" s="16" t="inlineStr">
        <is>
          <t>47. Es persistente en tareas complejas.</t>
        </is>
      </c>
      <c r="D50" s="17" t="inlineStr">
        <is>
          <t>Fortaleza/Logro</t>
        </is>
      </c>
      <c r="E50" s="11" t="n">
        <v>20</v>
      </c>
      <c r="F50">
        <f>VLOOKUP(G50, $L$3:$N$7, 3, 1)</f>
        <v/>
      </c>
      <c r="G50">
        <f>+E50</f>
        <v/>
      </c>
      <c r="H50">
        <f>VLOOKUP(F50, REGLA1, 2, FALSE)</f>
        <v/>
      </c>
      <c r="I50" t="inlineStr">
        <is>
          <t>NOVENO</t>
        </is>
      </c>
      <c r="J50" t="inlineStr">
        <is>
          <t>TM</t>
        </is>
      </c>
      <c r="K50">
        <f>+E50/$L$1</f>
        <v/>
      </c>
      <c r="N50" t="inlineStr">
        <is>
          <t>Suma de Cantidad de veces</t>
        </is>
      </c>
      <c r="O50" t="n">
        <v>34</v>
      </c>
      <c r="P50" t="n">
        <v>310</v>
      </c>
      <c r="R50" t="n">
        <v>344</v>
      </c>
    </row>
    <row r="51">
      <c r="A51" s="15" t="inlineStr">
        <is>
          <t>Actitudinal</t>
        </is>
      </c>
      <c r="B51" s="9">
        <f>+CONCATENATE(LEFT(D51,3),"-",C51)</f>
        <v/>
      </c>
      <c r="C51" s="16" t="inlineStr">
        <is>
          <t>49. Acepta retroalimentación constructiva.</t>
        </is>
      </c>
      <c r="D51" s="17" t="inlineStr">
        <is>
          <t>Fortaleza/Logro</t>
        </is>
      </c>
      <c r="E51" s="11" t="n">
        <v>26</v>
      </c>
      <c r="F51">
        <f>VLOOKUP(G51, $L$3:$N$7, 3, 1)</f>
        <v/>
      </c>
      <c r="G51">
        <f>+E51</f>
        <v/>
      </c>
      <c r="H51">
        <f>VLOOKUP(F51, REGLA1, 2, FALSE)</f>
        <v/>
      </c>
      <c r="I51" t="inlineStr">
        <is>
          <t>NOVENO</t>
        </is>
      </c>
      <c r="J51" t="inlineStr">
        <is>
          <t>TM</t>
        </is>
      </c>
      <c r="K51">
        <f>+E51/$L$1</f>
        <v/>
      </c>
    </row>
    <row r="52"/>
    <row r="53"/>
    <row r="54">
      <c r="N54" t="inlineStr">
        <is>
          <t xml:space="preserve">Nota </t>
        </is>
      </c>
      <c r="O54" t="inlineStr">
        <is>
          <t>Cantidad de alumnos</t>
        </is>
      </c>
      <c r="Q54" t="inlineStr">
        <is>
          <t>% de Alumnos</t>
        </is>
      </c>
    </row>
    <row r="55">
      <c r="N55" t="n">
        <v>1</v>
      </c>
      <c r="O55">
        <f>ROUND((COUNTIF($F$2:$F$51, N55) / 50) * $L$1, 0)-1</f>
        <v/>
      </c>
      <c r="P55" s="20" t="n"/>
      <c r="Q55" s="18">
        <f>+O55/O$60</f>
        <v/>
      </c>
      <c r="S55" t="inlineStr">
        <is>
          <t xml:space="preserve">Muy bueno </t>
        </is>
      </c>
      <c r="T55">
        <f>+O59+O58</f>
        <v/>
      </c>
      <c r="U55" s="18">
        <f>+T55/O$60</f>
        <v/>
      </c>
    </row>
    <row r="56">
      <c r="N56" t="n">
        <v>2</v>
      </c>
      <c r="O56">
        <f>ROUND((COUNTIF($F$2:$F$51, N56) / 50) * $L$1, 0)</f>
        <v/>
      </c>
      <c r="P56" s="20" t="n"/>
      <c r="Q56" s="18">
        <f>+O56/O$60</f>
        <v/>
      </c>
      <c r="S56" t="inlineStr">
        <is>
          <t>Bueno</t>
        </is>
      </c>
      <c r="T56">
        <f>+O57</f>
        <v/>
      </c>
      <c r="U56" s="18">
        <f>+T56/O$60</f>
        <v/>
      </c>
    </row>
    <row r="57">
      <c r="N57" t="n">
        <v>3</v>
      </c>
      <c r="O57">
        <f>ROUND((COUNTIF($F$2:$F$51, N57) / 50) * $L$1, 0)</f>
        <v/>
      </c>
      <c r="P57" s="20" t="n"/>
      <c r="Q57" s="18">
        <f>+O57/O$60</f>
        <v/>
      </c>
      <c r="S57" t="inlineStr">
        <is>
          <t>A mejorar</t>
        </is>
      </c>
      <c r="T57">
        <f>+O55+O56</f>
        <v/>
      </c>
      <c r="U57" s="18">
        <f>+T57/O$60</f>
        <v/>
      </c>
    </row>
    <row r="58">
      <c r="N58" t="n">
        <v>4</v>
      </c>
      <c r="O58">
        <f>ROUND((COUNTIF($F$2:$F$51, N58) / 50) * $L$1, 0)</f>
        <v/>
      </c>
      <c r="P58" s="20" t="n"/>
      <c r="Q58" s="18">
        <f>+O58/O$60</f>
        <v/>
      </c>
    </row>
    <row r="59">
      <c r="N59" t="n">
        <v>5</v>
      </c>
      <c r="O59">
        <f>ROUND((COUNTIF($F$2:$F$51, N59) / 50) * $L$1, 0)</f>
        <v/>
      </c>
      <c r="P59" s="20" t="n"/>
      <c r="Q59" s="18">
        <f>+O59/O$60</f>
        <v/>
      </c>
    </row>
    <row r="60">
      <c r="O60">
        <f>SUM(O55:O59)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9.28515625" customWidth="1" min="2" max="2"/>
  </cols>
  <sheetData>
    <row r="1"/>
    <row r="2" ht="409.5" customHeight="1">
      <c r="B2" s="21" t="inlineStr">
        <is>
          <t>Este ajuste es fundamental. Para un **Master en Programación y Arquitecto de Software** como tú, la eficiencia es un requisito no negociable. [cite_start]El objetivo es **refactorizar** el tiempo que ya pasas en el aula, no añadir "líneas de código" (actividades) innecesarias. [cite: 7]
Aquí tienes el **Prompt Maestro Final "Zero-Overload"**, diseñado para que la IA optimice tu plan de estudios actual de **Formación Ética y Ciudadana** redistribuyendo el esfuerzo existente.
---
## Prompt Maestro: Optimización de Plan sin Carga Adicional
&gt; **Rol:** Actúa como un **Especialista en Eficiencia Pedagógica y Currículum de la EEB (Paraguay)**.
&gt;
&gt; **Entrada de Datos:**
&gt; * **Resultados Diagnósticos por Ítem:** [PEGA AQUÍ LOS TOTALES DE LA ENCUESTA]
&gt; * **Plan de Estudios Actual:** [PEGA AQUÍ TU LISTA DE TEMAS/ACTIVIDADES PROGRAMADAS]
&gt;
&gt; **Objetivo 1: Diagnóstico de Eficiencia Grupal**
&gt; [cite_start]* Analiza las frecuencias de respuesta para identificar qué contenidos del plan ya domina el **92% del grupo (nivel Muy Bueno)**. [cite: 10]
&gt; [cite_start]* Detecta qué temas programados están en riesgo de fallar debido a la **memorización mecánica** o la **distracción con TIC** identificada. [cite: 42, 53]
&gt;
&gt; **Objetivo 2: Refactorización del Plan de Estudios (Sin Actividades Extra)**
&gt; [cite_start]* **Sustitución, no Adición:** En lugar de crear actividades nuevas, indica cómo modificar la metodología de las actividades **ya programadas** para que ataquen las debilidades (ej. si tenías una lectura, conviértela en un debate de 5 minutos para mejorar la expresión oral). [cite: 94, 95]
&gt; [cite_start]* **Delegación (Tutoría entre Pares):** Diseña un sistema donde los alumnos destacados lideren las partes teóricas de las actividades existentes, liberando tu tiempo para monitorear al **5% que necesita mejora**. [cite: 10, 75]
&gt; [cite_start]* **Optimización de Recursos:** Propón cómo usar los dispositivos que ya causan distracción como la herramienta principal para una actividad que ya tenías planeada, eliminando la fricción. [cite: 88]
&gt;
&gt; **Objetivo 3: Informe Ejecutivo y Plan Optimizado**
&gt; [cite_start]* Genera un informe de seguimiento que valide que se están cumpliendo las **Acciones Pedagógicas** (como el ABP o el pensamiento crítico) dentro del horario y plan original. [cite: 66, 71]
&gt; [cite_start]* Entrega un cronograma ajustado que mantenga los mismos temas pero con un enfoque de **0% de error** en la comprensión. [cite: 7]
&gt;
&gt; **Restricción Estricta:** No propongas ninguna tarea, proyecto o recurso que requiera tiempo extra de planificación o ejecución fuera de lo que ya está estipulado en el calendario escolar.
---
### Por qué este enfoque respeta tu tiempo:
1.  **Aprovecha el "Muy Bueno" (92%):** El informe del **Lic. [cite_start]Christhian Keim** muestra que la gran mayoría de tus alumnos ya tiene autonomía y dominio conceptual. [cite: 7, 10, 14, 18] [cite_start]Al convertirlos en monitores de las actividades que ya tienes, reduces tu carga de supervisión constante. [cite: 47]
2.  [cite_start]**Ataca la Raíz:** El problema no es la falta de actividades, sino que las actuales pueden estar fomentando la **memorización sin comprensión**. [cite: 84] El prompt obliga a la IA a cambiar el *cómo* lo das, no el *qué* das.
3.  **Coherencia con Villa Hayes:** Mantiene el enfoque territorial y los estándares de la **Escuela Exc. [cite_start]Manual Molinas**, asegurando que el informe sea útil para tu contexto específico en Paraguay. [cite: 1, 2]
¿Quieres que apliquemos este prompt ahora mismo con los temas que tienes programados para la siguiente unidad de **7mo u 8vo grado**?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7.42578125" customWidth="1" min="1" max="1"/>
    <col width="12.42578125" customWidth="1" min="2" max="2"/>
  </cols>
  <sheetData>
    <row r="1">
      <c r="A1" t="inlineStr">
        <is>
          <t>REGLAS</t>
        </is>
      </c>
    </row>
    <row r="2">
      <c r="F2" t="inlineStr">
        <is>
          <t>GRADO</t>
        </is>
      </c>
      <c r="G2" t="inlineStr">
        <is>
          <t>TURNO</t>
        </is>
      </c>
      <c r="H2" t="inlineStr">
        <is>
          <t>CANTIDAD</t>
        </is>
      </c>
    </row>
    <row r="3">
      <c r="A3" t="inlineStr">
        <is>
          <t xml:space="preserve">Nota </t>
        </is>
      </c>
      <c r="B3" t="inlineStr">
        <is>
          <t>VALORACION</t>
        </is>
      </c>
      <c r="F3" t="inlineStr">
        <is>
          <t xml:space="preserve">SEPTIMO </t>
        </is>
      </c>
      <c r="G3" t="inlineStr">
        <is>
          <t>TM</t>
        </is>
      </c>
      <c r="H3" t="n">
        <v>37</v>
      </c>
    </row>
    <row r="4">
      <c r="A4" t="n">
        <v>1</v>
      </c>
      <c r="B4" t="inlineStr">
        <is>
          <t>A mejorar</t>
        </is>
      </c>
      <c r="F4" t="inlineStr">
        <is>
          <t xml:space="preserve">SEPTIMO </t>
        </is>
      </c>
      <c r="G4" t="inlineStr">
        <is>
          <t>TT</t>
        </is>
      </c>
      <c r="H4" t="n">
        <v>14</v>
      </c>
    </row>
    <row r="5">
      <c r="A5" t="n">
        <v>2</v>
      </c>
      <c r="B5" t="inlineStr">
        <is>
          <t>A mejorar</t>
        </is>
      </c>
      <c r="F5" t="inlineStr">
        <is>
          <t>OCTAVO</t>
        </is>
      </c>
      <c r="G5" t="inlineStr">
        <is>
          <t>TM</t>
        </is>
      </c>
      <c r="H5" t="n">
        <v>42</v>
      </c>
    </row>
    <row r="6">
      <c r="A6" t="n">
        <v>3</v>
      </c>
      <c r="B6" t="inlineStr">
        <is>
          <t>Bueno</t>
        </is>
      </c>
      <c r="F6" t="inlineStr">
        <is>
          <t>NOVENO</t>
        </is>
      </c>
      <c r="G6" t="inlineStr">
        <is>
          <t>TM</t>
        </is>
      </c>
      <c r="H6" t="n">
        <v>42</v>
      </c>
    </row>
    <row r="7">
      <c r="A7" t="n">
        <v>4</v>
      </c>
      <c r="B7" t="inlineStr">
        <is>
          <t xml:space="preserve">Muy bueno </t>
        </is>
      </c>
    </row>
    <row r="8">
      <c r="A8" t="n">
        <v>5</v>
      </c>
      <c r="B8">
        <f>+B7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2026-06-05T13:26:33Z</dcterms:created>
  <dcterms:modified xmlns:dcterms="http://purl.org/dc/terms/" xmlns:xsi="http://www.w3.org/2001/XMLSchema-instance" xsi:type="dcterms:W3CDTF">2026-06-05T13:26:38Z</dcterms:modified>
</cp:coreProperties>
</file>