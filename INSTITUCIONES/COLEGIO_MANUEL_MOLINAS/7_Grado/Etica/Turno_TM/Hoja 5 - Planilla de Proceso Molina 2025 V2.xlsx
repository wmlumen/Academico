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EC 2025\2024 Esc. Molinas 7mo. Etica\"/>
    </mc:Choice>
  </mc:AlternateContent>
  <xr:revisionPtr revIDLastSave="0" documentId="13_ncr:1_{95AC7E7D-AE61-43EF-A579-FDCC94C19AEB}" xr6:coauthVersionLast="47" xr6:coauthVersionMax="47" xr10:uidLastSave="{00000000-0000-0000-0000-000000000000}"/>
  <bookViews>
    <workbookView xWindow="-120" yWindow="-120" windowWidth="20730" windowHeight="11160" firstSheet="2" activeTab="5" xr2:uid="{3A0F8BD0-C2D5-45FD-B303-EDC7726F9AF2}"/>
  </bookViews>
  <sheets>
    <sheet name="Temas desarrollados" sheetId="2" r:id="rId1"/>
    <sheet name="Asistencia" sheetId="1" r:id="rId2"/>
    <sheet name="Indicadores Actitudinal" sheetId="7" r:id="rId3"/>
    <sheet name="La persona" sheetId="5" r:id="rId4"/>
    <sheet name="Habitos Saludables" sheetId="4" r:id="rId5"/>
    <sheet name="Proceso " sheetId="3" r:id="rId6"/>
    <sheet name="Escala" sheetId="6" r:id="rId7"/>
  </sheets>
  <definedNames>
    <definedName name="_xlnm._FilterDatabase" localSheetId="1" hidden="1">Asistencia!$A$1:$Z$42</definedName>
    <definedName name="_xlnm._FilterDatabase" localSheetId="5" hidden="1">'Proceso '!$J$1:$J$43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Q44" i="3" l="1"/>
  <c r="N44" i="3"/>
  <c r="M44" i="3"/>
  <c r="L44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43" i="3"/>
  <c r="H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3" i="3"/>
  <c r="P7" i="3" l="1"/>
  <c r="P11" i="3"/>
  <c r="P15" i="3"/>
  <c r="P19" i="3"/>
  <c r="P23" i="3"/>
  <c r="P27" i="3"/>
  <c r="P31" i="3"/>
  <c r="P35" i="3"/>
  <c r="P37" i="3"/>
  <c r="P40" i="3"/>
  <c r="P43" i="3"/>
  <c r="P3" i="3"/>
  <c r="Z4" i="1"/>
  <c r="AA4" i="1" s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4" i="1"/>
  <c r="AA14" i="1" s="1"/>
  <c r="Z15" i="1"/>
  <c r="AA15" i="1" s="1"/>
  <c r="Z16" i="1"/>
  <c r="AA16" i="1" s="1"/>
  <c r="Z17" i="1"/>
  <c r="AA17" i="1" s="1"/>
  <c r="Z18" i="1"/>
  <c r="AA18" i="1" s="1"/>
  <c r="Z19" i="1"/>
  <c r="AA19" i="1" s="1"/>
  <c r="Z20" i="1"/>
  <c r="AA20" i="1" s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3" i="1"/>
  <c r="AA3" i="1" s="1"/>
  <c r="D43" i="7"/>
  <c r="B43" i="7"/>
  <c r="D42" i="7"/>
  <c r="P42" i="3" s="1"/>
  <c r="D41" i="7"/>
  <c r="P41" i="3" s="1"/>
  <c r="D40" i="7"/>
  <c r="D39" i="7"/>
  <c r="P39" i="3" s="1"/>
  <c r="D38" i="7"/>
  <c r="P38" i="3" s="1"/>
  <c r="D36" i="7"/>
  <c r="P36" i="3" s="1"/>
  <c r="D35" i="7"/>
  <c r="D34" i="7"/>
  <c r="P34" i="3" s="1"/>
  <c r="D33" i="7"/>
  <c r="P33" i="3" s="1"/>
  <c r="D32" i="7"/>
  <c r="P32" i="3" s="1"/>
  <c r="D31" i="7"/>
  <c r="D30" i="7"/>
  <c r="P30" i="3" s="1"/>
  <c r="D29" i="7"/>
  <c r="P29" i="3" s="1"/>
  <c r="D28" i="7"/>
  <c r="P28" i="3" s="1"/>
  <c r="D27" i="7"/>
  <c r="D26" i="7"/>
  <c r="P26" i="3" s="1"/>
  <c r="D25" i="7"/>
  <c r="P25" i="3" s="1"/>
  <c r="D24" i="7"/>
  <c r="P24" i="3" s="1"/>
  <c r="D23" i="7"/>
  <c r="D22" i="7"/>
  <c r="P22" i="3" s="1"/>
  <c r="D21" i="7"/>
  <c r="P21" i="3" s="1"/>
  <c r="D20" i="7"/>
  <c r="P20" i="3" s="1"/>
  <c r="D19" i="7"/>
  <c r="D18" i="7"/>
  <c r="P18" i="3" s="1"/>
  <c r="D17" i="7"/>
  <c r="P17" i="3" s="1"/>
  <c r="D16" i="7"/>
  <c r="P16" i="3" s="1"/>
  <c r="D15" i="7"/>
  <c r="D14" i="7"/>
  <c r="P14" i="3" s="1"/>
  <c r="D13" i="7"/>
  <c r="P13" i="3" s="1"/>
  <c r="F13" i="3" s="1"/>
  <c r="G13" i="3" s="1"/>
  <c r="A13" i="3" s="1"/>
  <c r="D12" i="7"/>
  <c r="P12" i="3" s="1"/>
  <c r="D11" i="7"/>
  <c r="D10" i="7"/>
  <c r="P10" i="3" s="1"/>
  <c r="D9" i="7"/>
  <c r="P9" i="3" s="1"/>
  <c r="D8" i="7"/>
  <c r="P8" i="3" s="1"/>
  <c r="D7" i="7"/>
  <c r="D6" i="7"/>
  <c r="P6" i="3" s="1"/>
  <c r="D5" i="7"/>
  <c r="P5" i="3" s="1"/>
  <c r="D4" i="7"/>
  <c r="P4" i="3" s="1"/>
  <c r="D3" i="7"/>
  <c r="D43" i="5"/>
  <c r="O43" i="3" s="1"/>
  <c r="F43" i="3" s="1"/>
  <c r="G43" i="3" s="1"/>
  <c r="A43" i="3" s="1"/>
  <c r="B43" i="5"/>
  <c r="D43" i="4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3" i="5"/>
  <c r="O3" i="3" s="1"/>
  <c r="O4" i="3"/>
  <c r="F4" i="3" s="1"/>
  <c r="G4" i="3" s="1"/>
  <c r="A4" i="3" s="1"/>
  <c r="O5" i="3"/>
  <c r="O6" i="3"/>
  <c r="F6" i="3" s="1"/>
  <c r="G6" i="3" s="1"/>
  <c r="A6" i="3" s="1"/>
  <c r="O7" i="3"/>
  <c r="F7" i="3" s="1"/>
  <c r="G7" i="3" s="1"/>
  <c r="A7" i="3" s="1"/>
  <c r="O8" i="3"/>
  <c r="F8" i="3" s="1"/>
  <c r="G8" i="3" s="1"/>
  <c r="A8" i="3" s="1"/>
  <c r="O9" i="3"/>
  <c r="O10" i="3"/>
  <c r="F10" i="3" s="1"/>
  <c r="G10" i="3" s="1"/>
  <c r="A10" i="3" s="1"/>
  <c r="O11" i="3"/>
  <c r="O12" i="3"/>
  <c r="F12" i="3" s="1"/>
  <c r="G12" i="3" s="1"/>
  <c r="A12" i="3" s="1"/>
  <c r="O13" i="3"/>
  <c r="O14" i="3"/>
  <c r="F14" i="3" s="1"/>
  <c r="G14" i="3" s="1"/>
  <c r="A14" i="3" s="1"/>
  <c r="O15" i="3"/>
  <c r="F15" i="3" s="1"/>
  <c r="G15" i="3" s="1"/>
  <c r="A15" i="3" s="1"/>
  <c r="O16" i="3"/>
  <c r="F16" i="3" s="1"/>
  <c r="G16" i="3" s="1"/>
  <c r="A16" i="3" s="1"/>
  <c r="O17" i="3"/>
  <c r="F17" i="3" s="1"/>
  <c r="G17" i="3" s="1"/>
  <c r="A17" i="3" s="1"/>
  <c r="O18" i="3"/>
  <c r="F18" i="3" s="1"/>
  <c r="G18" i="3" s="1"/>
  <c r="A18" i="3" s="1"/>
  <c r="O19" i="3"/>
  <c r="F19" i="3" s="1"/>
  <c r="G19" i="3" s="1"/>
  <c r="A19" i="3" s="1"/>
  <c r="O20" i="3"/>
  <c r="F20" i="3" s="1"/>
  <c r="G20" i="3" s="1"/>
  <c r="A20" i="3" s="1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J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3" i="4"/>
  <c r="U2" i="1"/>
  <c r="T2" i="1"/>
  <c r="S2" i="1"/>
  <c r="R2" i="1"/>
  <c r="Q2" i="1"/>
  <c r="B11" i="2"/>
  <c r="J2" i="1"/>
  <c r="E2" i="1"/>
  <c r="F9" i="3" l="1"/>
  <c r="G9" i="3" s="1"/>
  <c r="A9" i="3" s="1"/>
  <c r="F5" i="3"/>
  <c r="G5" i="3" s="1"/>
  <c r="A5" i="3" s="1"/>
  <c r="P44" i="3"/>
  <c r="F11" i="3"/>
  <c r="G11" i="3" s="1"/>
  <c r="A11" i="3" s="1"/>
  <c r="AA29" i="1"/>
  <c r="H29" i="3"/>
  <c r="F29" i="3" s="1"/>
  <c r="G29" i="3" s="1"/>
  <c r="A29" i="3" s="1"/>
  <c r="AA25" i="1"/>
  <c r="H25" i="3"/>
  <c r="F25" i="3" s="1"/>
  <c r="G25" i="3" s="1"/>
  <c r="A25" i="3" s="1"/>
  <c r="AA40" i="1"/>
  <c r="H40" i="3"/>
  <c r="F40" i="3" s="1"/>
  <c r="G40" i="3" s="1"/>
  <c r="A40" i="3" s="1"/>
  <c r="AA36" i="1"/>
  <c r="H36" i="3"/>
  <c r="F36" i="3" s="1"/>
  <c r="G36" i="3" s="1"/>
  <c r="A36" i="3" s="1"/>
  <c r="AA28" i="1"/>
  <c r="H28" i="3"/>
  <c r="AA24" i="1"/>
  <c r="H24" i="3"/>
  <c r="F24" i="3" s="1"/>
  <c r="G24" i="3" s="1"/>
  <c r="A24" i="3" s="1"/>
  <c r="AA41" i="1"/>
  <c r="H41" i="3"/>
  <c r="F41" i="3" s="1"/>
  <c r="G41" i="3" s="1"/>
  <c r="A41" i="3" s="1"/>
  <c r="AA21" i="1"/>
  <c r="H21" i="3"/>
  <c r="F21" i="3" s="1"/>
  <c r="G21" i="3" s="1"/>
  <c r="A21" i="3" s="1"/>
  <c r="F28" i="3"/>
  <c r="G28" i="3" s="1"/>
  <c r="A28" i="3" s="1"/>
  <c r="AA39" i="1"/>
  <c r="H39" i="3"/>
  <c r="F39" i="3" s="1"/>
  <c r="G39" i="3" s="1"/>
  <c r="A39" i="3" s="1"/>
  <c r="AA31" i="1"/>
  <c r="H31" i="3"/>
  <c r="F31" i="3" s="1"/>
  <c r="G31" i="3" s="1"/>
  <c r="A31" i="3" s="1"/>
  <c r="AA27" i="1"/>
  <c r="H27" i="3"/>
  <c r="F27" i="3" s="1"/>
  <c r="G27" i="3" s="1"/>
  <c r="A27" i="3" s="1"/>
  <c r="AA23" i="1"/>
  <c r="H23" i="3"/>
  <c r="F23" i="3" s="1"/>
  <c r="G23" i="3" s="1"/>
  <c r="A23" i="3" s="1"/>
  <c r="AA37" i="1"/>
  <c r="H37" i="3"/>
  <c r="F37" i="3" s="1"/>
  <c r="G37" i="3" s="1"/>
  <c r="A37" i="3" s="1"/>
  <c r="AA38" i="1"/>
  <c r="H38" i="3"/>
  <c r="F38" i="3" s="1"/>
  <c r="G38" i="3" s="1"/>
  <c r="A38" i="3" s="1"/>
  <c r="AA30" i="1"/>
  <c r="H30" i="3"/>
  <c r="F30" i="3" s="1"/>
  <c r="G30" i="3" s="1"/>
  <c r="A30" i="3" s="1"/>
  <c r="H26" i="3"/>
  <c r="F26" i="3" s="1"/>
  <c r="G26" i="3" s="1"/>
  <c r="A26" i="3" s="1"/>
  <c r="AA26" i="1"/>
  <c r="AA22" i="1"/>
  <c r="H22" i="3"/>
  <c r="F22" i="3" s="1"/>
  <c r="G22" i="3" s="1"/>
  <c r="A22" i="3" s="1"/>
  <c r="AA42" i="1"/>
  <c r="H42" i="3"/>
  <c r="F42" i="3" s="1"/>
  <c r="G42" i="3" s="1"/>
  <c r="A42" i="3" s="1"/>
  <c r="F3" i="3"/>
  <c r="G3" i="3" s="1"/>
  <c r="A3" i="3" s="1"/>
  <c r="O44" i="3"/>
  <c r="AA32" i="1"/>
  <c r="H32" i="3"/>
  <c r="F32" i="3" s="1"/>
  <c r="G32" i="3" s="1"/>
  <c r="A32" i="3" s="1"/>
  <c r="AA35" i="1"/>
  <c r="H35" i="3"/>
  <c r="F35" i="3" s="1"/>
  <c r="G35" i="3" s="1"/>
  <c r="A35" i="3" s="1"/>
  <c r="AA34" i="1"/>
  <c r="H34" i="3"/>
  <c r="F34" i="3" s="1"/>
  <c r="G34" i="3" s="1"/>
  <c r="A34" i="3" s="1"/>
  <c r="AA33" i="1"/>
  <c r="H33" i="3"/>
  <c r="F33" i="3" s="1"/>
  <c r="G33" i="3" s="1"/>
  <c r="A33" i="3" s="1"/>
</calcChain>
</file>

<file path=xl/sharedStrings.xml><?xml version="1.0" encoding="utf-8"?>
<sst xmlns="http://schemas.openxmlformats.org/spreadsheetml/2006/main" count="1576" uniqueCount="663">
  <si>
    <t>ARCE CABALLERO,NAHIARA NOEMI</t>
  </si>
  <si>
    <t>ARCE CONTESSI,GUADALUPE MARIA LUJAN</t>
  </si>
  <si>
    <t>AYALA MAIDANA,ALMA ISABELLA</t>
  </si>
  <si>
    <t>BARRETO AYALA,GUADALUPE MABEL</t>
  </si>
  <si>
    <t>BARRIOS MONGES,LUIS JESUS</t>
  </si>
  <si>
    <t>BENITEZ GIMENEZ,LUANA ISABEL</t>
  </si>
  <si>
    <t>BOGARIN ZORIA,TAMARY ANGELICA</t>
  </si>
  <si>
    <t>CABALLERO DIAZ,CARLOS RODRIGO</t>
  </si>
  <si>
    <t>CACERES ROMAN,THAIS VICTORIA</t>
  </si>
  <si>
    <t>CONTESSI PEREIRA,PAULA ARIANNA</t>
  </si>
  <si>
    <t>ESTIGARRIBIA ESTIGARRIBIA,BASTTIAN JOSUE</t>
  </si>
  <si>
    <t>FERNANDEZ ARCE,IVONNE VIRGINIA</t>
  </si>
  <si>
    <t>FERNANDEZ TRINIDAD,EMILIA ARAMI</t>
  </si>
  <si>
    <t>FLORENTIN LEDEZMA,TAMARA NOEMI</t>
  </si>
  <si>
    <t>FLORENTIN MARTINEZ,AYLEN PAZCAL</t>
  </si>
  <si>
    <t>FRANCO ARCE,PAULA YELENNA</t>
  </si>
  <si>
    <t>GAONA BAEZ,JEANELLY GUADALUPE</t>
  </si>
  <si>
    <t>GARCIA VIANCONI,LAUTARO RADAMEL</t>
  </si>
  <si>
    <t>GIMENEZ GALEANO,SANTIAGO MIQUEAS</t>
  </si>
  <si>
    <t>GIRETT PEREIRA,SANTIAGO JAVIER</t>
  </si>
  <si>
    <t>GOMEZ BENITEZ,FREDY ANTONIO</t>
  </si>
  <si>
    <t>GONZALEZ LOPEZ,BETHANIA MONSERRAT</t>
  </si>
  <si>
    <t>IRALA PINIENTA,SHEYLA YAMILET</t>
  </si>
  <si>
    <t>JARA BERNAL,BRAHIAN LIONEL</t>
  </si>
  <si>
    <t>MARTINEZ ROJAS,JOSIAS ARNALDO</t>
  </si>
  <si>
    <t>NOTARIO CABRAL,KARINA LUJAN</t>
  </si>
  <si>
    <t>NUÑEZ JARA,MATHIAS ISMAEL</t>
  </si>
  <si>
    <t>PAEZ CATTEBEKE,FIORELLA MONSERRAT</t>
  </si>
  <si>
    <t xml:space="preserve">PARDO ALUB,SAMIRA </t>
  </si>
  <si>
    <t>PINHO MILLAN,JONATHAN JOSIAS</t>
  </si>
  <si>
    <t>QUIÑONEZ CARDOZO,LUCERO ABYGAIL</t>
  </si>
  <si>
    <t>RAMIREZ PAEZ,EIKER DAMIAN</t>
  </si>
  <si>
    <t>RECALDE CANDIA,ALEXIS TOBIAS</t>
  </si>
  <si>
    <t>ROA NUÑEZ,VANIA AILYN</t>
  </si>
  <si>
    <t>ROJAS FRANCO,HANNY MICAL</t>
  </si>
  <si>
    <t>ROMERO PRIETO,HEIDY JIANNINA</t>
  </si>
  <si>
    <t>SALCEDO AYALA,CHRISTOPHER RODRIGO</t>
  </si>
  <si>
    <t>SAMANIEGO ROJAS,ALEX DAVID</t>
  </si>
  <si>
    <t>SILVA GARCETE,FREDY MISAEL</t>
  </si>
  <si>
    <t>VERA ALCARAZ, LIZZIE CAROLINA</t>
  </si>
  <si>
    <t>Asistencia</t>
  </si>
  <si>
    <t>Plan de Clases</t>
  </si>
  <si>
    <t>Semana Santa - Feriado</t>
  </si>
  <si>
    <t xml:space="preserve">Sin Clases, Sin energia Electrica </t>
  </si>
  <si>
    <t xml:space="preserve">Trabajo emblematico: Sobre Hábitos Saludable: Elaboración del Uso del Tiempo </t>
  </si>
  <si>
    <t xml:space="preserve">Trabajo emblematico: Sobre Hábitos Saludable </t>
  </si>
  <si>
    <t>P</t>
  </si>
  <si>
    <t>F</t>
  </si>
  <si>
    <t>Feriado</t>
  </si>
  <si>
    <t>Presentación e integración</t>
  </si>
  <si>
    <t>Introducción</t>
  </si>
  <si>
    <t>A</t>
  </si>
  <si>
    <t>La persona, Concepto</t>
  </si>
  <si>
    <t xml:space="preserve">La Persona, Desarrollo </t>
  </si>
  <si>
    <t>Reposo Médico del Docente</t>
  </si>
  <si>
    <t>La Persona Desarrollo</t>
  </si>
  <si>
    <t xml:space="preserve">La Moral </t>
  </si>
  <si>
    <t>La Persona - Desarrollo</t>
  </si>
  <si>
    <t>S/D</t>
  </si>
  <si>
    <t xml:space="preserve">La Ética </t>
  </si>
  <si>
    <t xml:space="preserve">Repaso </t>
  </si>
  <si>
    <t xml:space="preserve">Prog. Emb. Habitos </t>
  </si>
  <si>
    <t>SC</t>
  </si>
  <si>
    <t>Nombre y Apellido / Desarrollo de la Unidad</t>
  </si>
  <si>
    <t>FN</t>
  </si>
  <si>
    <t>PF</t>
  </si>
  <si>
    <t>FP</t>
  </si>
  <si>
    <t>pf</t>
  </si>
  <si>
    <t>AF</t>
  </si>
  <si>
    <t>La Familia</t>
  </si>
  <si>
    <t xml:space="preserve">Examen </t>
  </si>
  <si>
    <t>Puntos</t>
  </si>
  <si>
    <t xml:space="preserve">Uniforme </t>
  </si>
  <si>
    <t>Examen</t>
  </si>
  <si>
    <t>Responsabilidad: Tomar decisiones saludables para el bienestar propio y el de los demás, por ejemplo, eligiendo alimentos nutritivos o participando en actividades físicas.</t>
  </si>
  <si>
    <t>Respeto: Mostrar consideración hacia los demás y sus decisiones, por ejemplo, respetar el derecho de cada persona a cuidar su salud de la manera que elija.</t>
  </si>
  <si>
    <t>Solidaridad: Promover un entorno en el que todos se ayuden mutuamente a adoptar hábitos saludables, como apoyar a un compañero que decide mejorar su alimentación o hacer ejercicio.</t>
  </si>
  <si>
    <t>Reflexión ética: Pensar y cuestionar cómo nuestras decisiones afectan a nuestra salud y a la de los demás, tomando en cuenta el bienestar colectivo</t>
  </si>
  <si>
    <t>Impacto en la toma de decisiones grupales: Observar cómo las decisiones éticas y responsables se aplican en las actividades en grupo y cómo esto afecta la dinámica colectiva.</t>
  </si>
  <si>
    <t xml:space="preserve">Total </t>
  </si>
  <si>
    <t>DIAZ ACUÑA, MAXIMO RAMÓN</t>
  </si>
  <si>
    <t xml:space="preserve">Aniversario </t>
  </si>
  <si>
    <t>Desfile</t>
  </si>
  <si>
    <t>Valora su conocimiento sobre moralidad social.</t>
  </si>
  <si>
    <t>Diferencia entre moral y moralidad.</t>
  </si>
  <si>
    <t xml:space="preserve"> Identifica los principios ética – moral. </t>
  </si>
  <si>
    <t xml:space="preserve">Reflexiona sobre las normas morales. </t>
  </si>
  <si>
    <t xml:space="preserve">Identifica las épocas y cultos.   </t>
  </si>
  <si>
    <t xml:space="preserve">Valora sus conocimientos.  </t>
  </si>
  <si>
    <t>Indicadores Temas</t>
  </si>
  <si>
    <t>COLEGIO SAGRADA FAMILIA</t>
  </si>
  <si>
    <t>ESCALA DE CALIFICACIONES  - 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</si>
  <si>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</si>
  <si>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</si>
  <si>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</si>
  <si>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</si>
  <si>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</si>
  <si>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</si>
  <si>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</si>
  <si>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</si>
  <si>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 xml:space="preserve">  0 - 9 = 1</t>
  </si>
  <si>
    <t xml:space="preserve">  0 - 10 = 1</t>
  </si>
  <si>
    <t xml:space="preserve">  0 - 11 = 1</t>
  </si>
  <si>
    <t xml:space="preserve">  0 - 12 = 1</t>
  </si>
  <si>
    <t xml:space="preserve">  0 - 13 = 1</t>
  </si>
  <si>
    <t>9  - 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</si>
  <si>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</si>
  <si>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</si>
  <si>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</si>
  <si>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</si>
  <si>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</si>
  <si>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</si>
  <si>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</si>
  <si>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</si>
  <si>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</si>
  <si>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</si>
  <si>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</si>
  <si>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</si>
  <si>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</si>
  <si>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</si>
  <si>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</si>
  <si>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</si>
  <si>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 xml:space="preserve"> 15      = 5</t>
  </si>
  <si>
    <t xml:space="preserve"> 15 - 16  = 5</t>
  </si>
  <si>
    <t xml:space="preserve"> 17    = 5</t>
  </si>
  <si>
    <t xml:space="preserve"> 17 - 18 = 5</t>
  </si>
  <si>
    <t xml:space="preserve"> 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</si>
  <si>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</si>
  <si>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</si>
  <si>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</si>
  <si>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</si>
  <si>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</si>
  <si>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</si>
  <si>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</si>
  <si>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</si>
  <si>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</si>
  <si>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</si>
  <si>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</si>
  <si>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 xml:space="preserve">  0 - 14 = 1</t>
  </si>
  <si>
    <t xml:space="preserve">  0 - 15 = 1</t>
  </si>
  <si>
    <t xml:space="preserve">  0 - 16 = 1</t>
  </si>
  <si>
    <t xml:space="preserve">  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</si>
  <si>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</si>
  <si>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</si>
  <si>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</si>
  <si>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</si>
  <si>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</si>
  <si>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</si>
  <si>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</si>
  <si>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</si>
  <si>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</si>
  <si>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</si>
  <si>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</si>
  <si>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</si>
  <si>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</si>
  <si>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</si>
  <si>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</si>
  <si>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</si>
  <si>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</si>
  <si>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</si>
  <si>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</si>
  <si>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</si>
  <si>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</si>
  <si>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</si>
  <si>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</si>
  <si>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</si>
  <si>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</si>
  <si>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</si>
  <si>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</si>
  <si>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</si>
  <si>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</si>
  <si>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</si>
  <si>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</si>
  <si>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</si>
  <si>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</si>
  <si>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</si>
  <si>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 xml:space="preserve">  0 - 18 = 1</t>
  </si>
  <si>
    <t xml:space="preserve">  0 - 19 = 1</t>
  </si>
  <si>
    <t xml:space="preserve">  0 - 20 = 1</t>
  </si>
  <si>
    <t xml:space="preserve">  0 - 21 = 1</t>
  </si>
  <si>
    <t xml:space="preserve">  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</si>
  <si>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</si>
  <si>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</si>
  <si>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</si>
  <si>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</si>
  <si>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</si>
  <si>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</si>
  <si>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</si>
  <si>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</si>
  <si>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</si>
  <si>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</si>
  <si>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</si>
  <si>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</si>
  <si>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</si>
  <si>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</si>
  <si>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</si>
  <si>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</si>
  <si>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</si>
  <si>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</si>
  <si>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</si>
  <si>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</si>
  <si>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</si>
  <si>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</si>
  <si>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</si>
  <si>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</si>
  <si>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</si>
  <si>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</si>
  <si>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</si>
  <si>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</si>
  <si>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</si>
  <si>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</si>
  <si>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</si>
  <si>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</si>
  <si>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</si>
  <si>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</si>
  <si>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</si>
  <si>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 xml:space="preserve">  0 - 23 = 1</t>
  </si>
  <si>
    <t xml:space="preserve">  0 - 24 = 1</t>
  </si>
  <si>
    <t xml:space="preserve">  0 - 25 = 1</t>
  </si>
  <si>
    <t xml:space="preserve">  0 - 26 = 1</t>
  </si>
  <si>
    <t xml:space="preserve">  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</si>
  <si>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</si>
  <si>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</si>
  <si>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</si>
  <si>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</si>
  <si>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</si>
  <si>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</si>
  <si>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</si>
  <si>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</si>
  <si>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</si>
  <si>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</si>
  <si>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</si>
  <si>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</si>
  <si>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</si>
  <si>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</si>
  <si>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</si>
  <si>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</si>
  <si>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</si>
  <si>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</si>
  <si>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</si>
  <si>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</si>
  <si>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</si>
  <si>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</si>
  <si>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</si>
  <si>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</si>
  <si>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</si>
  <si>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</si>
  <si>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</si>
  <si>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</si>
  <si>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</si>
  <si>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</si>
  <si>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</si>
  <si>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</si>
  <si>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</si>
  <si>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</si>
  <si>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</si>
  <si>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</si>
  <si>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</si>
  <si>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 xml:space="preserve">  0 - 28 = 1</t>
  </si>
  <si>
    <t xml:space="preserve">  0 - 29 = 1</t>
  </si>
  <si>
    <t xml:space="preserve">  0 - 30 = 1</t>
  </si>
  <si>
    <t xml:space="preserve">  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</si>
  <si>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</si>
  <si>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</si>
  <si>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</si>
  <si>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</si>
  <si>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</si>
  <si>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</si>
  <si>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</si>
  <si>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</si>
  <si>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</si>
  <si>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</si>
  <si>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</si>
  <si>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</si>
  <si>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</si>
  <si>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</si>
  <si>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</si>
  <si>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</si>
  <si>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</si>
  <si>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</si>
  <si>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</si>
  <si>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</si>
  <si>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</si>
  <si>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</si>
  <si>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</si>
  <si>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</si>
  <si>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</si>
  <si>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</si>
  <si>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</si>
  <si>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</si>
  <si>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</si>
  <si>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</si>
  <si>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</si>
  <si>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</si>
  <si>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</si>
  <si>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</si>
  <si>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 xml:space="preserve">  0 - 32 = 1</t>
  </si>
  <si>
    <t xml:space="preserve">  0 - 33 = 1</t>
  </si>
  <si>
    <t xml:space="preserve">  0 - 34 = 1</t>
  </si>
  <si>
    <t xml:space="preserve">  0 - 35 = 1</t>
  </si>
  <si>
    <t xml:space="preserve">  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</si>
  <si>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</si>
  <si>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</si>
  <si>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</si>
  <si>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</si>
  <si>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</si>
  <si>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</si>
  <si>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</si>
  <si>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</si>
  <si>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</si>
  <si>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</si>
  <si>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</si>
  <si>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</si>
  <si>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</si>
  <si>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</si>
  <si>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</si>
  <si>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</si>
  <si>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</si>
  <si>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</si>
  <si>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</si>
  <si>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</si>
  <si>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</si>
  <si>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</si>
  <si>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</si>
  <si>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</si>
  <si>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</si>
  <si>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</si>
  <si>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</si>
  <si>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</si>
  <si>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</si>
  <si>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</si>
  <si>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</si>
  <si>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</si>
  <si>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</si>
  <si>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</si>
  <si>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 xml:space="preserve">  0 - 37 = 1</t>
  </si>
  <si>
    <t xml:space="preserve">  0 - 38 = 1</t>
  </si>
  <si>
    <t xml:space="preserve">  0 - 39 = 1</t>
  </si>
  <si>
    <t xml:space="preserve">  0 - 40 = 1</t>
  </si>
  <si>
    <t xml:space="preserve">  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</si>
  <si>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</si>
  <si>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</si>
  <si>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</si>
  <si>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</si>
  <si>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</si>
  <si>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</si>
  <si>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</si>
  <si>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</si>
  <si>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</si>
  <si>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</si>
  <si>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</si>
  <si>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</si>
  <si>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</si>
  <si>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</si>
  <si>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</si>
  <si>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</si>
  <si>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</si>
  <si>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</si>
  <si>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</si>
  <si>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</si>
  <si>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</si>
  <si>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</si>
  <si>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</si>
  <si>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</si>
  <si>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</si>
  <si>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</si>
  <si>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</si>
  <si>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</si>
  <si>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</si>
  <si>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</si>
  <si>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</si>
  <si>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</si>
  <si>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</si>
  <si>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</si>
  <si>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</si>
  <si>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</si>
  <si>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 xml:space="preserve">  0 - 42 = 1</t>
  </si>
  <si>
    <t xml:space="preserve">  0 - 43 = 1</t>
  </si>
  <si>
    <t xml:space="preserve">  0 - 44 = 1</t>
  </si>
  <si>
    <t xml:space="preserve">  0 - 45 = 1</t>
  </si>
  <si>
    <t xml:space="preserve">  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</si>
  <si>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</si>
  <si>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</si>
  <si>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</si>
  <si>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</si>
  <si>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</si>
  <si>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</si>
  <si>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</si>
  <si>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</si>
  <si>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</si>
  <si>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</si>
  <si>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</si>
  <si>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</si>
  <si>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</si>
  <si>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</si>
  <si>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</si>
  <si>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</si>
  <si>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</si>
  <si>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</si>
  <si>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</si>
  <si>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</si>
  <si>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</si>
  <si>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</si>
  <si>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</si>
  <si>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</si>
  <si>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</si>
  <si>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</si>
  <si>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</si>
  <si>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</si>
  <si>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</si>
  <si>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</si>
  <si>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</si>
  <si>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</si>
  <si>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</si>
  <si>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</si>
  <si>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</si>
  <si>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 xml:space="preserve">  0 - 47 = 1</t>
  </si>
  <si>
    <t xml:space="preserve">  0 - 48 = 1</t>
  </si>
  <si>
    <t xml:space="preserve">  0 - 49 = 1</t>
  </si>
  <si>
    <t xml:space="preserve">  0 - 50 = 1</t>
  </si>
  <si>
    <t xml:space="preserve">  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</si>
  <si>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</si>
  <si>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</si>
  <si>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</si>
  <si>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</si>
  <si>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</si>
  <si>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</si>
  <si>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</si>
  <si>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</si>
  <si>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</si>
  <si>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</si>
  <si>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</si>
  <si>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</si>
  <si>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</si>
  <si>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</si>
  <si>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</si>
  <si>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</si>
  <si>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</si>
  <si>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</si>
  <si>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</si>
  <si>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</si>
  <si>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</si>
  <si>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</si>
  <si>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</si>
  <si>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</si>
  <si>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</si>
  <si>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</si>
  <si>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</si>
  <si>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</si>
  <si>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</si>
  <si>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</si>
  <si>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</si>
  <si>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</si>
  <si>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</si>
  <si>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</si>
  <si>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</si>
  <si>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</si>
  <si>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</si>
  <si>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 xml:space="preserve">  0 - 52 = 1</t>
  </si>
  <si>
    <t xml:space="preserve">  0 - 53 = 1</t>
  </si>
  <si>
    <t xml:space="preserve">  0 - 54 = 1</t>
  </si>
  <si>
    <t xml:space="preserve">  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</si>
  <si>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</si>
  <si>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</si>
  <si>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</si>
  <si>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</si>
  <si>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</si>
  <si>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</si>
  <si>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</si>
  <si>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</si>
  <si>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</si>
  <si>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</si>
  <si>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</si>
  <si>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</si>
  <si>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</si>
  <si>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</si>
  <si>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</si>
  <si>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</si>
  <si>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</si>
  <si>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</si>
  <si>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</si>
  <si>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</si>
  <si>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</si>
  <si>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</si>
  <si>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</si>
  <si>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</si>
  <si>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</si>
  <si>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</si>
  <si>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</si>
  <si>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</si>
  <si>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</si>
  <si>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</si>
  <si>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</si>
  <si>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</si>
  <si>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</si>
  <si>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</si>
  <si>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 xml:space="preserve">  0 - 56 = 1</t>
  </si>
  <si>
    <t xml:space="preserve">  0 - 57 = 1</t>
  </si>
  <si>
    <t xml:space="preserve">  0 - 58 = 1</t>
  </si>
  <si>
    <t xml:space="preserve">  0 - 59 = 1</t>
  </si>
  <si>
    <t xml:space="preserve">  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</si>
  <si>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</si>
  <si>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</si>
  <si>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</si>
  <si>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</si>
  <si>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</si>
  <si>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</si>
  <si>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</si>
  <si>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</si>
  <si>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</si>
  <si>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</si>
  <si>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</si>
  <si>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</si>
  <si>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</si>
  <si>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</si>
  <si>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</si>
  <si>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</si>
  <si>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</si>
  <si>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</si>
  <si>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</si>
  <si>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</si>
  <si>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</si>
  <si>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</si>
  <si>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</si>
  <si>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</si>
  <si>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</si>
  <si>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</si>
  <si>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</si>
  <si>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</si>
  <si>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</si>
  <si>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</si>
  <si>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</si>
  <si>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</si>
  <si>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</si>
  <si>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</si>
  <si>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</si>
  <si>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 xml:space="preserve">  0 - 61 = 1</t>
  </si>
  <si>
    <t xml:space="preserve">  0 - 62 = 1</t>
  </si>
  <si>
    <t xml:space="preserve">  0 - 63 = 1</t>
  </si>
  <si>
    <t xml:space="preserve">  0 - 64 = 1</t>
  </si>
  <si>
    <t xml:space="preserve">  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</si>
  <si>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</si>
  <si>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</si>
  <si>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</si>
  <si>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</si>
  <si>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</si>
  <si>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</si>
  <si>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</si>
  <si>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</si>
  <si>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</si>
  <si>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</si>
  <si>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</si>
  <si>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</si>
  <si>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</si>
  <si>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</si>
  <si>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</si>
  <si>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</si>
  <si>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</si>
  <si>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</si>
  <si>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</si>
  <si>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</si>
  <si>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</si>
  <si>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</si>
  <si>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</si>
  <si>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</si>
  <si>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</si>
  <si>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</si>
  <si>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</si>
  <si>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</si>
  <si>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</si>
  <si>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</si>
  <si>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</si>
  <si>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</si>
  <si>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</si>
  <si>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</si>
  <si>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</si>
  <si>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</si>
  <si>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 xml:space="preserve">  0 - 66 = 1</t>
  </si>
  <si>
    <t xml:space="preserve">  0 - 67 = 1</t>
  </si>
  <si>
    <t xml:space="preserve">  0 - 68 = 1</t>
  </si>
  <si>
    <t xml:space="preserve">  0 - 69 = 1</t>
  </si>
  <si>
    <t xml:space="preserve">  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</si>
  <si>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</si>
  <si>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</si>
  <si>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</si>
  <si>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</si>
  <si>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</si>
  <si>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</si>
  <si>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</si>
  <si>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</si>
  <si>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</si>
  <si>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</si>
  <si>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</si>
  <si>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</si>
  <si>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</si>
  <si>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</si>
  <si>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</si>
  <si>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</si>
  <si>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</si>
  <si>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</si>
  <si>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</si>
  <si>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</si>
  <si>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</si>
  <si>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</si>
  <si>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</si>
  <si>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</si>
  <si>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</si>
  <si>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</si>
  <si>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</si>
  <si>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</si>
  <si>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</si>
  <si>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</si>
  <si>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</si>
  <si>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</si>
  <si>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</si>
  <si>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</si>
  <si>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</si>
  <si>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 xml:space="preserve">  0 - 71 = 1</t>
  </si>
  <si>
    <t xml:space="preserve">  0 - 72 = 1</t>
  </si>
  <si>
    <t xml:space="preserve">  0 - 73 = 1</t>
  </si>
  <si>
    <t xml:space="preserve">  0 - 74 = 1</t>
  </si>
  <si>
    <t xml:space="preserve">  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</si>
  <si>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</si>
  <si>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</si>
  <si>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</si>
  <si>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</si>
  <si>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</si>
  <si>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</si>
  <si>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</si>
  <si>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</si>
  <si>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</si>
  <si>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</si>
  <si>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</si>
  <si>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</si>
  <si>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</si>
  <si>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</si>
  <si>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</si>
  <si>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</si>
  <si>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</si>
  <si>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</si>
  <si>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</si>
  <si>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</si>
  <si>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</si>
  <si>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</si>
  <si>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</si>
  <si>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</si>
  <si>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</si>
  <si>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</si>
  <si>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</si>
  <si>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</si>
  <si>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</si>
  <si>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>Nota</t>
  </si>
  <si>
    <t>Nivel de atención y concentración: Medir cuánto tiempo puede mantenerse atenta y enfocada en las actividades dentro del aula, observando si se distrae con facilidad o interrumpe la clase con movimientos constantes.</t>
  </si>
  <si>
    <t>Cumplimiento de normas y reglas del aula: Evaluar si respeta las reglas establecidas, como permanecer en su lugar, no salir sin permiso y participar en las tareas asignadas.</t>
  </si>
  <si>
    <t>Indicadores actitudinales</t>
  </si>
  <si>
    <t xml:space="preserve">Entrega los Trabajos a tiempo </t>
  </si>
  <si>
    <t>Firmas</t>
  </si>
  <si>
    <t xml:space="preserve">Mapa mental </t>
  </si>
  <si>
    <t>Feria Pedagogica</t>
  </si>
  <si>
    <t>p</t>
  </si>
  <si>
    <t>AJ</t>
  </si>
  <si>
    <t>Puntos Faltantes</t>
  </si>
  <si>
    <t>Otras aptitudes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</si>
</sst>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u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.5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1" xfId="0" applyBorder="1"/>
    <xf numFmtId="14" fontId="0" fillId="0" borderId="1" xfId="0" applyNumberFormat="1" applyBorder="1" applyAlignment="1">
      <alignment textRotation="90"/>
    </xf>
    <xf numFmtId="14" fontId="0" fillId="2" borderId="1" xfId="0" applyNumberFormat="1" applyFill="1" applyBorder="1" applyAlignment="1">
      <alignment textRotation="90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1" applyNumberFormat="1" applyFont="1" applyBorder="1"/>
    <xf numFmtId="164" fontId="0" fillId="0" borderId="0" xfId="1" applyNumberFormat="1" applyFont="1"/>
    <xf numFmtId="14" fontId="5" fillId="2" borderId="1" xfId="0" applyNumberFormat="1" applyFont="1" applyFill="1" applyBorder="1" applyAlignment="1">
      <alignment horizontal="center" textRotation="90" wrapText="1"/>
    </xf>
    <xf numFmtId="14" fontId="5" fillId="0" borderId="1" xfId="0" applyNumberFormat="1" applyFont="1" applyBorder="1" applyAlignment="1">
      <alignment horizontal="center" textRotation="90" wrapText="1"/>
    </xf>
    <xf numFmtId="0" fontId="5" fillId="0" borderId="0" xfId="0" applyFont="1" applyAlignment="1">
      <alignment horizontal="center" textRotation="90" wrapText="1"/>
    </xf>
    <xf numFmtId="14" fontId="0" fillId="2" borderId="1" xfId="0" applyNumberFormat="1" applyFill="1" applyBorder="1" applyAlignment="1">
      <alignment horizontal="center" textRotation="90"/>
    </xf>
    <xf numFmtId="14" fontId="0" fillId="0" borderId="1" xfId="0" applyNumberFormat="1" applyBorder="1" applyAlignment="1">
      <alignment horizontal="center" textRotation="90"/>
    </xf>
    <xf numFmtId="14" fontId="0" fillId="0" borderId="1" xfId="0" applyNumberFormat="1" applyBorder="1"/>
    <xf numFmtId="0" fontId="0" fillId="3" borderId="1" xfId="0" applyFill="1" applyBorder="1"/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14" fontId="7" fillId="0" borderId="1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vertical="center" wrapText="1"/>
    </xf>
    <xf numFmtId="164" fontId="0" fillId="4" borderId="1" xfId="1" applyNumberFormat="1" applyFont="1" applyFill="1" applyBorder="1"/>
    <xf numFmtId="0" fontId="7" fillId="0" borderId="1" xfId="0" applyFont="1" applyBorder="1" applyAlignment="1">
      <alignment horizontal="center" vertical="top" wrapText="1"/>
    </xf>
    <xf numFmtId="0" fontId="7" fillId="5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7" fillId="5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164" fontId="0" fillId="3" borderId="1" xfId="1" applyNumberFormat="1" applyFont="1" applyFill="1" applyBorder="1"/>
    <xf numFmtId="0" fontId="0" fillId="3" borderId="0" xfId="0" applyFill="1"/>
    <xf numFmtId="0" fontId="0" fillId="0" borderId="1" xfId="0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14" fontId="0" fillId="2" borderId="1" xfId="0" applyNumberFormat="1" applyFill="1" applyBorder="1" applyAlignment="1">
      <alignment vertical="top" textRotation="90"/>
    </xf>
    <xf numFmtId="14" fontId="0" fillId="0" borderId="1" xfId="0" applyNumberFormat="1" applyBorder="1" applyAlignment="1">
      <alignment vertical="top" textRotation="90"/>
    </xf>
    <xf numFmtId="14" fontId="0" fillId="0" borderId="0" xfId="0" applyNumberFormat="1" applyAlignment="1">
      <alignment vertical="top" textRotation="90"/>
    </xf>
    <xf numFmtId="0" fontId="0" fillId="0" borderId="0" xfId="0" applyAlignment="1">
      <alignment vertical="top"/>
    </xf>
    <xf numFmtId="0" fontId="12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43" fontId="0" fillId="0" borderId="0" xfId="1" applyFont="1" applyAlignment="1">
      <alignment vertical="top" textRotation="90"/>
    </xf>
    <xf numFmtId="43" fontId="0" fillId="0" borderId="0" xfId="1" applyFont="1" applyAlignment="1">
      <alignment textRotation="90"/>
    </xf>
    <xf numFmtId="43" fontId="0" fillId="0" borderId="0" xfId="1" applyFont="1"/>
    <xf numFmtId="0" fontId="0" fillId="4" borderId="1" xfId="0" applyFill="1" applyBorder="1" applyAlignment="1">
      <alignment vertical="top"/>
    </xf>
    <xf numFmtId="0" fontId="3" fillId="4" borderId="3" xfId="0" applyFont="1" applyFill="1" applyBorder="1" applyAlignment="1">
      <alignment vertical="center"/>
    </xf>
    <xf numFmtId="0" fontId="0" fillId="4" borderId="0" xfId="0" applyFill="1"/>
    <xf numFmtId="0" fontId="12" fillId="4" borderId="1" xfId="0" applyFont="1" applyFill="1" applyBorder="1"/>
    <xf numFmtId="0" fontId="0" fillId="0" borderId="0" xfId="0" applyAlignment="1">
      <alignment horizontal="center" wrapText="1"/>
    </xf>
    <xf numFmtId="0" fontId="6" fillId="0" borderId="1" xfId="0" applyFont="1" applyBorder="1"/>
    <xf numFmtId="0" fontId="14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200B-B0A0-4145-A991-9B20A54467A4}">
  <dimension ref="A2:B24"/>
  <sheetViews>
    <sheetView workbookViewId="0">
      <selection activeCell="E16" sqref="E16"/>
    </sheetView>
  </sheetViews>
  <sheetFormatPr baseColWidth="10" defaultRowHeight="15" x14ac:dyDescent="0.25"/>
  <cols>
    <col min="1" max="1" width="15.140625" style="11" customWidth="1"/>
    <col min="2" max="2" width="81.28515625" customWidth="1"/>
  </cols>
  <sheetData>
    <row r="2" spans="1:2" ht="18.75" x14ac:dyDescent="0.3">
      <c r="A2" s="8"/>
      <c r="B2" s="7" t="s">
        <v>41</v>
      </c>
    </row>
    <row r="3" spans="1:2" x14ac:dyDescent="0.25">
      <c r="A3" s="9">
        <v>45716</v>
      </c>
      <c r="B3" s="3" t="s">
        <v>49</v>
      </c>
    </row>
    <row r="4" spans="1:2" x14ac:dyDescent="0.25">
      <c r="A4" s="10">
        <v>45723</v>
      </c>
      <c r="B4" s="3" t="s">
        <v>50</v>
      </c>
    </row>
    <row r="5" spans="1:2" x14ac:dyDescent="0.25">
      <c r="A5" s="10">
        <v>45730</v>
      </c>
      <c r="B5" s="3" t="s">
        <v>52</v>
      </c>
    </row>
    <row r="6" spans="1:2" x14ac:dyDescent="0.25">
      <c r="A6" s="10">
        <v>45737</v>
      </c>
      <c r="B6" s="3" t="s">
        <v>53</v>
      </c>
    </row>
    <row r="7" spans="1:2" x14ac:dyDescent="0.25">
      <c r="A7" s="10">
        <v>45744</v>
      </c>
      <c r="B7" s="3" t="s">
        <v>54</v>
      </c>
    </row>
    <row r="8" spans="1:2" x14ac:dyDescent="0.25">
      <c r="A8" s="9">
        <v>45751</v>
      </c>
      <c r="B8" s="3" t="s">
        <v>56</v>
      </c>
    </row>
    <row r="9" spans="1:2" x14ac:dyDescent="0.25">
      <c r="A9" s="9">
        <v>45758</v>
      </c>
      <c r="B9" s="3" t="s">
        <v>59</v>
      </c>
    </row>
    <row r="10" spans="1:2" x14ac:dyDescent="0.25">
      <c r="A10" s="9">
        <v>45765</v>
      </c>
      <c r="B10" s="3" t="s">
        <v>42</v>
      </c>
    </row>
    <row r="11" spans="1:2" x14ac:dyDescent="0.25">
      <c r="A11" s="9">
        <v>45772</v>
      </c>
      <c r="B11" s="19" t="str">
        <f>+Asistencia!L2</f>
        <v xml:space="preserve">Repaso </v>
      </c>
    </row>
    <row r="12" spans="1:2" x14ac:dyDescent="0.25">
      <c r="A12" s="10">
        <v>45779</v>
      </c>
      <c r="B12" s="3"/>
    </row>
    <row r="13" spans="1:2" x14ac:dyDescent="0.25">
      <c r="A13" s="10">
        <v>45786</v>
      </c>
      <c r="B13" s="3" t="s">
        <v>43</v>
      </c>
    </row>
    <row r="14" spans="1:2" x14ac:dyDescent="0.25">
      <c r="A14" s="10">
        <v>45793</v>
      </c>
      <c r="B14" s="3" t="s">
        <v>44</v>
      </c>
    </row>
    <row r="15" spans="1:2" x14ac:dyDescent="0.25">
      <c r="A15" s="10">
        <v>45800</v>
      </c>
      <c r="B15" s="3" t="s">
        <v>45</v>
      </c>
    </row>
    <row r="16" spans="1:2" x14ac:dyDescent="0.25">
      <c r="A16" s="10">
        <v>45807</v>
      </c>
      <c r="B16" s="3" t="s">
        <v>70</v>
      </c>
    </row>
    <row r="17" spans="1:2" x14ac:dyDescent="0.25">
      <c r="A17" s="9">
        <v>45814</v>
      </c>
      <c r="B17" s="3" t="s">
        <v>45</v>
      </c>
    </row>
    <row r="18" spans="1:2" x14ac:dyDescent="0.25">
      <c r="A18" s="9">
        <v>45821</v>
      </c>
      <c r="B18" s="3"/>
    </row>
    <row r="19" spans="1:2" x14ac:dyDescent="0.25">
      <c r="A19" s="9">
        <v>45828</v>
      </c>
      <c r="B19" s="3"/>
    </row>
    <row r="20" spans="1:2" x14ac:dyDescent="0.25">
      <c r="A20" s="9">
        <v>45835</v>
      </c>
      <c r="B20" s="3"/>
    </row>
    <row r="21" spans="1:2" x14ac:dyDescent="0.25">
      <c r="A21" s="10">
        <v>45842</v>
      </c>
      <c r="B21" s="3"/>
    </row>
    <row r="22" spans="1:2" x14ac:dyDescent="0.25">
      <c r="A22" s="10">
        <v>45849</v>
      </c>
      <c r="B22" s="3"/>
    </row>
    <row r="23" spans="1:2" x14ac:dyDescent="0.25">
      <c r="A23" s="10">
        <v>45856</v>
      </c>
      <c r="B23" s="3"/>
    </row>
    <row r="24" spans="1:2" x14ac:dyDescent="0.25">
      <c r="A24" s="10">
        <v>45863</v>
      </c>
      <c r="B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2F0C-E1E8-4C48-B459-8A22DC79EA76}">
  <dimension ref="A1:AK42"/>
  <sheetViews>
    <sheetView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P34" sqref="P34"/>
    </sheetView>
  </sheetViews>
  <sheetFormatPr baseColWidth="10" defaultRowHeight="15" x14ac:dyDescent="0.25"/>
  <cols>
    <col min="1" max="1" width="3.7109375" bestFit="1" customWidth="1"/>
    <col min="2" max="2" width="40.42578125" style="66" bestFit="1" customWidth="1"/>
    <col min="3" max="3" width="10.5703125" style="13" bestFit="1" customWidth="1"/>
    <col min="4" max="4" width="5.5703125" style="2" customWidth="1"/>
    <col min="5" max="5" width="3.7109375" style="2" bestFit="1" customWidth="1"/>
    <col min="6" max="7" width="5.5703125" style="2" customWidth="1"/>
    <col min="8" max="13" width="3.7109375" style="2" bestFit="1" customWidth="1"/>
    <col min="14" max="16" width="5.5703125" style="2" customWidth="1"/>
    <col min="17" max="17" width="3.7109375" bestFit="1" customWidth="1"/>
    <col min="18" max="18" width="11.140625" bestFit="1" customWidth="1"/>
    <col min="19" max="26" width="3.7109375" bestFit="1" customWidth="1"/>
    <col min="27" max="27" width="6" style="63" bestFit="1" customWidth="1"/>
  </cols>
  <sheetData>
    <row r="1" spans="1:37" s="56" customFormat="1" ht="69" customHeight="1" x14ac:dyDescent="0.25">
      <c r="A1" s="51"/>
      <c r="B1" s="64" t="s">
        <v>40</v>
      </c>
      <c r="C1" s="52"/>
      <c r="D1" s="53">
        <v>45716</v>
      </c>
      <c r="E1" s="54">
        <v>45723</v>
      </c>
      <c r="F1" s="54">
        <v>45730</v>
      </c>
      <c r="G1" s="54">
        <v>45737</v>
      </c>
      <c r="H1" s="54">
        <v>45744</v>
      </c>
      <c r="I1" s="53">
        <v>45751</v>
      </c>
      <c r="J1" s="53">
        <v>45758</v>
      </c>
      <c r="K1" s="53">
        <v>45765</v>
      </c>
      <c r="L1" s="53">
        <v>45772</v>
      </c>
      <c r="M1" s="54">
        <v>45779</v>
      </c>
      <c r="N1" s="54">
        <v>45786</v>
      </c>
      <c r="O1" s="54">
        <v>45793</v>
      </c>
      <c r="P1" s="54">
        <v>45800</v>
      </c>
      <c r="Q1" s="54">
        <v>45807</v>
      </c>
      <c r="R1" s="53">
        <v>45814</v>
      </c>
      <c r="S1" s="53">
        <v>45821</v>
      </c>
      <c r="T1" s="53">
        <v>45828</v>
      </c>
      <c r="U1" s="53">
        <v>45835</v>
      </c>
      <c r="V1" s="54">
        <v>45842</v>
      </c>
      <c r="W1" s="54">
        <v>45849</v>
      </c>
      <c r="X1" s="54">
        <v>45856</v>
      </c>
      <c r="Y1" s="54">
        <v>45863</v>
      </c>
      <c r="Z1" s="55" t="s">
        <v>656</v>
      </c>
      <c r="AA1" s="61"/>
      <c r="AB1" s="55"/>
      <c r="AC1" s="55"/>
      <c r="AD1" s="55"/>
      <c r="AE1" s="55"/>
      <c r="AF1" s="55"/>
      <c r="AG1" s="55"/>
      <c r="AH1" s="55"/>
      <c r="AI1" s="55"/>
      <c r="AJ1" s="55"/>
      <c r="AK1" s="55"/>
    </row>
    <row r="2" spans="1:37" ht="129" x14ac:dyDescent="0.25">
      <c r="A2" s="21" t="s">
        <v>63</v>
      </c>
      <c r="B2" s="65"/>
      <c r="C2" s="22"/>
      <c r="D2" s="14" t="s">
        <v>49</v>
      </c>
      <c r="E2" s="15" t="str">
        <f>+'Temas desarrollados'!B4</f>
        <v>Introducción</v>
      </c>
      <c r="F2" s="15" t="s">
        <v>55</v>
      </c>
      <c r="G2" s="16" t="s">
        <v>57</v>
      </c>
      <c r="H2" s="15" t="s">
        <v>58</v>
      </c>
      <c r="I2" s="15" t="s">
        <v>56</v>
      </c>
      <c r="J2" s="14" t="str">
        <f>+'Temas desarrollados'!B9</f>
        <v xml:space="preserve">La Ética </v>
      </c>
      <c r="K2" s="14" t="s">
        <v>48</v>
      </c>
      <c r="L2" s="17" t="s">
        <v>60</v>
      </c>
      <c r="M2" s="18" t="s">
        <v>69</v>
      </c>
      <c r="N2" s="15" t="s">
        <v>43</v>
      </c>
      <c r="O2" s="15" t="s">
        <v>61</v>
      </c>
      <c r="P2" s="15" t="s">
        <v>61</v>
      </c>
      <c r="Q2" s="4" t="str">
        <f>+'Temas desarrollados'!B16</f>
        <v xml:space="preserve">Examen </v>
      </c>
      <c r="R2" s="15" t="str">
        <f>+'Temas desarrollados'!B17</f>
        <v xml:space="preserve">Trabajo emblematico: Sobre Hábitos Saludable </v>
      </c>
      <c r="S2" s="5">
        <f>+'Temas desarrollados'!B18</f>
        <v>0</v>
      </c>
      <c r="T2" s="5">
        <f>+'Temas desarrollados'!B19</f>
        <v>0</v>
      </c>
      <c r="U2" s="5">
        <f>+'Temas desarrollados'!B20</f>
        <v>0</v>
      </c>
      <c r="V2" s="4"/>
      <c r="W2" s="4"/>
      <c r="X2" s="4"/>
      <c r="Y2" s="4"/>
      <c r="Z2" s="1"/>
      <c r="AA2" s="62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3">
        <v>-1</v>
      </c>
      <c r="B3" s="24" t="s">
        <v>0</v>
      </c>
      <c r="C3" s="12">
        <v>7344430</v>
      </c>
      <c r="D3" s="23" t="s">
        <v>65</v>
      </c>
      <c r="E3" s="6" t="s">
        <v>46</v>
      </c>
      <c r="F3" s="6" t="s">
        <v>65</v>
      </c>
      <c r="G3" s="6" t="s">
        <v>65</v>
      </c>
      <c r="H3" s="6" t="s">
        <v>46</v>
      </c>
      <c r="I3" s="6" t="s">
        <v>65</v>
      </c>
      <c r="J3" s="6" t="s">
        <v>66</v>
      </c>
      <c r="K3" s="6" t="s">
        <v>64</v>
      </c>
      <c r="L3" s="6" t="s">
        <v>46</v>
      </c>
      <c r="M3" s="6" t="s">
        <v>65</v>
      </c>
      <c r="N3" s="6" t="s">
        <v>62</v>
      </c>
      <c r="O3" s="23" t="s">
        <v>65</v>
      </c>
      <c r="P3" s="6" t="s">
        <v>65</v>
      </c>
      <c r="Q3" s="3"/>
      <c r="R3" s="3"/>
      <c r="S3" s="3"/>
      <c r="T3" s="3"/>
      <c r="U3" s="3" t="s">
        <v>46</v>
      </c>
      <c r="V3" s="3"/>
      <c r="W3" s="3"/>
      <c r="X3" s="3"/>
      <c r="Y3" s="3"/>
      <c r="Z3">
        <f>+COUNTIF(D3:Y3,"PF")+COUNTIF(D3:Y3,"AF")</f>
        <v>7</v>
      </c>
      <c r="AA3" s="63">
        <f>7-Z3</f>
        <v>0</v>
      </c>
    </row>
    <row r="4" spans="1:37" x14ac:dyDescent="0.25">
      <c r="A4" s="3">
        <v>-2</v>
      </c>
      <c r="B4" s="24" t="s">
        <v>1</v>
      </c>
      <c r="C4" s="12">
        <v>7503128</v>
      </c>
      <c r="D4" s="23" t="s">
        <v>65</v>
      </c>
      <c r="E4" s="6" t="s">
        <v>46</v>
      </c>
      <c r="F4" s="6" t="s">
        <v>67</v>
      </c>
      <c r="G4" s="6" t="s">
        <v>46</v>
      </c>
      <c r="H4" s="6" t="s">
        <v>46</v>
      </c>
      <c r="I4" s="6" t="s">
        <v>65</v>
      </c>
      <c r="J4" s="6" t="s">
        <v>67</v>
      </c>
      <c r="K4" s="6" t="s">
        <v>47</v>
      </c>
      <c r="L4" s="6" t="s">
        <v>46</v>
      </c>
      <c r="M4" s="6" t="s">
        <v>65</v>
      </c>
      <c r="N4" s="6" t="s">
        <v>62</v>
      </c>
      <c r="O4" s="23" t="s">
        <v>65</v>
      </c>
      <c r="P4" s="6" t="s">
        <v>65</v>
      </c>
      <c r="Q4" s="3"/>
      <c r="R4" s="3"/>
      <c r="S4" s="3"/>
      <c r="T4" s="3"/>
      <c r="U4" s="3" t="s">
        <v>46</v>
      </c>
      <c r="V4" s="3"/>
      <c r="W4" s="3"/>
      <c r="X4" s="3"/>
      <c r="Y4" s="3"/>
      <c r="Z4">
        <f t="shared" ref="Z4:Z42" si="0">+COUNTIF(D4:Y4,"PF")+COUNTIF(D4:Y4,"AF")</f>
        <v>7</v>
      </c>
      <c r="AA4" s="63">
        <f t="shared" ref="AA4:AA42" si="1">7-Z4</f>
        <v>0</v>
      </c>
    </row>
    <row r="5" spans="1:37" x14ac:dyDescent="0.25">
      <c r="A5" s="3">
        <v>-3</v>
      </c>
      <c r="B5" s="24" t="s">
        <v>2</v>
      </c>
      <c r="C5" s="12">
        <v>7343210</v>
      </c>
      <c r="D5" s="23" t="s">
        <v>65</v>
      </c>
      <c r="E5" s="6" t="s">
        <v>46</v>
      </c>
      <c r="F5" s="6" t="s">
        <v>65</v>
      </c>
      <c r="G5" s="6" t="s">
        <v>46</v>
      </c>
      <c r="H5" s="6" t="s">
        <v>65</v>
      </c>
      <c r="I5" s="6" t="s">
        <v>65</v>
      </c>
      <c r="J5" s="6" t="s">
        <v>65</v>
      </c>
      <c r="K5" s="6" t="s">
        <v>47</v>
      </c>
      <c r="L5" s="6" t="s">
        <v>46</v>
      </c>
      <c r="M5" s="6" t="s">
        <v>65</v>
      </c>
      <c r="N5" s="6" t="s">
        <v>62</v>
      </c>
      <c r="O5" s="23" t="s">
        <v>65</v>
      </c>
      <c r="P5" s="6" t="s">
        <v>51</v>
      </c>
      <c r="Q5" s="3"/>
      <c r="R5" s="3"/>
      <c r="S5" s="3"/>
      <c r="T5" s="3"/>
      <c r="U5" s="3" t="s">
        <v>46</v>
      </c>
      <c r="V5" s="3"/>
      <c r="W5" s="3"/>
      <c r="X5" s="3"/>
      <c r="Y5" s="3"/>
      <c r="Z5">
        <f t="shared" si="0"/>
        <v>7</v>
      </c>
      <c r="AA5" s="63">
        <f t="shared" si="1"/>
        <v>0</v>
      </c>
    </row>
    <row r="6" spans="1:37" x14ac:dyDescent="0.25">
      <c r="A6" s="3">
        <v>-4</v>
      </c>
      <c r="B6" s="24" t="s">
        <v>3</v>
      </c>
      <c r="C6" s="12">
        <v>7474276</v>
      </c>
      <c r="D6" s="23" t="s">
        <v>65</v>
      </c>
      <c r="E6" s="6" t="s">
        <v>46</v>
      </c>
      <c r="F6" s="6" t="s">
        <v>67</v>
      </c>
      <c r="G6" s="6" t="s">
        <v>46</v>
      </c>
      <c r="H6" s="6" t="s">
        <v>46</v>
      </c>
      <c r="I6" s="6" t="s">
        <v>67</v>
      </c>
      <c r="J6" s="6" t="s">
        <v>67</v>
      </c>
      <c r="K6" s="6" t="s">
        <v>47</v>
      </c>
      <c r="L6" s="6" t="s">
        <v>46</v>
      </c>
      <c r="M6" s="6" t="s">
        <v>65</v>
      </c>
      <c r="N6" s="6" t="s">
        <v>62</v>
      </c>
      <c r="O6" s="23" t="s">
        <v>65</v>
      </c>
      <c r="P6" s="6" t="s">
        <v>67</v>
      </c>
      <c r="Q6" s="3"/>
      <c r="R6" s="3"/>
      <c r="S6" s="3"/>
      <c r="T6" s="3"/>
      <c r="U6" s="3" t="s">
        <v>46</v>
      </c>
      <c r="V6" s="3"/>
      <c r="W6" s="3"/>
      <c r="X6" s="3"/>
      <c r="Y6" s="3"/>
      <c r="Z6">
        <f t="shared" si="0"/>
        <v>7</v>
      </c>
      <c r="AA6" s="63">
        <f t="shared" si="1"/>
        <v>0</v>
      </c>
    </row>
    <row r="7" spans="1:37" x14ac:dyDescent="0.25">
      <c r="A7" s="3">
        <v>-5</v>
      </c>
      <c r="B7" s="24" t="s">
        <v>4</v>
      </c>
      <c r="C7" s="12">
        <v>7958599</v>
      </c>
      <c r="D7" s="23" t="s">
        <v>65</v>
      </c>
      <c r="E7" s="6" t="s">
        <v>46</v>
      </c>
      <c r="F7" s="6" t="s">
        <v>67</v>
      </c>
      <c r="G7" s="6" t="s">
        <v>67</v>
      </c>
      <c r="H7" s="6" t="s">
        <v>46</v>
      </c>
      <c r="I7" s="6" t="s">
        <v>67</v>
      </c>
      <c r="J7" s="6" t="s">
        <v>67</v>
      </c>
      <c r="K7" s="6" t="s">
        <v>47</v>
      </c>
      <c r="L7" s="6" t="s">
        <v>46</v>
      </c>
      <c r="M7" s="6" t="s">
        <v>46</v>
      </c>
      <c r="N7" s="6" t="s">
        <v>62</v>
      </c>
      <c r="O7" s="23" t="s">
        <v>65</v>
      </c>
      <c r="P7" s="6" t="s">
        <v>67</v>
      </c>
      <c r="Q7" s="3"/>
      <c r="R7" s="3"/>
      <c r="S7" s="3"/>
      <c r="T7" s="3"/>
      <c r="U7" s="3" t="s">
        <v>46</v>
      </c>
      <c r="V7" s="3"/>
      <c r="W7" s="3"/>
      <c r="X7" s="3"/>
      <c r="Y7" s="3"/>
      <c r="Z7">
        <f t="shared" si="0"/>
        <v>7</v>
      </c>
      <c r="AA7" s="63">
        <f t="shared" si="1"/>
        <v>0</v>
      </c>
    </row>
    <row r="8" spans="1:37" x14ac:dyDescent="0.25">
      <c r="A8" s="3">
        <v>-6</v>
      </c>
      <c r="B8" s="24" t="s">
        <v>5</v>
      </c>
      <c r="C8" s="12">
        <v>8101499</v>
      </c>
      <c r="D8" s="23" t="s">
        <v>65</v>
      </c>
      <c r="E8" s="6" t="s">
        <v>46</v>
      </c>
      <c r="F8" s="6" t="s">
        <v>67</v>
      </c>
      <c r="G8" s="6" t="s">
        <v>67</v>
      </c>
      <c r="H8" s="6" t="s">
        <v>46</v>
      </c>
      <c r="I8" s="6" t="s">
        <v>65</v>
      </c>
      <c r="J8" s="6" t="s">
        <v>65</v>
      </c>
      <c r="K8" s="6" t="s">
        <v>47</v>
      </c>
      <c r="L8" s="6" t="s">
        <v>46</v>
      </c>
      <c r="M8" s="6" t="s">
        <v>46</v>
      </c>
      <c r="N8" s="6" t="s">
        <v>62</v>
      </c>
      <c r="O8" s="23" t="s">
        <v>65</v>
      </c>
      <c r="P8" s="6" t="s">
        <v>67</v>
      </c>
      <c r="Q8" s="3"/>
      <c r="R8" s="3"/>
      <c r="S8" s="3"/>
      <c r="T8" s="3"/>
      <c r="U8" s="3" t="s">
        <v>46</v>
      </c>
      <c r="V8" s="3"/>
      <c r="W8" s="3"/>
      <c r="X8" s="3"/>
      <c r="Y8" s="3"/>
      <c r="Z8">
        <f t="shared" si="0"/>
        <v>7</v>
      </c>
      <c r="AA8" s="63">
        <f t="shared" si="1"/>
        <v>0</v>
      </c>
    </row>
    <row r="9" spans="1:37" x14ac:dyDescent="0.25">
      <c r="A9" s="3">
        <v>-7</v>
      </c>
      <c r="B9" s="24" t="s">
        <v>6</v>
      </c>
      <c r="C9" s="12">
        <v>7651970</v>
      </c>
      <c r="D9" s="23" t="s">
        <v>65</v>
      </c>
      <c r="E9" s="6" t="s">
        <v>46</v>
      </c>
      <c r="F9" s="6" t="s">
        <v>65</v>
      </c>
      <c r="G9" s="6" t="s">
        <v>46</v>
      </c>
      <c r="H9" s="6" t="s">
        <v>46</v>
      </c>
      <c r="I9" s="6" t="s">
        <v>65</v>
      </c>
      <c r="J9" s="6" t="s">
        <v>65</v>
      </c>
      <c r="K9" s="6" t="s">
        <v>47</v>
      </c>
      <c r="L9" s="6" t="s">
        <v>46</v>
      </c>
      <c r="M9" s="6" t="s">
        <v>65</v>
      </c>
      <c r="N9" s="6" t="s">
        <v>62</v>
      </c>
      <c r="O9" s="23" t="s">
        <v>65</v>
      </c>
      <c r="P9" s="6" t="s">
        <v>51</v>
      </c>
      <c r="Q9" s="3"/>
      <c r="R9" s="3"/>
      <c r="S9" s="3"/>
      <c r="T9" s="3"/>
      <c r="U9" s="3" t="s">
        <v>46</v>
      </c>
      <c r="V9" s="3"/>
      <c r="W9" s="3"/>
      <c r="X9" s="3"/>
      <c r="Y9" s="3"/>
      <c r="Z9">
        <f t="shared" si="0"/>
        <v>6</v>
      </c>
      <c r="AA9" s="63">
        <f t="shared" si="1"/>
        <v>1</v>
      </c>
    </row>
    <row r="10" spans="1:37" x14ac:dyDescent="0.25">
      <c r="A10" s="3">
        <v>-8</v>
      </c>
      <c r="B10" s="24" t="s">
        <v>7</v>
      </c>
      <c r="C10" s="12">
        <v>7222581</v>
      </c>
      <c r="D10" s="23" t="s">
        <v>65</v>
      </c>
      <c r="E10" s="6" t="s">
        <v>46</v>
      </c>
      <c r="F10" s="6" t="s">
        <v>65</v>
      </c>
      <c r="G10" s="6" t="s">
        <v>46</v>
      </c>
      <c r="H10" s="6" t="s">
        <v>46</v>
      </c>
      <c r="I10" s="6" t="s">
        <v>67</v>
      </c>
      <c r="J10" s="6" t="s">
        <v>67</v>
      </c>
      <c r="K10" s="6" t="s">
        <v>47</v>
      </c>
      <c r="L10" s="6" t="s">
        <v>46</v>
      </c>
      <c r="M10" s="6" t="s">
        <v>65</v>
      </c>
      <c r="N10" s="6" t="s">
        <v>62</v>
      </c>
      <c r="O10" s="23" t="s">
        <v>65</v>
      </c>
      <c r="P10" s="6" t="s">
        <v>65</v>
      </c>
      <c r="Q10" s="3"/>
      <c r="R10" s="3"/>
      <c r="S10" s="3"/>
      <c r="T10" s="3"/>
      <c r="U10" s="3" t="s">
        <v>46</v>
      </c>
      <c r="V10" s="3"/>
      <c r="W10" s="3"/>
      <c r="X10" s="3"/>
      <c r="Y10" s="3"/>
      <c r="Z10">
        <f t="shared" si="0"/>
        <v>7</v>
      </c>
      <c r="AA10" s="63">
        <f t="shared" si="1"/>
        <v>0</v>
      </c>
    </row>
    <row r="11" spans="1:37" x14ac:dyDescent="0.25">
      <c r="A11" s="3">
        <v>-9</v>
      </c>
      <c r="B11" s="24" t="s">
        <v>8</v>
      </c>
      <c r="C11" s="12">
        <v>7357774</v>
      </c>
      <c r="D11" s="23" t="s">
        <v>65</v>
      </c>
      <c r="E11" s="6" t="s">
        <v>46</v>
      </c>
      <c r="F11" s="6" t="s">
        <v>65</v>
      </c>
      <c r="G11" s="6" t="s">
        <v>46</v>
      </c>
      <c r="H11" s="6" t="s">
        <v>46</v>
      </c>
      <c r="I11" s="6" t="s">
        <v>65</v>
      </c>
      <c r="J11" s="6" t="s">
        <v>65</v>
      </c>
      <c r="K11" s="6" t="s">
        <v>47</v>
      </c>
      <c r="L11" s="6" t="s">
        <v>46</v>
      </c>
      <c r="M11" s="6" t="s">
        <v>65</v>
      </c>
      <c r="N11" s="6" t="s">
        <v>62</v>
      </c>
      <c r="O11" s="23" t="s">
        <v>65</v>
      </c>
      <c r="P11" s="6" t="s">
        <v>68</v>
      </c>
      <c r="Q11" s="3"/>
      <c r="R11" s="3"/>
      <c r="S11" s="3"/>
      <c r="T11" s="3"/>
      <c r="U11" s="3" t="s">
        <v>46</v>
      </c>
      <c r="V11" s="3"/>
      <c r="W11" s="3"/>
      <c r="X11" s="3"/>
      <c r="Y11" s="3"/>
      <c r="Z11">
        <f t="shared" si="0"/>
        <v>7</v>
      </c>
      <c r="AA11" s="63">
        <f t="shared" si="1"/>
        <v>0</v>
      </c>
    </row>
    <row r="12" spans="1:37" x14ac:dyDescent="0.25">
      <c r="A12" s="3">
        <v>-10</v>
      </c>
      <c r="B12" s="24" t="s">
        <v>9</v>
      </c>
      <c r="C12" s="12">
        <v>7342752</v>
      </c>
      <c r="D12" s="23" t="s">
        <v>65</v>
      </c>
      <c r="E12" s="6" t="s">
        <v>46</v>
      </c>
      <c r="F12" s="6" t="s">
        <v>67</v>
      </c>
      <c r="G12" s="6" t="s">
        <v>46</v>
      </c>
      <c r="H12" s="6" t="s">
        <v>46</v>
      </c>
      <c r="I12" s="6" t="s">
        <v>67</v>
      </c>
      <c r="J12" s="6" t="s">
        <v>67</v>
      </c>
      <c r="K12" s="6" t="s">
        <v>47</v>
      </c>
      <c r="L12" s="6" t="s">
        <v>46</v>
      </c>
      <c r="M12" s="6" t="s">
        <v>46</v>
      </c>
      <c r="N12" s="6" t="s">
        <v>62</v>
      </c>
      <c r="O12" s="23" t="s">
        <v>65</v>
      </c>
      <c r="P12" s="6" t="s">
        <v>65</v>
      </c>
      <c r="Q12" s="3"/>
      <c r="R12" s="3"/>
      <c r="S12" s="3"/>
      <c r="T12" s="3"/>
      <c r="U12" s="3" t="s">
        <v>46</v>
      </c>
      <c r="V12" s="3"/>
      <c r="W12" s="3"/>
      <c r="X12" s="3"/>
      <c r="Y12" s="3"/>
      <c r="Z12">
        <f t="shared" si="0"/>
        <v>6</v>
      </c>
      <c r="AA12" s="63">
        <f t="shared" si="1"/>
        <v>1</v>
      </c>
    </row>
    <row r="13" spans="1:37" x14ac:dyDescent="0.25">
      <c r="A13" s="3">
        <v>-11</v>
      </c>
      <c r="B13" s="24" t="s">
        <v>10</v>
      </c>
      <c r="C13" s="12">
        <v>8375944</v>
      </c>
      <c r="D13" s="23" t="s">
        <v>65</v>
      </c>
      <c r="E13" s="6" t="s">
        <v>46</v>
      </c>
      <c r="F13" s="6" t="s">
        <v>65</v>
      </c>
      <c r="G13" s="6" t="s">
        <v>65</v>
      </c>
      <c r="H13" s="6" t="s">
        <v>65</v>
      </c>
      <c r="I13" s="6" t="s">
        <v>65</v>
      </c>
      <c r="J13" s="6" t="s">
        <v>65</v>
      </c>
      <c r="K13" s="6" t="s">
        <v>47</v>
      </c>
      <c r="L13" s="6" t="s">
        <v>46</v>
      </c>
      <c r="M13" s="6" t="s">
        <v>65</v>
      </c>
      <c r="N13" s="23" t="s">
        <v>62</v>
      </c>
      <c r="O13" s="23" t="s">
        <v>65</v>
      </c>
      <c r="P13" s="6" t="s">
        <v>65</v>
      </c>
      <c r="Q13" s="3"/>
      <c r="R13" s="3"/>
      <c r="S13" s="3"/>
      <c r="T13" s="3"/>
      <c r="U13" s="3" t="s">
        <v>51</v>
      </c>
      <c r="V13" s="3"/>
      <c r="W13" s="3"/>
      <c r="X13" s="3"/>
      <c r="Y13" s="3"/>
      <c r="Z13">
        <v>7</v>
      </c>
      <c r="AA13" s="63">
        <v>0</v>
      </c>
    </row>
    <row r="14" spans="1:37" x14ac:dyDescent="0.25">
      <c r="A14" s="3">
        <v>-12</v>
      </c>
      <c r="B14" s="24" t="s">
        <v>11</v>
      </c>
      <c r="C14" s="12">
        <v>7552480</v>
      </c>
      <c r="D14" s="23" t="s">
        <v>65</v>
      </c>
      <c r="E14" s="6" t="s">
        <v>46</v>
      </c>
      <c r="F14" s="6" t="s">
        <v>65</v>
      </c>
      <c r="G14" s="6" t="s">
        <v>46</v>
      </c>
      <c r="H14" s="6" t="s">
        <v>46</v>
      </c>
      <c r="I14" s="6" t="s">
        <v>65</v>
      </c>
      <c r="J14" s="6" t="s">
        <v>65</v>
      </c>
      <c r="K14" s="6" t="s">
        <v>47</v>
      </c>
      <c r="L14" s="6" t="s">
        <v>46</v>
      </c>
      <c r="M14" s="6" t="s">
        <v>65</v>
      </c>
      <c r="N14" s="6" t="s">
        <v>62</v>
      </c>
      <c r="O14" s="23" t="s">
        <v>65</v>
      </c>
      <c r="P14" s="6" t="s">
        <v>65</v>
      </c>
      <c r="Q14" s="3"/>
      <c r="R14" s="3"/>
      <c r="S14" s="3"/>
      <c r="T14" s="3"/>
      <c r="U14" s="3"/>
      <c r="V14" s="3"/>
      <c r="W14" s="3"/>
      <c r="X14" s="3"/>
      <c r="Y14" s="3"/>
      <c r="Z14">
        <f t="shared" si="0"/>
        <v>7</v>
      </c>
      <c r="AA14" s="63">
        <f t="shared" si="1"/>
        <v>0</v>
      </c>
    </row>
    <row r="15" spans="1:37" x14ac:dyDescent="0.25">
      <c r="A15" s="3">
        <v>-13</v>
      </c>
      <c r="B15" s="24" t="s">
        <v>12</v>
      </c>
      <c r="C15" s="12">
        <v>7227419</v>
      </c>
      <c r="D15" s="23" t="s">
        <v>65</v>
      </c>
      <c r="E15" s="6" t="s">
        <v>46</v>
      </c>
      <c r="F15" s="6" t="s">
        <v>51</v>
      </c>
      <c r="G15" s="6" t="s">
        <v>65</v>
      </c>
      <c r="H15" s="6" t="s">
        <v>46</v>
      </c>
      <c r="I15" s="6" t="s">
        <v>65</v>
      </c>
      <c r="J15" s="6" t="s">
        <v>65</v>
      </c>
      <c r="K15" s="6" t="s">
        <v>47</v>
      </c>
      <c r="L15" s="6" t="s">
        <v>51</v>
      </c>
      <c r="M15" s="6" t="s">
        <v>46</v>
      </c>
      <c r="N15" s="6" t="s">
        <v>62</v>
      </c>
      <c r="O15" s="23" t="s">
        <v>65</v>
      </c>
      <c r="P15" s="6" t="s">
        <v>65</v>
      </c>
      <c r="Q15" s="3"/>
      <c r="R15" s="3"/>
      <c r="S15" s="3"/>
      <c r="T15" s="3"/>
      <c r="U15" s="3" t="s">
        <v>659</v>
      </c>
      <c r="V15" s="3"/>
      <c r="W15" s="3"/>
      <c r="X15" s="3"/>
      <c r="Y15" s="3"/>
      <c r="Z15">
        <f t="shared" si="0"/>
        <v>6</v>
      </c>
      <c r="AA15" s="63">
        <f t="shared" si="1"/>
        <v>1</v>
      </c>
    </row>
    <row r="16" spans="1:37" x14ac:dyDescent="0.25">
      <c r="A16" s="3">
        <v>-14</v>
      </c>
      <c r="B16" s="24" t="s">
        <v>13</v>
      </c>
      <c r="C16" s="12">
        <v>7202209</v>
      </c>
      <c r="D16" s="23" t="s">
        <v>65</v>
      </c>
      <c r="E16" s="6" t="s">
        <v>46</v>
      </c>
      <c r="F16" s="6" t="s">
        <v>65</v>
      </c>
      <c r="G16" s="6" t="s">
        <v>46</v>
      </c>
      <c r="H16" s="6" t="s">
        <v>46</v>
      </c>
      <c r="I16" s="6" t="s">
        <v>65</v>
      </c>
      <c r="J16" s="6" t="s">
        <v>46</v>
      </c>
      <c r="K16" s="6" t="s">
        <v>47</v>
      </c>
      <c r="L16" s="6" t="s">
        <v>46</v>
      </c>
      <c r="M16" s="6" t="s">
        <v>46</v>
      </c>
      <c r="N16" s="6" t="s">
        <v>62</v>
      </c>
      <c r="O16" s="23" t="s">
        <v>65</v>
      </c>
      <c r="P16" s="6" t="s">
        <v>46</v>
      </c>
      <c r="Q16" s="3"/>
      <c r="R16" s="3"/>
      <c r="S16" s="3"/>
      <c r="T16" s="3"/>
      <c r="U16" s="3" t="s">
        <v>659</v>
      </c>
      <c r="V16" s="3"/>
      <c r="W16" s="3"/>
      <c r="X16" s="3"/>
      <c r="Y16" s="3"/>
      <c r="Z16">
        <f t="shared" si="0"/>
        <v>4</v>
      </c>
      <c r="AA16" s="63">
        <f t="shared" si="1"/>
        <v>3</v>
      </c>
    </row>
    <row r="17" spans="1:27" x14ac:dyDescent="0.25">
      <c r="A17" s="3">
        <v>-15</v>
      </c>
      <c r="B17" s="24" t="s">
        <v>14</v>
      </c>
      <c r="C17" s="12">
        <v>7265455</v>
      </c>
      <c r="D17" s="23" t="s">
        <v>65</v>
      </c>
      <c r="E17" s="6" t="s">
        <v>46</v>
      </c>
      <c r="F17" s="6" t="s">
        <v>65</v>
      </c>
      <c r="G17" s="6" t="s">
        <v>65</v>
      </c>
      <c r="H17" s="6" t="s">
        <v>46</v>
      </c>
      <c r="I17" s="6" t="s">
        <v>65</v>
      </c>
      <c r="J17" s="6" t="s">
        <v>65</v>
      </c>
      <c r="K17" s="6" t="s">
        <v>47</v>
      </c>
      <c r="L17" s="6" t="s">
        <v>46</v>
      </c>
      <c r="M17" s="6" t="s">
        <v>65</v>
      </c>
      <c r="N17" s="6" t="s">
        <v>62</v>
      </c>
      <c r="O17" s="23" t="s">
        <v>65</v>
      </c>
      <c r="P17" s="6" t="s">
        <v>51</v>
      </c>
      <c r="Q17" s="3"/>
      <c r="R17" s="3"/>
      <c r="S17" s="3"/>
      <c r="T17" s="3"/>
      <c r="U17" s="3" t="s">
        <v>659</v>
      </c>
      <c r="V17" s="3"/>
      <c r="W17" s="3"/>
      <c r="X17" s="3"/>
      <c r="Y17" s="3"/>
      <c r="Z17">
        <f t="shared" si="0"/>
        <v>7</v>
      </c>
      <c r="AA17" s="63">
        <f t="shared" si="1"/>
        <v>0</v>
      </c>
    </row>
    <row r="18" spans="1:27" x14ac:dyDescent="0.25">
      <c r="A18" s="3">
        <v>-16</v>
      </c>
      <c r="B18" s="24" t="s">
        <v>15</v>
      </c>
      <c r="C18" s="12">
        <v>7429371</v>
      </c>
      <c r="D18" s="23" t="s">
        <v>65</v>
      </c>
      <c r="E18" s="6" t="s">
        <v>46</v>
      </c>
      <c r="F18" s="6" t="s">
        <v>65</v>
      </c>
      <c r="G18" s="6" t="s">
        <v>46</v>
      </c>
      <c r="H18" s="6" t="s">
        <v>46</v>
      </c>
      <c r="I18" s="6" t="s">
        <v>65</v>
      </c>
      <c r="J18" s="6" t="s">
        <v>65</v>
      </c>
      <c r="K18" s="6" t="s">
        <v>47</v>
      </c>
      <c r="L18" s="6" t="s">
        <v>46</v>
      </c>
      <c r="M18" s="6" t="s">
        <v>65</v>
      </c>
      <c r="N18" s="6" t="s">
        <v>62</v>
      </c>
      <c r="O18" s="23" t="s">
        <v>65</v>
      </c>
      <c r="P18" s="6" t="s">
        <v>65</v>
      </c>
      <c r="Q18" s="3"/>
      <c r="R18" s="3"/>
      <c r="S18" s="3"/>
      <c r="T18" s="3"/>
      <c r="U18" s="3" t="s">
        <v>659</v>
      </c>
      <c r="V18" s="3"/>
      <c r="W18" s="3"/>
      <c r="X18" s="3"/>
      <c r="Y18" s="3"/>
      <c r="Z18">
        <f t="shared" si="0"/>
        <v>7</v>
      </c>
      <c r="AA18" s="63">
        <f t="shared" si="1"/>
        <v>0</v>
      </c>
    </row>
    <row r="19" spans="1:27" x14ac:dyDescent="0.25">
      <c r="A19" s="3">
        <v>-17</v>
      </c>
      <c r="B19" s="24" t="s">
        <v>16</v>
      </c>
      <c r="C19" s="12">
        <v>7444777</v>
      </c>
      <c r="D19" s="23" t="s">
        <v>65</v>
      </c>
      <c r="E19" s="6" t="s">
        <v>46</v>
      </c>
      <c r="F19" s="6" t="s">
        <v>65</v>
      </c>
      <c r="G19" s="6" t="s">
        <v>46</v>
      </c>
      <c r="H19" s="6" t="s">
        <v>46</v>
      </c>
      <c r="I19" s="6" t="s">
        <v>65</v>
      </c>
      <c r="J19" s="6" t="s">
        <v>46</v>
      </c>
      <c r="K19" s="6" t="s">
        <v>47</v>
      </c>
      <c r="L19" s="6" t="s">
        <v>46</v>
      </c>
      <c r="M19" s="6" t="s">
        <v>65</v>
      </c>
      <c r="N19" s="6" t="s">
        <v>62</v>
      </c>
      <c r="O19" s="23" t="s">
        <v>65</v>
      </c>
      <c r="P19" s="6" t="s">
        <v>65</v>
      </c>
      <c r="Q19" s="6" t="s">
        <v>65</v>
      </c>
      <c r="R19" s="3"/>
      <c r="S19" s="3"/>
      <c r="T19" s="3"/>
      <c r="U19" s="3" t="s">
        <v>659</v>
      </c>
      <c r="V19" s="3"/>
      <c r="W19" s="3"/>
      <c r="X19" s="3"/>
      <c r="Y19" s="3"/>
      <c r="Z19">
        <f t="shared" si="0"/>
        <v>7</v>
      </c>
      <c r="AA19" s="63">
        <f t="shared" si="1"/>
        <v>0</v>
      </c>
    </row>
    <row r="20" spans="1:27" x14ac:dyDescent="0.25">
      <c r="A20" s="3">
        <v>-18</v>
      </c>
      <c r="B20" s="24" t="s">
        <v>17</v>
      </c>
      <c r="C20" s="12">
        <v>7444631</v>
      </c>
      <c r="D20" s="23" t="s">
        <v>65</v>
      </c>
      <c r="E20" s="6" t="s">
        <v>46</v>
      </c>
      <c r="F20" s="6" t="s">
        <v>68</v>
      </c>
      <c r="G20" s="6" t="s">
        <v>51</v>
      </c>
      <c r="H20" s="6" t="s">
        <v>51</v>
      </c>
      <c r="I20" s="6" t="s">
        <v>65</v>
      </c>
      <c r="J20" s="6" t="s">
        <v>65</v>
      </c>
      <c r="K20" s="6" t="s">
        <v>47</v>
      </c>
      <c r="L20" s="6" t="s">
        <v>46</v>
      </c>
      <c r="M20" s="6" t="s">
        <v>46</v>
      </c>
      <c r="N20" s="6" t="s">
        <v>62</v>
      </c>
      <c r="O20" s="23" t="s">
        <v>65</v>
      </c>
      <c r="P20" s="6" t="s">
        <v>46</v>
      </c>
      <c r="Q20" s="3"/>
      <c r="R20" s="3"/>
      <c r="S20" s="3"/>
      <c r="T20" s="3"/>
      <c r="U20" s="3" t="s">
        <v>659</v>
      </c>
      <c r="V20" s="3"/>
      <c r="W20" s="3"/>
      <c r="X20" s="3"/>
      <c r="Y20" s="3"/>
      <c r="Z20">
        <f t="shared" si="0"/>
        <v>5</v>
      </c>
      <c r="AA20" s="63">
        <f t="shared" si="1"/>
        <v>2</v>
      </c>
    </row>
    <row r="21" spans="1:27" x14ac:dyDescent="0.25">
      <c r="A21" s="3">
        <v>-19</v>
      </c>
      <c r="B21" s="24" t="s">
        <v>18</v>
      </c>
      <c r="C21" s="12">
        <v>7514145</v>
      </c>
      <c r="D21" s="23" t="s">
        <v>65</v>
      </c>
      <c r="E21" s="6" t="s">
        <v>46</v>
      </c>
      <c r="F21" s="6" t="s">
        <v>65</v>
      </c>
      <c r="G21" s="6" t="s">
        <v>46</v>
      </c>
      <c r="H21" s="6" t="s">
        <v>46</v>
      </c>
      <c r="I21" s="6" t="s">
        <v>65</v>
      </c>
      <c r="J21" s="6" t="s">
        <v>65</v>
      </c>
      <c r="K21" s="6" t="s">
        <v>47</v>
      </c>
      <c r="L21" s="6" t="s">
        <v>46</v>
      </c>
      <c r="M21" s="6" t="s">
        <v>65</v>
      </c>
      <c r="N21" s="6" t="s">
        <v>62</v>
      </c>
      <c r="O21" s="23" t="s">
        <v>65</v>
      </c>
      <c r="P21" s="6" t="s">
        <v>65</v>
      </c>
      <c r="Q21" s="3"/>
      <c r="R21" s="3"/>
      <c r="S21" s="3"/>
      <c r="T21" s="3"/>
      <c r="U21" s="3" t="s">
        <v>659</v>
      </c>
      <c r="V21" s="3"/>
      <c r="W21" s="3"/>
      <c r="X21" s="3"/>
      <c r="Y21" s="3"/>
      <c r="Z21">
        <f t="shared" si="0"/>
        <v>7</v>
      </c>
      <c r="AA21" s="63">
        <f t="shared" si="1"/>
        <v>0</v>
      </c>
    </row>
    <row r="22" spans="1:27" x14ac:dyDescent="0.25">
      <c r="A22" s="3">
        <v>-20</v>
      </c>
      <c r="B22" s="24" t="s">
        <v>19</v>
      </c>
      <c r="C22" s="12">
        <v>7386167</v>
      </c>
      <c r="D22" s="23" t="s">
        <v>65</v>
      </c>
      <c r="E22" s="6" t="s">
        <v>46</v>
      </c>
      <c r="F22" s="6" t="s">
        <v>65</v>
      </c>
      <c r="G22" s="6" t="s">
        <v>46</v>
      </c>
      <c r="H22" s="6" t="s">
        <v>46</v>
      </c>
      <c r="I22" s="6" t="s">
        <v>65</v>
      </c>
      <c r="J22" s="6" t="s">
        <v>65</v>
      </c>
      <c r="K22" s="6" t="s">
        <v>47</v>
      </c>
      <c r="L22" s="6" t="s">
        <v>46</v>
      </c>
      <c r="M22" s="6" t="s">
        <v>46</v>
      </c>
      <c r="N22" s="6" t="s">
        <v>62</v>
      </c>
      <c r="O22" s="23" t="s">
        <v>65</v>
      </c>
      <c r="P22" s="6" t="s">
        <v>46</v>
      </c>
      <c r="Q22" s="3"/>
      <c r="R22" s="3"/>
      <c r="S22" s="3"/>
      <c r="T22" s="3"/>
      <c r="U22" s="3" t="s">
        <v>51</v>
      </c>
      <c r="V22" s="3"/>
      <c r="W22" s="3"/>
      <c r="X22" s="3"/>
      <c r="Y22" s="3"/>
      <c r="Z22">
        <f t="shared" si="0"/>
        <v>5</v>
      </c>
      <c r="AA22" s="63">
        <f t="shared" si="1"/>
        <v>2</v>
      </c>
    </row>
    <row r="23" spans="1:27" s="50" customFormat="1" x14ac:dyDescent="0.25">
      <c r="A23" s="20">
        <v>-21</v>
      </c>
      <c r="B23" s="24" t="s">
        <v>20</v>
      </c>
      <c r="C23" s="49">
        <v>8036254</v>
      </c>
      <c r="D23" s="23" t="s">
        <v>65</v>
      </c>
      <c r="E23" s="23" t="s">
        <v>46</v>
      </c>
      <c r="F23" s="23" t="s">
        <v>68</v>
      </c>
      <c r="G23" s="23" t="s">
        <v>46</v>
      </c>
      <c r="H23" s="23" t="s">
        <v>65</v>
      </c>
      <c r="I23" s="6" t="s">
        <v>65</v>
      </c>
      <c r="J23" s="6" t="s">
        <v>65</v>
      </c>
      <c r="K23" s="23" t="s">
        <v>47</v>
      </c>
      <c r="L23" s="23" t="s">
        <v>46</v>
      </c>
      <c r="M23" s="23" t="s">
        <v>46</v>
      </c>
      <c r="N23" s="23" t="s">
        <v>62</v>
      </c>
      <c r="O23" s="23" t="s">
        <v>65</v>
      </c>
      <c r="P23" s="23" t="s">
        <v>46</v>
      </c>
      <c r="Q23" s="20"/>
      <c r="R23" s="20"/>
      <c r="S23" s="20"/>
      <c r="T23" s="20"/>
      <c r="U23" s="20" t="s">
        <v>46</v>
      </c>
      <c r="V23" s="20"/>
      <c r="W23" s="20"/>
      <c r="X23" s="20"/>
      <c r="Y23" s="20"/>
      <c r="Z23" s="50">
        <f t="shared" si="0"/>
        <v>6</v>
      </c>
      <c r="AA23" s="63">
        <f t="shared" si="1"/>
        <v>1</v>
      </c>
    </row>
    <row r="24" spans="1:27" x14ac:dyDescent="0.25">
      <c r="A24" s="3">
        <v>-22</v>
      </c>
      <c r="B24" s="24" t="s">
        <v>21</v>
      </c>
      <c r="C24" s="12">
        <v>7805242</v>
      </c>
      <c r="D24" s="23" t="s">
        <v>65</v>
      </c>
      <c r="E24" s="6" t="s">
        <v>46</v>
      </c>
      <c r="F24" s="6" t="s">
        <v>65</v>
      </c>
      <c r="G24" s="6" t="s">
        <v>46</v>
      </c>
      <c r="H24" s="6" t="s">
        <v>46</v>
      </c>
      <c r="I24" s="6" t="s">
        <v>65</v>
      </c>
      <c r="J24" s="6" t="s">
        <v>65</v>
      </c>
      <c r="K24" s="6" t="s">
        <v>47</v>
      </c>
      <c r="L24" s="6" t="s">
        <v>46</v>
      </c>
      <c r="M24" s="6" t="s">
        <v>46</v>
      </c>
      <c r="N24" s="6" t="s">
        <v>62</v>
      </c>
      <c r="O24" s="23" t="s">
        <v>65</v>
      </c>
      <c r="P24" s="6" t="s">
        <v>46</v>
      </c>
      <c r="Q24" s="3"/>
      <c r="R24" s="3"/>
      <c r="S24" s="3"/>
      <c r="T24" s="3"/>
      <c r="U24" s="3" t="s">
        <v>51</v>
      </c>
      <c r="V24" s="3"/>
      <c r="W24" s="3"/>
      <c r="X24" s="3"/>
      <c r="Y24" s="3"/>
      <c r="Z24">
        <f t="shared" si="0"/>
        <v>5</v>
      </c>
      <c r="AA24" s="63">
        <f t="shared" si="1"/>
        <v>2</v>
      </c>
    </row>
    <row r="25" spans="1:27" x14ac:dyDescent="0.25">
      <c r="A25" s="3">
        <v>-23</v>
      </c>
      <c r="B25" s="24" t="s">
        <v>22</v>
      </c>
      <c r="C25" s="12">
        <v>7167263</v>
      </c>
      <c r="D25" s="23" t="s">
        <v>65</v>
      </c>
      <c r="E25" s="6" t="s">
        <v>46</v>
      </c>
      <c r="F25" s="6" t="s">
        <v>65</v>
      </c>
      <c r="G25" s="6" t="s">
        <v>46</v>
      </c>
      <c r="H25" s="6" t="s">
        <v>46</v>
      </c>
      <c r="I25" s="6" t="s">
        <v>65</v>
      </c>
      <c r="J25" s="6" t="s">
        <v>65</v>
      </c>
      <c r="K25" s="6" t="s">
        <v>47</v>
      </c>
      <c r="L25" s="6" t="s">
        <v>46</v>
      </c>
      <c r="M25" s="6" t="s">
        <v>65</v>
      </c>
      <c r="N25" s="6" t="s">
        <v>62</v>
      </c>
      <c r="O25" s="23" t="s">
        <v>65</v>
      </c>
      <c r="P25" s="6" t="s">
        <v>65</v>
      </c>
      <c r="Q25" s="3"/>
      <c r="R25" s="3"/>
      <c r="S25" s="3"/>
      <c r="T25" s="3"/>
      <c r="U25" s="3"/>
      <c r="V25" s="3"/>
      <c r="W25" s="3"/>
      <c r="X25" s="3"/>
      <c r="Y25" s="3"/>
      <c r="Z25">
        <f t="shared" si="0"/>
        <v>7</v>
      </c>
      <c r="AA25" s="63">
        <f t="shared" si="1"/>
        <v>0</v>
      </c>
    </row>
    <row r="26" spans="1:27" s="50" customFormat="1" x14ac:dyDescent="0.25">
      <c r="A26" s="20">
        <v>-24</v>
      </c>
      <c r="B26" s="24" t="s">
        <v>23</v>
      </c>
      <c r="C26" s="49">
        <v>7594625</v>
      </c>
      <c r="D26" s="23" t="s">
        <v>65</v>
      </c>
      <c r="E26" s="23" t="s">
        <v>68</v>
      </c>
      <c r="F26" s="23" t="s">
        <v>65</v>
      </c>
      <c r="G26" s="23" t="s">
        <v>46</v>
      </c>
      <c r="H26" s="23" t="s">
        <v>46</v>
      </c>
      <c r="I26" s="6" t="s">
        <v>65</v>
      </c>
      <c r="J26" s="6" t="s">
        <v>65</v>
      </c>
      <c r="K26" s="23" t="s">
        <v>47</v>
      </c>
      <c r="L26" s="23" t="s">
        <v>46</v>
      </c>
      <c r="M26" s="23" t="s">
        <v>65</v>
      </c>
      <c r="N26" s="23" t="s">
        <v>62</v>
      </c>
      <c r="O26" s="23" t="s">
        <v>65</v>
      </c>
      <c r="P26" s="23" t="s">
        <v>46</v>
      </c>
      <c r="Q26" s="20"/>
      <c r="R26" s="20"/>
      <c r="S26" s="20"/>
      <c r="T26" s="20"/>
      <c r="U26" s="20"/>
      <c r="V26" s="20"/>
      <c r="W26" s="20"/>
      <c r="X26" s="20"/>
      <c r="Y26" s="20"/>
      <c r="Z26" s="50">
        <f t="shared" si="0"/>
        <v>7</v>
      </c>
      <c r="AA26" s="63">
        <f t="shared" si="1"/>
        <v>0</v>
      </c>
    </row>
    <row r="27" spans="1:27" x14ac:dyDescent="0.25">
      <c r="A27" s="3">
        <v>-25</v>
      </c>
      <c r="B27" s="24" t="s">
        <v>24</v>
      </c>
      <c r="C27" s="12">
        <v>7240549</v>
      </c>
      <c r="D27" s="23" t="s">
        <v>65</v>
      </c>
      <c r="E27" s="6" t="s">
        <v>46</v>
      </c>
      <c r="F27" s="6" t="s">
        <v>65</v>
      </c>
      <c r="G27" s="6" t="s">
        <v>46</v>
      </c>
      <c r="H27" s="6" t="s">
        <v>46</v>
      </c>
      <c r="I27" s="6" t="s">
        <v>65</v>
      </c>
      <c r="J27" s="6" t="s">
        <v>65</v>
      </c>
      <c r="K27" s="6" t="s">
        <v>47</v>
      </c>
      <c r="L27" s="6" t="s">
        <v>51</v>
      </c>
      <c r="M27" s="6" t="s">
        <v>46</v>
      </c>
      <c r="N27" s="6" t="s">
        <v>62</v>
      </c>
      <c r="O27" s="23" t="s">
        <v>65</v>
      </c>
      <c r="P27" s="6" t="s">
        <v>65</v>
      </c>
      <c r="Q27" s="3"/>
      <c r="R27" s="3"/>
      <c r="S27" s="3"/>
      <c r="T27" s="3"/>
      <c r="U27" s="3" t="s">
        <v>51</v>
      </c>
      <c r="V27" s="3"/>
      <c r="W27" s="3"/>
      <c r="X27" s="3"/>
      <c r="Y27" s="3"/>
      <c r="Z27">
        <f t="shared" si="0"/>
        <v>6</v>
      </c>
      <c r="AA27" s="63">
        <f t="shared" si="1"/>
        <v>1</v>
      </c>
    </row>
    <row r="28" spans="1:27" x14ac:dyDescent="0.25">
      <c r="A28" s="3">
        <v>-26</v>
      </c>
      <c r="B28" s="24" t="s">
        <v>25</v>
      </c>
      <c r="C28" s="12">
        <v>7398696</v>
      </c>
      <c r="D28" s="23" t="s">
        <v>65</v>
      </c>
      <c r="E28" s="6" t="s">
        <v>51</v>
      </c>
      <c r="F28" s="6" t="s">
        <v>65</v>
      </c>
      <c r="G28" s="6" t="s">
        <v>65</v>
      </c>
      <c r="H28" s="6" t="s">
        <v>46</v>
      </c>
      <c r="I28" s="6" t="s">
        <v>65</v>
      </c>
      <c r="J28" s="6" t="s">
        <v>65</v>
      </c>
      <c r="K28" s="6" t="s">
        <v>47</v>
      </c>
      <c r="L28" s="6" t="s">
        <v>51</v>
      </c>
      <c r="M28" s="6" t="s">
        <v>46</v>
      </c>
      <c r="N28" s="6" t="s">
        <v>62</v>
      </c>
      <c r="O28" s="23" t="s">
        <v>65</v>
      </c>
      <c r="P28" s="6" t="s">
        <v>65</v>
      </c>
      <c r="Q28" s="3"/>
      <c r="R28" s="3"/>
      <c r="S28" s="3"/>
      <c r="T28" s="3"/>
      <c r="U28" s="3" t="s">
        <v>46</v>
      </c>
      <c r="V28" s="3"/>
      <c r="W28" s="3"/>
      <c r="X28" s="3"/>
      <c r="Y28" s="3"/>
      <c r="Z28">
        <f t="shared" si="0"/>
        <v>7</v>
      </c>
      <c r="AA28" s="63">
        <f t="shared" si="1"/>
        <v>0</v>
      </c>
    </row>
    <row r="29" spans="1:27" x14ac:dyDescent="0.25">
      <c r="A29" s="3">
        <v>-27</v>
      </c>
      <c r="B29" s="24" t="s">
        <v>26</v>
      </c>
      <c r="C29" s="12">
        <v>7533418</v>
      </c>
      <c r="D29" s="23" t="s">
        <v>65</v>
      </c>
      <c r="E29" s="6" t="s">
        <v>46</v>
      </c>
      <c r="F29" s="6" t="s">
        <v>65</v>
      </c>
      <c r="G29" s="6" t="s">
        <v>51</v>
      </c>
      <c r="H29" s="6" t="s">
        <v>46</v>
      </c>
      <c r="I29" s="6" t="s">
        <v>65</v>
      </c>
      <c r="J29" s="6" t="s">
        <v>65</v>
      </c>
      <c r="K29" s="6" t="s">
        <v>47</v>
      </c>
      <c r="L29" s="6" t="s">
        <v>51</v>
      </c>
      <c r="M29" s="6" t="s">
        <v>46</v>
      </c>
      <c r="N29" s="6" t="s">
        <v>62</v>
      </c>
      <c r="O29" s="23" t="s">
        <v>65</v>
      </c>
      <c r="P29" s="6" t="s">
        <v>65</v>
      </c>
      <c r="Q29" s="3"/>
      <c r="R29" s="3"/>
      <c r="S29" s="3"/>
      <c r="T29" s="3"/>
      <c r="U29" s="3" t="s">
        <v>46</v>
      </c>
      <c r="V29" s="3"/>
      <c r="W29" s="3"/>
      <c r="X29" s="3"/>
      <c r="Y29" s="3"/>
      <c r="Z29">
        <f t="shared" si="0"/>
        <v>6</v>
      </c>
      <c r="AA29" s="63">
        <f t="shared" si="1"/>
        <v>1</v>
      </c>
    </row>
    <row r="30" spans="1:27" x14ac:dyDescent="0.25">
      <c r="A30" s="3">
        <v>-28</v>
      </c>
      <c r="B30" s="24" t="s">
        <v>27</v>
      </c>
      <c r="C30" s="12">
        <v>7335885</v>
      </c>
      <c r="D30" s="23" t="s">
        <v>65</v>
      </c>
      <c r="E30" s="6" t="s">
        <v>46</v>
      </c>
      <c r="F30" s="6" t="s">
        <v>68</v>
      </c>
      <c r="G30" s="6" t="s">
        <v>65</v>
      </c>
      <c r="H30" s="6" t="s">
        <v>46</v>
      </c>
      <c r="I30" s="6" t="s">
        <v>65</v>
      </c>
      <c r="J30" s="6" t="s">
        <v>65</v>
      </c>
      <c r="K30" s="6" t="s">
        <v>47</v>
      </c>
      <c r="L30" s="6" t="s">
        <v>46</v>
      </c>
      <c r="M30" s="6" t="s">
        <v>46</v>
      </c>
      <c r="N30" s="6" t="s">
        <v>62</v>
      </c>
      <c r="O30" s="23" t="s">
        <v>65</v>
      </c>
      <c r="P30" s="6" t="s">
        <v>65</v>
      </c>
      <c r="Q30" s="3"/>
      <c r="R30" s="3"/>
      <c r="S30" s="3"/>
      <c r="T30" s="3"/>
      <c r="U30" s="3" t="s">
        <v>46</v>
      </c>
      <c r="V30" s="3"/>
      <c r="W30" s="3"/>
      <c r="X30" s="3"/>
      <c r="Y30" s="3"/>
      <c r="Z30">
        <f t="shared" si="0"/>
        <v>7</v>
      </c>
      <c r="AA30" s="63">
        <f t="shared" si="1"/>
        <v>0</v>
      </c>
    </row>
    <row r="31" spans="1:27" x14ac:dyDescent="0.25">
      <c r="A31" s="3">
        <v>-29</v>
      </c>
      <c r="B31" s="67" t="s">
        <v>28</v>
      </c>
      <c r="C31" s="12">
        <v>7504518</v>
      </c>
      <c r="D31" s="23" t="s">
        <v>65</v>
      </c>
      <c r="E31" s="6" t="s">
        <v>46</v>
      </c>
      <c r="F31" s="6" t="s">
        <v>65</v>
      </c>
      <c r="G31" s="6" t="s">
        <v>65</v>
      </c>
      <c r="H31" s="6" t="s">
        <v>46</v>
      </c>
      <c r="I31" s="6" t="s">
        <v>65</v>
      </c>
      <c r="J31" s="6" t="s">
        <v>65</v>
      </c>
      <c r="K31" s="6" t="s">
        <v>47</v>
      </c>
      <c r="L31" s="6" t="s">
        <v>46</v>
      </c>
      <c r="M31" s="6" t="s">
        <v>46</v>
      </c>
      <c r="N31" s="6" t="s">
        <v>62</v>
      </c>
      <c r="O31" s="23" t="s">
        <v>65</v>
      </c>
      <c r="P31" s="6" t="s">
        <v>46</v>
      </c>
      <c r="Q31" s="3"/>
      <c r="R31" s="3"/>
      <c r="S31" s="3"/>
      <c r="T31" s="3"/>
      <c r="U31" s="3" t="s">
        <v>46</v>
      </c>
      <c r="V31" s="3"/>
      <c r="W31" s="3"/>
      <c r="X31" s="3"/>
      <c r="Y31" s="3"/>
      <c r="Z31">
        <f t="shared" si="0"/>
        <v>6</v>
      </c>
      <c r="AA31" s="63">
        <f t="shared" si="1"/>
        <v>1</v>
      </c>
    </row>
    <row r="32" spans="1:27" x14ac:dyDescent="0.25">
      <c r="A32" s="3">
        <v>-30</v>
      </c>
      <c r="B32" s="24" t="s">
        <v>29</v>
      </c>
      <c r="C32" s="12">
        <v>7318166</v>
      </c>
      <c r="D32" s="23" t="s">
        <v>65</v>
      </c>
      <c r="E32" s="6" t="s">
        <v>46</v>
      </c>
      <c r="F32" s="6" t="s">
        <v>65</v>
      </c>
      <c r="G32" s="6" t="s">
        <v>46</v>
      </c>
      <c r="H32" s="6" t="s">
        <v>46</v>
      </c>
      <c r="I32" s="6" t="s">
        <v>65</v>
      </c>
      <c r="J32" s="6" t="s">
        <v>65</v>
      </c>
      <c r="K32" s="6" t="s">
        <v>47</v>
      </c>
      <c r="L32" s="6" t="s">
        <v>51</v>
      </c>
      <c r="M32" s="6" t="s">
        <v>46</v>
      </c>
      <c r="N32" s="6" t="s">
        <v>62</v>
      </c>
      <c r="O32" s="23" t="s">
        <v>65</v>
      </c>
      <c r="P32" s="6" t="s">
        <v>46</v>
      </c>
      <c r="Q32" s="3"/>
      <c r="R32" s="3"/>
      <c r="S32" s="3"/>
      <c r="T32" s="3"/>
      <c r="U32" s="3" t="s">
        <v>660</v>
      </c>
      <c r="V32" s="3"/>
      <c r="W32" s="3"/>
      <c r="X32" s="3"/>
      <c r="Y32" s="3"/>
      <c r="Z32">
        <f t="shared" si="0"/>
        <v>5</v>
      </c>
      <c r="AA32" s="63">
        <f t="shared" si="1"/>
        <v>2</v>
      </c>
    </row>
    <row r="33" spans="1:27" x14ac:dyDescent="0.25">
      <c r="A33" s="3">
        <v>-31</v>
      </c>
      <c r="B33" s="24" t="s">
        <v>30</v>
      </c>
      <c r="C33" s="12">
        <v>7384033</v>
      </c>
      <c r="D33" s="23" t="s">
        <v>65</v>
      </c>
      <c r="E33" s="6" t="s">
        <v>46</v>
      </c>
      <c r="F33" s="6" t="s">
        <v>51</v>
      </c>
      <c r="G33" s="6" t="s">
        <v>51</v>
      </c>
      <c r="H33" s="6" t="s">
        <v>46</v>
      </c>
      <c r="I33" s="6" t="s">
        <v>65</v>
      </c>
      <c r="J33" s="6" t="s">
        <v>65</v>
      </c>
      <c r="K33" s="6" t="s">
        <v>47</v>
      </c>
      <c r="L33" s="6" t="s">
        <v>46</v>
      </c>
      <c r="M33" s="6" t="s">
        <v>46</v>
      </c>
      <c r="N33" s="6" t="s">
        <v>62</v>
      </c>
      <c r="O33" s="23" t="s">
        <v>65</v>
      </c>
      <c r="P33" s="6" t="s">
        <v>65</v>
      </c>
      <c r="Q33" s="3"/>
      <c r="R33" s="3"/>
      <c r="S33" s="3"/>
      <c r="T33" s="3"/>
      <c r="U33" s="3" t="s">
        <v>51</v>
      </c>
      <c r="V33" s="3"/>
      <c r="W33" s="3"/>
      <c r="X33" s="3"/>
      <c r="Y33" s="3"/>
      <c r="Z33">
        <f t="shared" si="0"/>
        <v>5</v>
      </c>
      <c r="AA33" s="63">
        <f t="shared" si="1"/>
        <v>2</v>
      </c>
    </row>
    <row r="34" spans="1:27" x14ac:dyDescent="0.25">
      <c r="A34" s="3">
        <v>-32</v>
      </c>
      <c r="B34" s="24" t="s">
        <v>31</v>
      </c>
      <c r="C34" s="12">
        <v>7324122</v>
      </c>
      <c r="D34" s="23" t="s">
        <v>65</v>
      </c>
      <c r="E34" s="6" t="s">
        <v>51</v>
      </c>
      <c r="F34" s="6" t="s">
        <v>65</v>
      </c>
      <c r="G34" s="6" t="s">
        <v>51</v>
      </c>
      <c r="H34" s="6" t="s">
        <v>46</v>
      </c>
      <c r="I34" s="6" t="s">
        <v>65</v>
      </c>
      <c r="J34" s="6" t="s">
        <v>65</v>
      </c>
      <c r="K34" s="6" t="s">
        <v>47</v>
      </c>
      <c r="L34" s="6" t="s">
        <v>46</v>
      </c>
      <c r="M34" s="6" t="s">
        <v>46</v>
      </c>
      <c r="N34" s="6" t="s">
        <v>62</v>
      </c>
      <c r="O34" s="23" t="s">
        <v>65</v>
      </c>
      <c r="P34" s="6" t="s">
        <v>46</v>
      </c>
      <c r="Q34" s="3"/>
      <c r="R34" s="3"/>
      <c r="S34" s="3"/>
      <c r="T34" s="3"/>
      <c r="U34" s="3" t="s">
        <v>51</v>
      </c>
      <c r="V34" s="3"/>
      <c r="W34" s="3"/>
      <c r="X34" s="3"/>
      <c r="Y34" s="3"/>
      <c r="Z34">
        <f t="shared" si="0"/>
        <v>5</v>
      </c>
      <c r="AA34" s="63">
        <f t="shared" si="1"/>
        <v>2</v>
      </c>
    </row>
    <row r="35" spans="1:27" x14ac:dyDescent="0.25">
      <c r="A35" s="3">
        <v>-33</v>
      </c>
      <c r="B35" s="24" t="s">
        <v>32</v>
      </c>
      <c r="C35" s="12">
        <v>7342346</v>
      </c>
      <c r="D35" s="23" t="s">
        <v>65</v>
      </c>
      <c r="E35" s="6" t="s">
        <v>46</v>
      </c>
      <c r="F35" s="6" t="s">
        <v>65</v>
      </c>
      <c r="G35" s="6" t="s">
        <v>46</v>
      </c>
      <c r="H35" s="6" t="s">
        <v>46</v>
      </c>
      <c r="I35" s="6" t="s">
        <v>65</v>
      </c>
      <c r="J35" s="6" t="s">
        <v>65</v>
      </c>
      <c r="K35" s="6" t="s">
        <v>47</v>
      </c>
      <c r="L35" s="6" t="s">
        <v>46</v>
      </c>
      <c r="M35" s="6" t="s">
        <v>46</v>
      </c>
      <c r="N35" s="6" t="s">
        <v>62</v>
      </c>
      <c r="O35" s="23" t="s">
        <v>65</v>
      </c>
      <c r="P35" s="6" t="s">
        <v>46</v>
      </c>
      <c r="Q35" s="3"/>
      <c r="R35" s="3"/>
      <c r="S35" s="3"/>
      <c r="T35" s="3"/>
      <c r="U35" s="3" t="s">
        <v>51</v>
      </c>
      <c r="V35" s="3"/>
      <c r="W35" s="3"/>
      <c r="X35" s="3"/>
      <c r="Y35" s="3"/>
      <c r="Z35">
        <f t="shared" si="0"/>
        <v>5</v>
      </c>
      <c r="AA35" s="63">
        <f t="shared" si="1"/>
        <v>2</v>
      </c>
    </row>
    <row r="36" spans="1:27" x14ac:dyDescent="0.25">
      <c r="A36" s="3">
        <v>-34</v>
      </c>
      <c r="B36" s="24" t="s">
        <v>33</v>
      </c>
      <c r="C36" s="12">
        <v>7367983</v>
      </c>
      <c r="D36" s="23" t="s">
        <v>65</v>
      </c>
      <c r="E36" s="6" t="s">
        <v>46</v>
      </c>
      <c r="F36" s="6" t="s">
        <v>65</v>
      </c>
      <c r="G36" s="6" t="s">
        <v>65</v>
      </c>
      <c r="H36" s="6" t="s">
        <v>46</v>
      </c>
      <c r="I36" s="6" t="s">
        <v>65</v>
      </c>
      <c r="J36" s="6" t="s">
        <v>65</v>
      </c>
      <c r="K36" s="6" t="s">
        <v>47</v>
      </c>
      <c r="L36" s="6" t="s">
        <v>46</v>
      </c>
      <c r="M36" s="6" t="s">
        <v>65</v>
      </c>
      <c r="N36" s="6" t="s">
        <v>62</v>
      </c>
      <c r="O36" s="23" t="s">
        <v>65</v>
      </c>
      <c r="P36" s="6" t="s">
        <v>46</v>
      </c>
      <c r="Q36" s="3"/>
      <c r="R36" s="3"/>
      <c r="S36" s="3"/>
      <c r="T36" s="3"/>
      <c r="U36" s="3" t="s">
        <v>46</v>
      </c>
      <c r="V36" s="3"/>
      <c r="W36" s="3"/>
      <c r="X36" s="3"/>
      <c r="Y36" s="3"/>
      <c r="Z36">
        <f t="shared" si="0"/>
        <v>7</v>
      </c>
      <c r="AA36" s="63">
        <f t="shared" si="1"/>
        <v>0</v>
      </c>
    </row>
    <row r="37" spans="1:27" x14ac:dyDescent="0.25">
      <c r="A37" s="3">
        <v>-35</v>
      </c>
      <c r="B37" s="24" t="s">
        <v>34</v>
      </c>
      <c r="C37" s="12">
        <v>7272130</v>
      </c>
      <c r="D37" s="23" t="s">
        <v>65</v>
      </c>
      <c r="E37" s="6" t="s">
        <v>46</v>
      </c>
      <c r="F37" s="6" t="s">
        <v>65</v>
      </c>
      <c r="G37" s="6" t="s">
        <v>46</v>
      </c>
      <c r="H37" s="6" t="s">
        <v>65</v>
      </c>
      <c r="I37" s="6" t="s">
        <v>65</v>
      </c>
      <c r="J37" s="6" t="s">
        <v>65</v>
      </c>
      <c r="K37" s="6" t="s">
        <v>47</v>
      </c>
      <c r="L37" s="6" t="s">
        <v>46</v>
      </c>
      <c r="M37" s="6" t="s">
        <v>46</v>
      </c>
      <c r="N37" s="6" t="s">
        <v>62</v>
      </c>
      <c r="O37" s="23" t="s">
        <v>65</v>
      </c>
      <c r="P37" s="6" t="s">
        <v>65</v>
      </c>
      <c r="Q37" s="3"/>
      <c r="R37" s="3"/>
      <c r="S37" s="3"/>
      <c r="T37" s="3"/>
      <c r="U37" s="3" t="s">
        <v>46</v>
      </c>
      <c r="V37" s="3"/>
      <c r="W37" s="3"/>
      <c r="X37" s="3"/>
      <c r="Y37" s="3"/>
      <c r="Z37">
        <f t="shared" si="0"/>
        <v>7</v>
      </c>
      <c r="AA37" s="63">
        <f t="shared" si="1"/>
        <v>0</v>
      </c>
    </row>
    <row r="38" spans="1:27" x14ac:dyDescent="0.25">
      <c r="A38" s="3">
        <v>-36</v>
      </c>
      <c r="B38" s="24" t="s">
        <v>35</v>
      </c>
      <c r="C38" s="12">
        <v>7443701</v>
      </c>
      <c r="D38" s="23" t="s">
        <v>65</v>
      </c>
      <c r="E38" s="6" t="s">
        <v>46</v>
      </c>
      <c r="F38" s="6" t="s">
        <v>65</v>
      </c>
      <c r="G38" s="6" t="s">
        <v>46</v>
      </c>
      <c r="H38" s="6" t="s">
        <v>65</v>
      </c>
      <c r="I38" s="6" t="s">
        <v>65</v>
      </c>
      <c r="J38" s="6" t="s">
        <v>65</v>
      </c>
      <c r="K38" s="6" t="s">
        <v>47</v>
      </c>
      <c r="L38" s="6" t="s">
        <v>51</v>
      </c>
      <c r="M38" s="6" t="s">
        <v>46</v>
      </c>
      <c r="N38" s="6" t="s">
        <v>62</v>
      </c>
      <c r="O38" s="23" t="s">
        <v>65</v>
      </c>
      <c r="P38" s="6" t="s">
        <v>46</v>
      </c>
      <c r="Q38" s="3"/>
      <c r="R38" s="3"/>
      <c r="S38" s="3"/>
      <c r="T38" s="3"/>
      <c r="U38" s="3" t="s">
        <v>51</v>
      </c>
      <c r="V38" s="3"/>
      <c r="W38" s="3"/>
      <c r="X38" s="3"/>
      <c r="Y38" s="3"/>
      <c r="Z38">
        <f t="shared" si="0"/>
        <v>6</v>
      </c>
      <c r="AA38" s="63">
        <f t="shared" si="1"/>
        <v>1</v>
      </c>
    </row>
    <row r="39" spans="1:27" x14ac:dyDescent="0.25">
      <c r="A39" s="3">
        <v>-37</v>
      </c>
      <c r="B39" s="24" t="s">
        <v>36</v>
      </c>
      <c r="C39" s="12">
        <v>7542562</v>
      </c>
      <c r="D39" s="23" t="s">
        <v>65</v>
      </c>
      <c r="E39" s="6" t="s">
        <v>46</v>
      </c>
      <c r="F39" s="6" t="s">
        <v>65</v>
      </c>
      <c r="G39" s="6" t="s">
        <v>46</v>
      </c>
      <c r="H39" s="6" t="s">
        <v>46</v>
      </c>
      <c r="I39" s="6" t="s">
        <v>65</v>
      </c>
      <c r="J39" s="6" t="s">
        <v>65</v>
      </c>
      <c r="K39" s="6" t="s">
        <v>47</v>
      </c>
      <c r="L39" s="6" t="s">
        <v>46</v>
      </c>
      <c r="M39" s="6" t="s">
        <v>46</v>
      </c>
      <c r="N39" s="6" t="s">
        <v>62</v>
      </c>
      <c r="O39" s="23" t="s">
        <v>65</v>
      </c>
      <c r="P39" s="6" t="s">
        <v>65</v>
      </c>
      <c r="Q39" s="3"/>
      <c r="R39" s="3"/>
      <c r="S39" s="3"/>
      <c r="T39" s="3"/>
      <c r="U39" s="3" t="s">
        <v>46</v>
      </c>
      <c r="V39" s="3"/>
      <c r="W39" s="3"/>
      <c r="X39" s="3"/>
      <c r="Y39" s="3"/>
      <c r="Z39">
        <f t="shared" si="0"/>
        <v>6</v>
      </c>
      <c r="AA39" s="63">
        <f t="shared" si="1"/>
        <v>1</v>
      </c>
    </row>
    <row r="40" spans="1:27" x14ac:dyDescent="0.25">
      <c r="A40" s="3">
        <v>-38</v>
      </c>
      <c r="B40" s="24" t="s">
        <v>37</v>
      </c>
      <c r="C40" s="12">
        <v>8000217</v>
      </c>
      <c r="D40" s="23" t="s">
        <v>65</v>
      </c>
      <c r="E40" s="6" t="s">
        <v>46</v>
      </c>
      <c r="F40" s="23" t="s">
        <v>65</v>
      </c>
      <c r="G40" s="23" t="s">
        <v>65</v>
      </c>
      <c r="H40" s="6" t="s">
        <v>51</v>
      </c>
      <c r="I40" s="6" t="s">
        <v>65</v>
      </c>
      <c r="J40" s="6" t="s">
        <v>65</v>
      </c>
      <c r="K40" s="6" t="s">
        <v>47</v>
      </c>
      <c r="L40" s="6" t="s">
        <v>46</v>
      </c>
      <c r="M40" s="23" t="s">
        <v>65</v>
      </c>
      <c r="N40" s="6" t="s">
        <v>62</v>
      </c>
      <c r="O40" s="23" t="s">
        <v>65</v>
      </c>
      <c r="P40" s="6" t="s">
        <v>46</v>
      </c>
      <c r="Q40" s="3"/>
      <c r="R40" s="3"/>
      <c r="S40" s="3"/>
      <c r="T40" s="3"/>
      <c r="U40" s="3" t="s">
        <v>46</v>
      </c>
      <c r="V40" s="3"/>
      <c r="W40" s="3"/>
      <c r="X40" s="3"/>
      <c r="Y40" s="3"/>
      <c r="Z40">
        <f t="shared" si="0"/>
        <v>7</v>
      </c>
      <c r="AA40" s="63">
        <f t="shared" si="1"/>
        <v>0</v>
      </c>
    </row>
    <row r="41" spans="1:27" x14ac:dyDescent="0.25">
      <c r="A41" s="3">
        <v>-39</v>
      </c>
      <c r="B41" s="24" t="s">
        <v>38</v>
      </c>
      <c r="C41" s="12">
        <v>7500428</v>
      </c>
      <c r="D41" s="23" t="s">
        <v>65</v>
      </c>
      <c r="E41" s="6" t="s">
        <v>46</v>
      </c>
      <c r="F41" s="6" t="s">
        <v>65</v>
      </c>
      <c r="G41" s="6" t="s">
        <v>46</v>
      </c>
      <c r="H41" s="6" t="s">
        <v>46</v>
      </c>
      <c r="I41" s="6" t="s">
        <v>65</v>
      </c>
      <c r="J41" s="6" t="s">
        <v>65</v>
      </c>
      <c r="K41" s="6" t="s">
        <v>47</v>
      </c>
      <c r="L41" s="6" t="s">
        <v>46</v>
      </c>
      <c r="M41" s="6" t="s">
        <v>46</v>
      </c>
      <c r="N41" s="6" t="s">
        <v>62</v>
      </c>
      <c r="O41" s="23" t="s">
        <v>65</v>
      </c>
      <c r="P41" s="6" t="s">
        <v>65</v>
      </c>
      <c r="Q41" s="3"/>
      <c r="R41" s="3"/>
      <c r="S41" s="3"/>
      <c r="T41" s="3"/>
      <c r="U41" s="3" t="s">
        <v>46</v>
      </c>
      <c r="V41" s="3"/>
      <c r="W41" s="3"/>
      <c r="X41" s="3"/>
      <c r="Y41" s="3"/>
      <c r="Z41">
        <f t="shared" si="0"/>
        <v>6</v>
      </c>
      <c r="AA41" s="63">
        <f t="shared" si="1"/>
        <v>1</v>
      </c>
    </row>
    <row r="42" spans="1:27" x14ac:dyDescent="0.25">
      <c r="A42" s="3">
        <v>-40</v>
      </c>
      <c r="B42" s="24" t="s">
        <v>39</v>
      </c>
      <c r="C42" s="12">
        <v>7377595</v>
      </c>
      <c r="D42" s="23" t="s">
        <v>65</v>
      </c>
      <c r="E42" s="6" t="s">
        <v>46</v>
      </c>
      <c r="F42" s="6" t="s">
        <v>65</v>
      </c>
      <c r="G42" s="6" t="s">
        <v>46</v>
      </c>
      <c r="H42" s="6" t="s">
        <v>46</v>
      </c>
      <c r="I42" s="6" t="s">
        <v>65</v>
      </c>
      <c r="J42" s="6" t="s">
        <v>65</v>
      </c>
      <c r="K42" s="6" t="s">
        <v>47</v>
      </c>
      <c r="L42" s="6" t="s">
        <v>46</v>
      </c>
      <c r="M42" s="6" t="s">
        <v>46</v>
      </c>
      <c r="N42" s="6" t="s">
        <v>62</v>
      </c>
      <c r="O42" s="23" t="s">
        <v>65</v>
      </c>
      <c r="P42" s="6" t="s">
        <v>46</v>
      </c>
      <c r="Q42" s="3"/>
      <c r="R42" s="3"/>
      <c r="S42" s="3"/>
      <c r="T42" s="3"/>
      <c r="U42" s="3" t="s">
        <v>51</v>
      </c>
      <c r="V42" s="3"/>
      <c r="W42" s="3"/>
      <c r="X42" s="3"/>
      <c r="Y42" s="3"/>
      <c r="Z42">
        <f t="shared" si="0"/>
        <v>5</v>
      </c>
      <c r="AA42" s="63">
        <f t="shared" si="1"/>
        <v>2</v>
      </c>
    </row>
  </sheetData>
  <autoFilter ref="A1:Z42" xr:uid="{0AD22F0C-E1E8-4C48-B459-8A22DC79EA76}"/>
  <conditionalFormatting sqref="D1:O1 P1:P1048576 D2:F2 H2:P2 D3:O1048576">
    <cfRule type="containsText" dxfId="9" priority="6" operator="containsText" text="A">
      <formula>NOT(ISERROR(SEARCH("A",D1)))</formula>
    </cfRule>
  </conditionalFormatting>
  <conditionalFormatting sqref="D1:P1048576">
    <cfRule type="containsText" dxfId="8" priority="5" operator="containsText" text="F">
      <formula>NOT(ISERROR(SEARCH("F",D1)))</formula>
    </cfRule>
  </conditionalFormatting>
  <conditionalFormatting sqref="Q19">
    <cfRule type="containsText" dxfId="7" priority="1" operator="containsText" text="F">
      <formula>NOT(ISERROR(SEARCH("F",Q19)))</formula>
    </cfRule>
    <cfRule type="containsText" dxfId="6" priority="2" operator="containsText" text="A">
      <formula>NOT(ISERROR(SEARCH("A",Q19)))</formula>
    </cfRule>
  </conditionalFormatting>
  <conditionalFormatting sqref="R2">
    <cfRule type="containsText" dxfId="5" priority="3" operator="containsText" text="F">
      <formula>NOT(ISERROR(SEARCH("F",R2)))</formula>
    </cfRule>
    <cfRule type="containsText" dxfId="4" priority="4" operator="containsText" text="A">
      <formula>NOT(ISERROR(SEARCH("A",R2)))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6031-DE31-4F6B-A990-EE439E4871B6}">
  <dimension ref="A1:G43"/>
  <sheetViews>
    <sheetView workbookViewId="0">
      <selection activeCell="H1" sqref="H1:H1048576"/>
    </sheetView>
  </sheetViews>
  <sheetFormatPr baseColWidth="10" defaultRowHeight="15" x14ac:dyDescent="0.25"/>
  <cols>
    <col min="2" max="2" width="40.42578125" bestFit="1" customWidth="1"/>
    <col min="4" max="4" width="5.85546875" customWidth="1"/>
    <col min="5" max="6" width="22.7109375" style="41" customWidth="1"/>
    <col min="7" max="7" width="11.42578125" style="29"/>
  </cols>
  <sheetData>
    <row r="1" spans="1:7" x14ac:dyDescent="0.25">
      <c r="E1" s="44"/>
    </row>
    <row r="2" spans="1:7" ht="123.75" customHeight="1" x14ac:dyDescent="0.25">
      <c r="A2" s="42"/>
      <c r="B2" s="42"/>
      <c r="C2" s="42"/>
      <c r="D2" s="42" t="s">
        <v>79</v>
      </c>
      <c r="E2" s="45" t="s">
        <v>652</v>
      </c>
      <c r="F2" s="45" t="s">
        <v>653</v>
      </c>
      <c r="G2" s="47" t="s">
        <v>655</v>
      </c>
    </row>
    <row r="3" spans="1:7" x14ac:dyDescent="0.25">
      <c r="A3" s="3">
        <v>1</v>
      </c>
      <c r="B3" s="24" t="s">
        <v>0</v>
      </c>
      <c r="C3" s="12">
        <v>7344430</v>
      </c>
      <c r="D3" s="12">
        <f>+SUM(E3:H3)</f>
        <v>3</v>
      </c>
      <c r="E3" s="6">
        <v>1</v>
      </c>
      <c r="F3" s="6">
        <v>1</v>
      </c>
      <c r="G3" s="48">
        <v>1</v>
      </c>
    </row>
    <row r="4" spans="1:7" x14ac:dyDescent="0.25">
      <c r="A4" s="3">
        <v>2</v>
      </c>
      <c r="B4" s="24" t="s">
        <v>1</v>
      </c>
      <c r="C4" s="12">
        <v>7503128</v>
      </c>
      <c r="D4" s="12">
        <f t="shared" ref="D4:D43" si="0">+SUM(E4:H4)</f>
        <v>3</v>
      </c>
      <c r="E4" s="6">
        <v>1</v>
      </c>
      <c r="F4" s="6">
        <v>1</v>
      </c>
      <c r="G4" s="48">
        <v>1</v>
      </c>
    </row>
    <row r="5" spans="1:7" x14ac:dyDescent="0.25">
      <c r="A5" s="3">
        <v>3</v>
      </c>
      <c r="B5" s="24" t="s">
        <v>2</v>
      </c>
      <c r="C5" s="12">
        <v>7343210</v>
      </c>
      <c r="D5" s="12">
        <f t="shared" si="0"/>
        <v>3</v>
      </c>
      <c r="E5" s="6">
        <v>1</v>
      </c>
      <c r="F5" s="6">
        <v>1</v>
      </c>
      <c r="G5" s="48">
        <v>1</v>
      </c>
    </row>
    <row r="6" spans="1:7" x14ac:dyDescent="0.25">
      <c r="A6" s="3">
        <v>4</v>
      </c>
      <c r="B6" s="24" t="s">
        <v>3</v>
      </c>
      <c r="C6" s="12">
        <v>7474276</v>
      </c>
      <c r="D6" s="12">
        <f t="shared" si="0"/>
        <v>3</v>
      </c>
      <c r="E6" s="6">
        <v>1</v>
      </c>
      <c r="F6" s="6">
        <v>1</v>
      </c>
      <c r="G6" s="48">
        <v>1</v>
      </c>
    </row>
    <row r="7" spans="1:7" x14ac:dyDescent="0.25">
      <c r="A7" s="3">
        <v>5</v>
      </c>
      <c r="B7" s="24" t="s">
        <v>4</v>
      </c>
      <c r="C7" s="12">
        <v>7958599</v>
      </c>
      <c r="D7" s="12">
        <f t="shared" si="0"/>
        <v>3</v>
      </c>
      <c r="E7" s="6">
        <v>1</v>
      </c>
      <c r="F7" s="6">
        <v>1</v>
      </c>
      <c r="G7" s="48">
        <v>1</v>
      </c>
    </row>
    <row r="8" spans="1:7" x14ac:dyDescent="0.25">
      <c r="A8" s="3">
        <v>6</v>
      </c>
      <c r="B8" s="24" t="s">
        <v>5</v>
      </c>
      <c r="C8" s="12">
        <v>8101499</v>
      </c>
      <c r="D8" s="12">
        <f t="shared" si="0"/>
        <v>3</v>
      </c>
      <c r="E8" s="6">
        <v>1</v>
      </c>
      <c r="F8" s="6">
        <v>1</v>
      </c>
      <c r="G8" s="48">
        <v>1</v>
      </c>
    </row>
    <row r="9" spans="1:7" x14ac:dyDescent="0.25">
      <c r="A9" s="3">
        <v>7</v>
      </c>
      <c r="B9" s="24" t="s">
        <v>6</v>
      </c>
      <c r="C9" s="12">
        <v>7651970</v>
      </c>
      <c r="D9" s="12">
        <f t="shared" si="0"/>
        <v>3</v>
      </c>
      <c r="E9" s="6">
        <v>1</v>
      </c>
      <c r="F9" s="6">
        <v>1</v>
      </c>
      <c r="G9" s="48">
        <v>1</v>
      </c>
    </row>
    <row r="10" spans="1:7" x14ac:dyDescent="0.25">
      <c r="A10" s="3">
        <v>8</v>
      </c>
      <c r="B10" s="24" t="s">
        <v>7</v>
      </c>
      <c r="C10" s="12">
        <v>7222581</v>
      </c>
      <c r="D10" s="12">
        <f t="shared" si="0"/>
        <v>3</v>
      </c>
      <c r="E10" s="6">
        <v>1</v>
      </c>
      <c r="F10" s="6">
        <v>1</v>
      </c>
      <c r="G10" s="48">
        <v>1</v>
      </c>
    </row>
    <row r="11" spans="1:7" x14ac:dyDescent="0.25">
      <c r="A11" s="3">
        <v>9</v>
      </c>
      <c r="B11" s="24" t="s">
        <v>8</v>
      </c>
      <c r="C11" s="12">
        <v>7357774</v>
      </c>
      <c r="D11" s="12">
        <f t="shared" si="0"/>
        <v>3</v>
      </c>
      <c r="E11" s="6">
        <v>1</v>
      </c>
      <c r="F11" s="6">
        <v>1</v>
      </c>
      <c r="G11" s="48">
        <v>1</v>
      </c>
    </row>
    <row r="12" spans="1:7" x14ac:dyDescent="0.25">
      <c r="A12" s="3">
        <v>10</v>
      </c>
      <c r="B12" s="24" t="s">
        <v>9</v>
      </c>
      <c r="C12" s="12">
        <v>7342752</v>
      </c>
      <c r="D12" s="12">
        <f t="shared" si="0"/>
        <v>3</v>
      </c>
      <c r="E12" s="6">
        <v>1</v>
      </c>
      <c r="F12" s="6">
        <v>1</v>
      </c>
      <c r="G12" s="48">
        <v>1</v>
      </c>
    </row>
    <row r="13" spans="1:7" x14ac:dyDescent="0.25">
      <c r="A13" s="3">
        <v>11</v>
      </c>
      <c r="B13" s="24" t="s">
        <v>10</v>
      </c>
      <c r="C13" s="12">
        <v>8375944</v>
      </c>
      <c r="D13" s="12">
        <f t="shared" si="0"/>
        <v>3</v>
      </c>
      <c r="E13" s="6">
        <v>1</v>
      </c>
      <c r="F13" s="6">
        <v>1</v>
      </c>
      <c r="G13" s="48">
        <v>1</v>
      </c>
    </row>
    <row r="14" spans="1:7" x14ac:dyDescent="0.25">
      <c r="A14" s="3">
        <v>12</v>
      </c>
      <c r="B14" s="24" t="s">
        <v>11</v>
      </c>
      <c r="C14" s="12">
        <v>7552480</v>
      </c>
      <c r="D14" s="12">
        <f t="shared" si="0"/>
        <v>3</v>
      </c>
      <c r="E14" s="6">
        <v>1</v>
      </c>
      <c r="F14" s="6">
        <v>1</v>
      </c>
      <c r="G14" s="48">
        <v>1</v>
      </c>
    </row>
    <row r="15" spans="1:7" x14ac:dyDescent="0.25">
      <c r="A15" s="3">
        <v>13</v>
      </c>
      <c r="B15" s="3" t="s">
        <v>12</v>
      </c>
      <c r="C15" s="12">
        <v>7227419</v>
      </c>
      <c r="D15" s="12">
        <f t="shared" si="0"/>
        <v>2</v>
      </c>
      <c r="E15" s="6"/>
      <c r="F15" s="6">
        <v>1</v>
      </c>
      <c r="G15" s="48">
        <v>1</v>
      </c>
    </row>
    <row r="16" spans="1:7" x14ac:dyDescent="0.25">
      <c r="A16" s="3">
        <v>14</v>
      </c>
      <c r="B16" s="3" t="s">
        <v>13</v>
      </c>
      <c r="C16" s="12">
        <v>7202209</v>
      </c>
      <c r="D16" s="12">
        <f t="shared" si="0"/>
        <v>3</v>
      </c>
      <c r="E16" s="6">
        <v>1</v>
      </c>
      <c r="F16" s="6">
        <v>1</v>
      </c>
      <c r="G16" s="48">
        <v>1</v>
      </c>
    </row>
    <row r="17" spans="1:7" x14ac:dyDescent="0.25">
      <c r="A17" s="3">
        <v>15</v>
      </c>
      <c r="B17" s="3" t="s">
        <v>14</v>
      </c>
      <c r="C17" s="12">
        <v>7265455</v>
      </c>
      <c r="D17" s="12">
        <f t="shared" si="0"/>
        <v>3</v>
      </c>
      <c r="E17" s="6">
        <v>1</v>
      </c>
      <c r="F17" s="6">
        <v>1</v>
      </c>
      <c r="G17" s="48">
        <v>1</v>
      </c>
    </row>
    <row r="18" spans="1:7" x14ac:dyDescent="0.25">
      <c r="A18" s="3">
        <v>16</v>
      </c>
      <c r="B18" s="3" t="s">
        <v>15</v>
      </c>
      <c r="C18" s="12">
        <v>7429371</v>
      </c>
      <c r="D18" s="12">
        <f t="shared" si="0"/>
        <v>3</v>
      </c>
      <c r="E18" s="6">
        <v>1</v>
      </c>
      <c r="F18" s="6">
        <v>1</v>
      </c>
      <c r="G18" s="48">
        <v>1</v>
      </c>
    </row>
    <row r="19" spans="1:7" x14ac:dyDescent="0.25">
      <c r="A19" s="3">
        <v>17</v>
      </c>
      <c r="B19" s="3" t="s">
        <v>16</v>
      </c>
      <c r="C19" s="12">
        <v>7444777</v>
      </c>
      <c r="D19" s="12">
        <f t="shared" si="0"/>
        <v>3</v>
      </c>
      <c r="E19" s="6">
        <v>1</v>
      </c>
      <c r="F19" s="6">
        <v>1</v>
      </c>
      <c r="G19" s="48">
        <v>1</v>
      </c>
    </row>
    <row r="20" spans="1:7" x14ac:dyDescent="0.25">
      <c r="A20" s="3">
        <v>18</v>
      </c>
      <c r="B20" s="3" t="s">
        <v>17</v>
      </c>
      <c r="C20" s="12">
        <v>7444631</v>
      </c>
      <c r="D20" s="12">
        <f t="shared" si="0"/>
        <v>2</v>
      </c>
      <c r="E20" s="6"/>
      <c r="F20" s="6">
        <v>1</v>
      </c>
      <c r="G20" s="48">
        <v>1</v>
      </c>
    </row>
    <row r="21" spans="1:7" x14ac:dyDescent="0.25">
      <c r="A21" s="3">
        <v>19</v>
      </c>
      <c r="B21" s="3" t="s">
        <v>18</v>
      </c>
      <c r="C21" s="12">
        <v>7514145</v>
      </c>
      <c r="D21" s="12">
        <f t="shared" si="0"/>
        <v>3</v>
      </c>
      <c r="E21" s="6">
        <v>1</v>
      </c>
      <c r="F21" s="6">
        <v>1</v>
      </c>
      <c r="G21" s="48">
        <v>1</v>
      </c>
    </row>
    <row r="22" spans="1:7" x14ac:dyDescent="0.25">
      <c r="A22" s="3">
        <v>20</v>
      </c>
      <c r="B22" s="3" t="s">
        <v>19</v>
      </c>
      <c r="C22" s="12">
        <v>7386167</v>
      </c>
      <c r="D22" s="12">
        <f t="shared" si="0"/>
        <v>3</v>
      </c>
      <c r="E22" s="6">
        <v>1</v>
      </c>
      <c r="F22" s="6">
        <v>1</v>
      </c>
      <c r="G22" s="48">
        <v>1</v>
      </c>
    </row>
    <row r="23" spans="1:7" x14ac:dyDescent="0.25">
      <c r="A23" s="3">
        <v>21</v>
      </c>
      <c r="B23" s="3" t="s">
        <v>20</v>
      </c>
      <c r="C23" s="12">
        <v>8036254</v>
      </c>
      <c r="D23" s="12">
        <f t="shared" si="0"/>
        <v>2</v>
      </c>
      <c r="E23" s="6"/>
      <c r="F23" s="6">
        <v>1</v>
      </c>
      <c r="G23" s="48">
        <v>1</v>
      </c>
    </row>
    <row r="24" spans="1:7" x14ac:dyDescent="0.25">
      <c r="A24" s="3">
        <v>22</v>
      </c>
      <c r="B24" s="3" t="s">
        <v>21</v>
      </c>
      <c r="C24" s="12">
        <v>7805242</v>
      </c>
      <c r="D24" s="12">
        <f t="shared" si="0"/>
        <v>3</v>
      </c>
      <c r="E24" s="6">
        <v>1</v>
      </c>
      <c r="F24" s="6">
        <v>1</v>
      </c>
      <c r="G24" s="48">
        <v>1</v>
      </c>
    </row>
    <row r="25" spans="1:7" x14ac:dyDescent="0.25">
      <c r="A25" s="3">
        <v>23</v>
      </c>
      <c r="B25" s="3" t="s">
        <v>22</v>
      </c>
      <c r="C25" s="12">
        <v>7167263</v>
      </c>
      <c r="D25" s="12">
        <f t="shared" si="0"/>
        <v>3</v>
      </c>
      <c r="E25" s="6">
        <v>1</v>
      </c>
      <c r="F25" s="6">
        <v>1</v>
      </c>
      <c r="G25" s="48">
        <v>1</v>
      </c>
    </row>
    <row r="26" spans="1:7" x14ac:dyDescent="0.25">
      <c r="A26" s="3">
        <v>24</v>
      </c>
      <c r="B26" s="3" t="s">
        <v>23</v>
      </c>
      <c r="C26" s="12">
        <v>7594625</v>
      </c>
      <c r="D26" s="12">
        <f t="shared" si="0"/>
        <v>3</v>
      </c>
      <c r="E26" s="6">
        <v>1</v>
      </c>
      <c r="F26" s="6">
        <v>1</v>
      </c>
      <c r="G26" s="48">
        <v>1</v>
      </c>
    </row>
    <row r="27" spans="1:7" x14ac:dyDescent="0.25">
      <c r="A27" s="24">
        <v>25</v>
      </c>
      <c r="B27" s="24" t="s">
        <v>24</v>
      </c>
      <c r="C27" s="43">
        <v>7240549</v>
      </c>
      <c r="D27" s="43">
        <f t="shared" si="0"/>
        <v>3</v>
      </c>
      <c r="E27" s="46">
        <v>1</v>
      </c>
      <c r="F27" s="46">
        <v>1</v>
      </c>
      <c r="G27" s="48">
        <v>1</v>
      </c>
    </row>
    <row r="28" spans="1:7" x14ac:dyDescent="0.25">
      <c r="A28" s="24">
        <v>26</v>
      </c>
      <c r="B28" s="24" t="s">
        <v>25</v>
      </c>
      <c r="C28" s="43">
        <v>7398696</v>
      </c>
      <c r="D28" s="43">
        <f t="shared" si="0"/>
        <v>3</v>
      </c>
      <c r="E28" s="46">
        <v>1</v>
      </c>
      <c r="F28" s="46">
        <v>1</v>
      </c>
      <c r="G28" s="48">
        <v>1</v>
      </c>
    </row>
    <row r="29" spans="1:7" x14ac:dyDescent="0.25">
      <c r="A29" s="24">
        <v>27</v>
      </c>
      <c r="B29" s="24" t="s">
        <v>26</v>
      </c>
      <c r="C29" s="43">
        <v>7533418</v>
      </c>
      <c r="D29" s="43">
        <f t="shared" si="0"/>
        <v>3</v>
      </c>
      <c r="E29" s="46">
        <v>1</v>
      </c>
      <c r="F29" s="46">
        <v>1</v>
      </c>
      <c r="G29" s="48">
        <v>1</v>
      </c>
    </row>
    <row r="30" spans="1:7" x14ac:dyDescent="0.25">
      <c r="A30" s="24">
        <v>28</v>
      </c>
      <c r="B30" s="24" t="s">
        <v>27</v>
      </c>
      <c r="C30" s="43">
        <v>7335885</v>
      </c>
      <c r="D30" s="43">
        <f t="shared" si="0"/>
        <v>3</v>
      </c>
      <c r="E30" s="46">
        <v>1</v>
      </c>
      <c r="F30" s="46">
        <v>1</v>
      </c>
      <c r="G30" s="48">
        <v>1</v>
      </c>
    </row>
    <row r="31" spans="1:7" x14ac:dyDescent="0.25">
      <c r="A31" s="24">
        <v>29</v>
      </c>
      <c r="B31" s="24" t="s">
        <v>28</v>
      </c>
      <c r="C31" s="43">
        <v>7504518</v>
      </c>
      <c r="D31" s="43">
        <f t="shared" si="0"/>
        <v>3</v>
      </c>
      <c r="E31" s="46">
        <v>1</v>
      </c>
      <c r="F31" s="46">
        <v>1</v>
      </c>
      <c r="G31" s="48">
        <v>1</v>
      </c>
    </row>
    <row r="32" spans="1:7" x14ac:dyDescent="0.25">
      <c r="A32" s="24">
        <v>30</v>
      </c>
      <c r="B32" s="24" t="s">
        <v>29</v>
      </c>
      <c r="C32" s="43">
        <v>7318166</v>
      </c>
      <c r="D32" s="43">
        <f t="shared" si="0"/>
        <v>3</v>
      </c>
      <c r="E32" s="46">
        <v>1</v>
      </c>
      <c r="F32" s="46">
        <v>1</v>
      </c>
      <c r="G32" s="48">
        <v>1</v>
      </c>
    </row>
    <row r="33" spans="1:7" x14ac:dyDescent="0.25">
      <c r="A33" s="24">
        <v>31</v>
      </c>
      <c r="B33" s="24" t="s">
        <v>30</v>
      </c>
      <c r="C33" s="43">
        <v>7384033</v>
      </c>
      <c r="D33" s="43">
        <f t="shared" si="0"/>
        <v>2</v>
      </c>
      <c r="E33" s="46"/>
      <c r="F33" s="46">
        <v>1</v>
      </c>
      <c r="G33" s="48">
        <v>1</v>
      </c>
    </row>
    <row r="34" spans="1:7" x14ac:dyDescent="0.25">
      <c r="A34" s="24">
        <v>32</v>
      </c>
      <c r="B34" s="24" t="s">
        <v>31</v>
      </c>
      <c r="C34" s="43">
        <v>7324122</v>
      </c>
      <c r="D34" s="43">
        <f t="shared" si="0"/>
        <v>3</v>
      </c>
      <c r="E34" s="46">
        <v>1</v>
      </c>
      <c r="F34" s="46">
        <v>1</v>
      </c>
      <c r="G34" s="48">
        <v>1</v>
      </c>
    </row>
    <row r="35" spans="1:7" x14ac:dyDescent="0.25">
      <c r="A35" s="24">
        <v>33</v>
      </c>
      <c r="B35" s="24" t="s">
        <v>32</v>
      </c>
      <c r="C35" s="43">
        <v>7342346</v>
      </c>
      <c r="D35" s="43">
        <f t="shared" si="0"/>
        <v>3</v>
      </c>
      <c r="E35" s="46">
        <v>1</v>
      </c>
      <c r="F35" s="46">
        <v>1</v>
      </c>
      <c r="G35" s="48">
        <v>1</v>
      </c>
    </row>
    <row r="36" spans="1:7" x14ac:dyDescent="0.25">
      <c r="A36" s="24">
        <v>34</v>
      </c>
      <c r="B36" s="24" t="s">
        <v>33</v>
      </c>
      <c r="C36" s="43">
        <v>7367983</v>
      </c>
      <c r="D36" s="43">
        <f t="shared" si="0"/>
        <v>3</v>
      </c>
      <c r="E36" s="46">
        <v>1</v>
      </c>
      <c r="F36" s="46">
        <v>1</v>
      </c>
      <c r="G36" s="48">
        <v>1</v>
      </c>
    </row>
    <row r="37" spans="1:7" x14ac:dyDescent="0.25">
      <c r="A37" s="24">
        <v>35</v>
      </c>
      <c r="B37" s="24" t="s">
        <v>34</v>
      </c>
      <c r="C37" s="43">
        <v>7272130</v>
      </c>
      <c r="D37" s="43"/>
      <c r="E37" s="46"/>
      <c r="F37" s="46"/>
      <c r="G37" s="48"/>
    </row>
    <row r="38" spans="1:7" x14ac:dyDescent="0.25">
      <c r="A38" s="24">
        <v>36</v>
      </c>
      <c r="B38" s="24" t="s">
        <v>35</v>
      </c>
      <c r="C38" s="43">
        <v>7443701</v>
      </c>
      <c r="D38" s="43">
        <f t="shared" si="0"/>
        <v>3</v>
      </c>
      <c r="E38" s="46">
        <v>1</v>
      </c>
      <c r="F38" s="46">
        <v>1</v>
      </c>
      <c r="G38" s="48">
        <v>1</v>
      </c>
    </row>
    <row r="39" spans="1:7" x14ac:dyDescent="0.25">
      <c r="A39" s="24">
        <v>37</v>
      </c>
      <c r="B39" s="24" t="s">
        <v>36</v>
      </c>
      <c r="C39" s="43">
        <v>7542562</v>
      </c>
      <c r="D39" s="43">
        <f t="shared" si="0"/>
        <v>3</v>
      </c>
      <c r="E39" s="46">
        <v>1</v>
      </c>
      <c r="F39" s="46">
        <v>1</v>
      </c>
      <c r="G39" s="48">
        <v>1</v>
      </c>
    </row>
    <row r="40" spans="1:7" x14ac:dyDescent="0.25">
      <c r="A40" s="24">
        <v>38</v>
      </c>
      <c r="B40" s="24" t="s">
        <v>37</v>
      </c>
      <c r="C40" s="43">
        <v>8000217</v>
      </c>
      <c r="D40" s="43">
        <f t="shared" si="0"/>
        <v>3</v>
      </c>
      <c r="E40" s="46">
        <v>1</v>
      </c>
      <c r="F40" s="46">
        <v>1</v>
      </c>
      <c r="G40" s="48">
        <v>1</v>
      </c>
    </row>
    <row r="41" spans="1:7" x14ac:dyDescent="0.25">
      <c r="A41" s="24">
        <v>39</v>
      </c>
      <c r="B41" s="24" t="s">
        <v>38</v>
      </c>
      <c r="C41" s="43">
        <v>7500428</v>
      </c>
      <c r="D41" s="43">
        <f t="shared" si="0"/>
        <v>3</v>
      </c>
      <c r="E41" s="46">
        <v>1</v>
      </c>
      <c r="F41" s="46">
        <v>1</v>
      </c>
      <c r="G41" s="48">
        <v>1</v>
      </c>
    </row>
    <row r="42" spans="1:7" x14ac:dyDescent="0.25">
      <c r="A42" s="24">
        <v>40</v>
      </c>
      <c r="B42" s="24" t="s">
        <v>39</v>
      </c>
      <c r="C42" s="43">
        <v>7377595</v>
      </c>
      <c r="D42" s="43">
        <f t="shared" si="0"/>
        <v>3</v>
      </c>
      <c r="E42" s="46">
        <v>1</v>
      </c>
      <c r="F42" s="46">
        <v>1</v>
      </c>
      <c r="G42" s="48">
        <v>1</v>
      </c>
    </row>
    <row r="43" spans="1:7" x14ac:dyDescent="0.25">
      <c r="A43" s="24"/>
      <c r="B43" s="24" t="str">
        <f>+'Habitos Saludables'!B43</f>
        <v>DIAZ ACUÑA, MAXIMO RAMÓN</v>
      </c>
      <c r="C43" s="24"/>
      <c r="D43" s="43">
        <f t="shared" si="0"/>
        <v>2</v>
      </c>
      <c r="E43" s="46"/>
      <c r="F43" s="46">
        <v>1</v>
      </c>
      <c r="G43" s="4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116D-C609-48F6-8987-CEC5EA9183CC}">
  <dimension ref="A1:K43"/>
  <sheetViews>
    <sheetView workbookViewId="0">
      <selection activeCell="A24" sqref="A1:G1048576"/>
    </sheetView>
  </sheetViews>
  <sheetFormatPr baseColWidth="10" defaultRowHeight="15" x14ac:dyDescent="0.25"/>
  <cols>
    <col min="2" max="2" width="40.42578125" bestFit="1" customWidth="1"/>
    <col min="5" max="10" width="10.28515625" customWidth="1"/>
  </cols>
  <sheetData>
    <row r="1" spans="1:11" ht="54.75" x14ac:dyDescent="0.25">
      <c r="K1" s="4">
        <v>45730</v>
      </c>
    </row>
    <row r="2" spans="1:11" s="25" customFormat="1" ht="60" x14ac:dyDescent="0.2">
      <c r="A2" s="26"/>
      <c r="B2" s="26"/>
      <c r="C2" s="26"/>
      <c r="D2" s="26" t="s">
        <v>79</v>
      </c>
      <c r="E2" s="27" t="s">
        <v>85</v>
      </c>
      <c r="F2" s="27" t="s">
        <v>84</v>
      </c>
      <c r="G2" s="27" t="s">
        <v>83</v>
      </c>
      <c r="H2" s="26" t="s">
        <v>86</v>
      </c>
      <c r="I2" s="26" t="s">
        <v>87</v>
      </c>
      <c r="J2" s="26" t="s">
        <v>88</v>
      </c>
      <c r="K2" s="15" t="s">
        <v>55</v>
      </c>
    </row>
    <row r="3" spans="1:11" x14ac:dyDescent="0.25">
      <c r="A3" s="3">
        <v>1</v>
      </c>
      <c r="B3" s="24" t="s">
        <v>0</v>
      </c>
      <c r="C3" s="12">
        <v>7344430</v>
      </c>
      <c r="D3" s="12">
        <f>+SUM(E3:J3)</f>
        <v>6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6" t="s">
        <v>65</v>
      </c>
    </row>
    <row r="4" spans="1:11" x14ac:dyDescent="0.25">
      <c r="A4" s="3">
        <v>2</v>
      </c>
      <c r="B4" s="24" t="s">
        <v>1</v>
      </c>
      <c r="C4" s="12">
        <v>7503128</v>
      </c>
      <c r="D4" s="12">
        <f t="shared" ref="D4:D42" si="0">+SUM(E4:J4)</f>
        <v>6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6" t="s">
        <v>65</v>
      </c>
    </row>
    <row r="5" spans="1:11" x14ac:dyDescent="0.25">
      <c r="A5" s="3">
        <v>3</v>
      </c>
      <c r="B5" s="24" t="s">
        <v>2</v>
      </c>
      <c r="C5" s="12">
        <v>7343210</v>
      </c>
      <c r="D5" s="12">
        <f t="shared" si="0"/>
        <v>6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6" t="s">
        <v>46</v>
      </c>
    </row>
    <row r="6" spans="1:11" x14ac:dyDescent="0.25">
      <c r="A6" s="3">
        <v>4</v>
      </c>
      <c r="B6" s="24" t="s">
        <v>3</v>
      </c>
      <c r="C6" s="12">
        <v>7474276</v>
      </c>
      <c r="D6" s="12">
        <f t="shared" si="0"/>
        <v>6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6" t="s">
        <v>65</v>
      </c>
    </row>
    <row r="7" spans="1:11" x14ac:dyDescent="0.25">
      <c r="A7" s="3">
        <v>5</v>
      </c>
      <c r="B7" s="24" t="s">
        <v>4</v>
      </c>
      <c r="C7" s="12">
        <v>7958599</v>
      </c>
      <c r="D7" s="12">
        <f t="shared" si="0"/>
        <v>6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6" t="s">
        <v>65</v>
      </c>
    </row>
    <row r="8" spans="1:11" x14ac:dyDescent="0.25">
      <c r="A8" s="3">
        <v>6</v>
      </c>
      <c r="B8" s="24" t="s">
        <v>5</v>
      </c>
      <c r="C8" s="12">
        <v>8101499</v>
      </c>
      <c r="D8" s="12">
        <f t="shared" si="0"/>
        <v>6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6" t="s">
        <v>65</v>
      </c>
    </row>
    <row r="9" spans="1:11" x14ac:dyDescent="0.25">
      <c r="A9" s="3">
        <v>7</v>
      </c>
      <c r="B9" s="24" t="s">
        <v>6</v>
      </c>
      <c r="C9" s="12">
        <v>7651970</v>
      </c>
      <c r="D9" s="12">
        <f t="shared" si="0"/>
        <v>6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6" t="s">
        <v>46</v>
      </c>
    </row>
    <row r="10" spans="1:11" x14ac:dyDescent="0.25">
      <c r="A10" s="3">
        <v>8</v>
      </c>
      <c r="B10" s="24" t="s">
        <v>7</v>
      </c>
      <c r="C10" s="12">
        <v>7222581</v>
      </c>
      <c r="D10" s="12">
        <f t="shared" si="0"/>
        <v>6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6" t="s">
        <v>65</v>
      </c>
    </row>
    <row r="11" spans="1:11" x14ac:dyDescent="0.25">
      <c r="A11" s="3">
        <v>9</v>
      </c>
      <c r="B11" s="24" t="s">
        <v>8</v>
      </c>
      <c r="C11" s="12">
        <v>7357774</v>
      </c>
      <c r="D11" s="12">
        <f t="shared" si="0"/>
        <v>6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6" t="s">
        <v>46</v>
      </c>
    </row>
    <row r="12" spans="1:11" x14ac:dyDescent="0.25">
      <c r="A12" s="3">
        <v>10</v>
      </c>
      <c r="B12" s="24" t="s">
        <v>9</v>
      </c>
      <c r="C12" s="12">
        <v>7342752</v>
      </c>
      <c r="D12" s="12">
        <f t="shared" si="0"/>
        <v>6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6" t="s">
        <v>65</v>
      </c>
    </row>
    <row r="13" spans="1:11" x14ac:dyDescent="0.25">
      <c r="A13" s="3">
        <v>11</v>
      </c>
      <c r="B13" s="24" t="s">
        <v>10</v>
      </c>
      <c r="C13" s="12">
        <v>8375944</v>
      </c>
      <c r="D13" s="12">
        <f t="shared" si="0"/>
        <v>6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6" t="s">
        <v>65</v>
      </c>
    </row>
    <row r="14" spans="1:11" x14ac:dyDescent="0.25">
      <c r="A14" s="3">
        <v>12</v>
      </c>
      <c r="B14" s="24" t="s">
        <v>11</v>
      </c>
      <c r="C14" s="12">
        <v>7552480</v>
      </c>
      <c r="D14" s="12">
        <f t="shared" si="0"/>
        <v>6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6" t="s">
        <v>65</v>
      </c>
    </row>
    <row r="15" spans="1:11" x14ac:dyDescent="0.25">
      <c r="A15" s="3">
        <v>13</v>
      </c>
      <c r="B15" s="3" t="s">
        <v>12</v>
      </c>
      <c r="C15" s="12">
        <v>7227419</v>
      </c>
      <c r="D15" s="12">
        <f t="shared" si="0"/>
        <v>5</v>
      </c>
      <c r="E15" s="3"/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6" t="s">
        <v>51</v>
      </c>
    </row>
    <row r="16" spans="1:11" x14ac:dyDescent="0.25">
      <c r="A16" s="3">
        <v>14</v>
      </c>
      <c r="B16" s="3" t="s">
        <v>13</v>
      </c>
      <c r="C16" s="12">
        <v>7202209</v>
      </c>
      <c r="D16" s="12">
        <f t="shared" si="0"/>
        <v>6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6" t="s">
        <v>46</v>
      </c>
    </row>
    <row r="17" spans="1:11" x14ac:dyDescent="0.25">
      <c r="A17" s="3">
        <v>15</v>
      </c>
      <c r="B17" s="3" t="s">
        <v>14</v>
      </c>
      <c r="C17" s="12">
        <v>7265455</v>
      </c>
      <c r="D17" s="12">
        <f t="shared" si="0"/>
        <v>6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6" t="s">
        <v>46</v>
      </c>
    </row>
    <row r="18" spans="1:11" x14ac:dyDescent="0.25">
      <c r="A18" s="3">
        <v>16</v>
      </c>
      <c r="B18" s="3" t="s">
        <v>15</v>
      </c>
      <c r="C18" s="12">
        <v>7429371</v>
      </c>
      <c r="D18" s="12">
        <f t="shared" si="0"/>
        <v>6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6" t="s">
        <v>65</v>
      </c>
    </row>
    <row r="19" spans="1:11" x14ac:dyDescent="0.25">
      <c r="A19" s="3">
        <v>17</v>
      </c>
      <c r="B19" s="3" t="s">
        <v>16</v>
      </c>
      <c r="C19" s="12">
        <v>7444777</v>
      </c>
      <c r="D19" s="12">
        <f t="shared" si="0"/>
        <v>6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6" t="s">
        <v>46</v>
      </c>
    </row>
    <row r="20" spans="1:11" x14ac:dyDescent="0.25">
      <c r="A20" s="3">
        <v>18</v>
      </c>
      <c r="B20" s="3" t="s">
        <v>17</v>
      </c>
      <c r="C20" s="12">
        <v>7444631</v>
      </c>
      <c r="D20" s="12">
        <f t="shared" si="0"/>
        <v>5</v>
      </c>
      <c r="E20" s="3"/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6" t="s">
        <v>51</v>
      </c>
    </row>
    <row r="21" spans="1:11" x14ac:dyDescent="0.25">
      <c r="A21" s="3">
        <v>19</v>
      </c>
      <c r="B21" s="3" t="s">
        <v>18</v>
      </c>
      <c r="C21" s="12">
        <v>7514145</v>
      </c>
      <c r="D21" s="12">
        <f t="shared" si="0"/>
        <v>6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6" t="s">
        <v>46</v>
      </c>
    </row>
    <row r="22" spans="1:11" x14ac:dyDescent="0.25">
      <c r="A22" s="3">
        <v>20</v>
      </c>
      <c r="B22" s="3" t="s">
        <v>19</v>
      </c>
      <c r="C22" s="12">
        <v>7386167</v>
      </c>
      <c r="D22" s="12">
        <f t="shared" si="0"/>
        <v>6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6" t="s">
        <v>46</v>
      </c>
    </row>
    <row r="23" spans="1:11" x14ac:dyDescent="0.25">
      <c r="A23" s="3">
        <v>21</v>
      </c>
      <c r="B23" s="3" t="s">
        <v>20</v>
      </c>
      <c r="C23" s="12">
        <v>8036254</v>
      </c>
      <c r="D23" s="12">
        <f t="shared" si="0"/>
        <v>5</v>
      </c>
      <c r="E23" s="3"/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6" t="s">
        <v>51</v>
      </c>
    </row>
    <row r="24" spans="1:11" x14ac:dyDescent="0.25">
      <c r="A24" s="3">
        <v>22</v>
      </c>
      <c r="B24" s="3" t="s">
        <v>21</v>
      </c>
      <c r="C24" s="12">
        <v>7805242</v>
      </c>
      <c r="D24" s="12">
        <f t="shared" si="0"/>
        <v>6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6" t="s">
        <v>46</v>
      </c>
    </row>
    <row r="25" spans="1:11" x14ac:dyDescent="0.25">
      <c r="A25" s="3">
        <v>23</v>
      </c>
      <c r="B25" s="3" t="s">
        <v>22</v>
      </c>
      <c r="C25" s="12">
        <v>7167263</v>
      </c>
      <c r="D25" s="12">
        <f t="shared" si="0"/>
        <v>6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6" t="s">
        <v>46</v>
      </c>
    </row>
    <row r="26" spans="1:11" x14ac:dyDescent="0.25">
      <c r="A26" s="3">
        <v>24</v>
      </c>
      <c r="B26" s="3" t="s">
        <v>23</v>
      </c>
      <c r="C26" s="12">
        <v>7594625</v>
      </c>
      <c r="D26" s="12">
        <f t="shared" si="0"/>
        <v>6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6" t="s">
        <v>46</v>
      </c>
    </row>
    <row r="27" spans="1:11" x14ac:dyDescent="0.25">
      <c r="A27" s="3">
        <v>25</v>
      </c>
      <c r="B27" s="3" t="s">
        <v>24</v>
      </c>
      <c r="C27" s="12">
        <v>7240549</v>
      </c>
      <c r="D27" s="12">
        <f t="shared" si="0"/>
        <v>6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6" t="s">
        <v>46</v>
      </c>
    </row>
    <row r="28" spans="1:11" x14ac:dyDescent="0.25">
      <c r="A28" s="3">
        <v>26</v>
      </c>
      <c r="B28" s="3" t="s">
        <v>25</v>
      </c>
      <c r="C28" s="12">
        <v>7398696</v>
      </c>
      <c r="D28" s="12">
        <f t="shared" si="0"/>
        <v>6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6" t="s">
        <v>46</v>
      </c>
    </row>
    <row r="29" spans="1:11" x14ac:dyDescent="0.25">
      <c r="A29" s="3">
        <v>27</v>
      </c>
      <c r="B29" s="20" t="s">
        <v>26</v>
      </c>
      <c r="C29" s="12">
        <v>7533418</v>
      </c>
      <c r="D29" s="12">
        <f t="shared" si="0"/>
        <v>6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6" t="s">
        <v>65</v>
      </c>
    </row>
    <row r="30" spans="1:11" x14ac:dyDescent="0.25">
      <c r="A30" s="3">
        <v>28</v>
      </c>
      <c r="B30" s="20" t="s">
        <v>27</v>
      </c>
      <c r="C30" s="12">
        <v>7335885</v>
      </c>
      <c r="D30" s="12">
        <f t="shared" si="0"/>
        <v>6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6" t="s">
        <v>68</v>
      </c>
    </row>
    <row r="31" spans="1:11" x14ac:dyDescent="0.25">
      <c r="A31" s="3">
        <v>29</v>
      </c>
      <c r="B31" s="3" t="s">
        <v>28</v>
      </c>
      <c r="C31" s="12">
        <v>7504518</v>
      </c>
      <c r="D31" s="12">
        <f t="shared" si="0"/>
        <v>6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6" t="s">
        <v>46</v>
      </c>
    </row>
    <row r="32" spans="1:11" x14ac:dyDescent="0.25">
      <c r="A32" s="3">
        <v>30</v>
      </c>
      <c r="B32" s="3" t="s">
        <v>29</v>
      </c>
      <c r="C32" s="12">
        <v>7318166</v>
      </c>
      <c r="D32" s="12">
        <f t="shared" si="0"/>
        <v>6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6" t="s">
        <v>46</v>
      </c>
    </row>
    <row r="33" spans="1:11" x14ac:dyDescent="0.25">
      <c r="A33" s="3">
        <v>31</v>
      </c>
      <c r="B33" s="3" t="s">
        <v>30</v>
      </c>
      <c r="C33" s="12">
        <v>7384033</v>
      </c>
      <c r="D33" s="12">
        <f t="shared" si="0"/>
        <v>5</v>
      </c>
      <c r="E33" s="3"/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6" t="s">
        <v>51</v>
      </c>
    </row>
    <row r="34" spans="1:11" x14ac:dyDescent="0.25">
      <c r="A34" s="3">
        <v>32</v>
      </c>
      <c r="B34" s="3" t="s">
        <v>31</v>
      </c>
      <c r="C34" s="12">
        <v>7324122</v>
      </c>
      <c r="D34" s="12">
        <f t="shared" si="0"/>
        <v>6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6" t="s">
        <v>46</v>
      </c>
    </row>
    <row r="35" spans="1:11" x14ac:dyDescent="0.25">
      <c r="A35" s="3">
        <v>33</v>
      </c>
      <c r="B35" s="3" t="s">
        <v>32</v>
      </c>
      <c r="C35" s="12">
        <v>7342346</v>
      </c>
      <c r="D35" s="12">
        <f t="shared" si="0"/>
        <v>6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  <c r="K35" s="6" t="s">
        <v>46</v>
      </c>
    </row>
    <row r="36" spans="1:11" x14ac:dyDescent="0.25">
      <c r="A36" s="3">
        <v>34</v>
      </c>
      <c r="B36" s="3" t="s">
        <v>33</v>
      </c>
      <c r="C36" s="12">
        <v>7367983</v>
      </c>
      <c r="D36" s="12">
        <f t="shared" si="0"/>
        <v>6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6" t="s">
        <v>46</v>
      </c>
    </row>
    <row r="37" spans="1:11" x14ac:dyDescent="0.25">
      <c r="A37" s="3">
        <v>35</v>
      </c>
      <c r="B37" s="20" t="s">
        <v>34</v>
      </c>
      <c r="C37" s="12">
        <v>7272130</v>
      </c>
      <c r="D37" s="12">
        <f t="shared" si="0"/>
        <v>6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6" t="s">
        <v>65</v>
      </c>
    </row>
    <row r="38" spans="1:11" x14ac:dyDescent="0.25">
      <c r="A38" s="3">
        <v>36</v>
      </c>
      <c r="B38" s="3" t="s">
        <v>35</v>
      </c>
      <c r="C38" s="12">
        <v>7443701</v>
      </c>
      <c r="D38" s="12">
        <f t="shared" si="0"/>
        <v>6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  <c r="K38" s="6" t="s">
        <v>46</v>
      </c>
    </row>
    <row r="39" spans="1:11" x14ac:dyDescent="0.25">
      <c r="A39" s="3">
        <v>37</v>
      </c>
      <c r="B39" s="3" t="s">
        <v>36</v>
      </c>
      <c r="C39" s="12">
        <v>7542562</v>
      </c>
      <c r="D39" s="12">
        <f t="shared" si="0"/>
        <v>6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6" t="s">
        <v>46</v>
      </c>
    </row>
    <row r="40" spans="1:11" x14ac:dyDescent="0.25">
      <c r="A40" s="3">
        <v>38</v>
      </c>
      <c r="B40" s="3" t="s">
        <v>37</v>
      </c>
      <c r="C40" s="12">
        <v>8000217</v>
      </c>
      <c r="D40" s="12">
        <f t="shared" si="0"/>
        <v>6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6" t="s">
        <v>46</v>
      </c>
    </row>
    <row r="41" spans="1:11" x14ac:dyDescent="0.25">
      <c r="A41" s="3">
        <v>39</v>
      </c>
      <c r="B41" s="3" t="s">
        <v>38</v>
      </c>
      <c r="C41" s="12">
        <v>7500428</v>
      </c>
      <c r="D41" s="12">
        <f t="shared" si="0"/>
        <v>6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6" t="s">
        <v>46</v>
      </c>
    </row>
    <row r="42" spans="1:11" x14ac:dyDescent="0.25">
      <c r="A42" s="3">
        <v>40</v>
      </c>
      <c r="B42" s="3" t="s">
        <v>39</v>
      </c>
      <c r="C42" s="12">
        <v>7377595</v>
      </c>
      <c r="D42" s="12">
        <f t="shared" si="0"/>
        <v>6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6" t="s">
        <v>46</v>
      </c>
    </row>
    <row r="43" spans="1:11" x14ac:dyDescent="0.25">
      <c r="B43" t="str">
        <f>+'Habitos Saludables'!B43</f>
        <v>DIAZ ACUÑA, MAXIMO RAMÓN</v>
      </c>
      <c r="D43" s="12">
        <f t="shared" ref="D43" si="1">+SUM(E43:J43)</f>
        <v>5</v>
      </c>
      <c r="E43" s="3"/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6"/>
    </row>
  </sheetData>
  <conditionalFormatting sqref="K1:K43">
    <cfRule type="containsText" dxfId="3" priority="1" operator="containsText" text="F">
      <formula>NOT(ISERROR(SEARCH("F",K1)))</formula>
    </cfRule>
    <cfRule type="containsText" dxfId="2" priority="2" operator="containsText" text="A">
      <formula>NOT(ISERROR(SEARCH("A",K1)))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C36F-633E-44B9-B98D-4702C0351CBA}">
  <dimension ref="A2:J43"/>
  <sheetViews>
    <sheetView topLeftCell="C2" workbookViewId="0">
      <selection activeCell="K17" sqref="K17"/>
    </sheetView>
  </sheetViews>
  <sheetFormatPr baseColWidth="10" defaultRowHeight="15" x14ac:dyDescent="0.25"/>
  <cols>
    <col min="2" max="2" width="40.42578125" bestFit="1" customWidth="1"/>
    <col min="5" max="9" width="21.28515625" customWidth="1"/>
  </cols>
  <sheetData>
    <row r="2" spans="1:10" s="25" customFormat="1" ht="96.75" customHeight="1" x14ac:dyDescent="0.2">
      <c r="A2" s="26"/>
      <c r="B2" s="26"/>
      <c r="C2" s="26"/>
      <c r="D2" s="26" t="s">
        <v>79</v>
      </c>
      <c r="E2" s="27" t="s">
        <v>74</v>
      </c>
      <c r="F2" s="27" t="s">
        <v>75</v>
      </c>
      <c r="G2" s="27" t="s">
        <v>76</v>
      </c>
      <c r="H2" s="27" t="s">
        <v>77</v>
      </c>
      <c r="I2" s="27" t="s">
        <v>78</v>
      </c>
      <c r="J2" s="28" t="str">
        <f>+Asistencia!P2</f>
        <v xml:space="preserve">Prog. Emb. Habitos </v>
      </c>
    </row>
    <row r="3" spans="1:10" x14ac:dyDescent="0.25">
      <c r="A3" s="3">
        <v>1</v>
      </c>
      <c r="B3" s="24" t="s">
        <v>0</v>
      </c>
      <c r="C3" s="12">
        <v>7344430</v>
      </c>
      <c r="D3" s="12">
        <f>+SUM(E3:I3)</f>
        <v>5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6" t="s">
        <v>46</v>
      </c>
    </row>
    <row r="4" spans="1:10" x14ac:dyDescent="0.25">
      <c r="A4" s="3">
        <v>2</v>
      </c>
      <c r="B4" s="24" t="s">
        <v>1</v>
      </c>
      <c r="C4" s="12">
        <v>7503128</v>
      </c>
      <c r="D4" s="12">
        <f t="shared" ref="D4:D42" si="0">+SUM(E4:I4)</f>
        <v>4</v>
      </c>
      <c r="E4" s="3">
        <v>1</v>
      </c>
      <c r="F4" s="3"/>
      <c r="G4" s="3">
        <v>1</v>
      </c>
      <c r="H4" s="3">
        <v>1</v>
      </c>
      <c r="I4" s="3">
        <v>1</v>
      </c>
      <c r="J4" s="6" t="s">
        <v>51</v>
      </c>
    </row>
    <row r="5" spans="1:10" x14ac:dyDescent="0.25">
      <c r="A5" s="3">
        <v>3</v>
      </c>
      <c r="B5" s="24" t="s">
        <v>2</v>
      </c>
      <c r="C5" s="12">
        <v>7343210</v>
      </c>
      <c r="D5" s="12">
        <f t="shared" si="0"/>
        <v>5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6" t="s">
        <v>67</v>
      </c>
    </row>
    <row r="6" spans="1:10" x14ac:dyDescent="0.25">
      <c r="A6" s="3">
        <v>4</v>
      </c>
      <c r="B6" s="24" t="s">
        <v>3</v>
      </c>
      <c r="C6" s="12">
        <v>7474276</v>
      </c>
      <c r="D6" s="12">
        <f t="shared" si="0"/>
        <v>5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6" t="s">
        <v>67</v>
      </c>
    </row>
    <row r="7" spans="1:10" x14ac:dyDescent="0.25">
      <c r="A7" s="3">
        <v>5</v>
      </c>
      <c r="B7" s="24" t="s">
        <v>4</v>
      </c>
      <c r="C7" s="12">
        <v>7958599</v>
      </c>
      <c r="D7" s="12">
        <f t="shared" si="0"/>
        <v>5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6" t="s">
        <v>67</v>
      </c>
    </row>
    <row r="8" spans="1:10" x14ac:dyDescent="0.25">
      <c r="A8" s="3">
        <v>6</v>
      </c>
      <c r="B8" s="24" t="s">
        <v>5</v>
      </c>
      <c r="C8" s="12">
        <v>8101499</v>
      </c>
      <c r="D8" s="12">
        <f t="shared" si="0"/>
        <v>4</v>
      </c>
      <c r="E8" s="3">
        <v>1</v>
      </c>
      <c r="F8" s="3"/>
      <c r="G8" s="3">
        <v>1</v>
      </c>
      <c r="H8" s="3">
        <v>1</v>
      </c>
      <c r="I8" s="3">
        <v>1</v>
      </c>
      <c r="J8" s="6" t="s">
        <v>51</v>
      </c>
    </row>
    <row r="9" spans="1:10" x14ac:dyDescent="0.25">
      <c r="A9" s="3">
        <v>7</v>
      </c>
      <c r="B9" s="24" t="s">
        <v>6</v>
      </c>
      <c r="C9" s="12">
        <v>7651970</v>
      </c>
      <c r="D9" s="12">
        <f t="shared" si="0"/>
        <v>5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6" t="s">
        <v>46</v>
      </c>
    </row>
    <row r="10" spans="1:10" x14ac:dyDescent="0.25">
      <c r="A10" s="3">
        <v>8</v>
      </c>
      <c r="B10" s="24" t="s">
        <v>7</v>
      </c>
      <c r="C10" s="12">
        <v>7222581</v>
      </c>
      <c r="D10" s="12">
        <f t="shared" si="0"/>
        <v>4</v>
      </c>
      <c r="E10" s="3">
        <v>1</v>
      </c>
      <c r="F10" s="3"/>
      <c r="G10" s="3">
        <v>1</v>
      </c>
      <c r="H10" s="3">
        <v>1</v>
      </c>
      <c r="I10" s="3">
        <v>1</v>
      </c>
      <c r="J10" s="6" t="s">
        <v>51</v>
      </c>
    </row>
    <row r="11" spans="1:10" x14ac:dyDescent="0.25">
      <c r="A11" s="3">
        <v>9</v>
      </c>
      <c r="B11" s="24" t="s">
        <v>8</v>
      </c>
      <c r="C11" s="12">
        <v>7357774</v>
      </c>
      <c r="D11" s="12">
        <f t="shared" si="0"/>
        <v>5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6" t="s">
        <v>65</v>
      </c>
    </row>
    <row r="12" spans="1:10" x14ac:dyDescent="0.25">
      <c r="A12" s="3">
        <v>10</v>
      </c>
      <c r="B12" s="24" t="s">
        <v>9</v>
      </c>
      <c r="C12" s="12">
        <v>7342752</v>
      </c>
      <c r="D12" s="12">
        <f t="shared" si="0"/>
        <v>5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6" t="s">
        <v>46</v>
      </c>
    </row>
    <row r="13" spans="1:10" x14ac:dyDescent="0.25">
      <c r="A13" s="3">
        <v>11</v>
      </c>
      <c r="B13" s="24" t="s">
        <v>10</v>
      </c>
      <c r="C13" s="12">
        <v>8375944</v>
      </c>
      <c r="D13" s="12">
        <f t="shared" si="0"/>
        <v>5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6" t="s">
        <v>46</v>
      </c>
    </row>
    <row r="14" spans="1:10" x14ac:dyDescent="0.25">
      <c r="A14" s="3">
        <v>12</v>
      </c>
      <c r="B14" s="24" t="s">
        <v>11</v>
      </c>
      <c r="C14" s="12">
        <v>7552480</v>
      </c>
      <c r="D14" s="12">
        <f t="shared" si="0"/>
        <v>5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6" t="s">
        <v>65</v>
      </c>
    </row>
    <row r="15" spans="1:10" x14ac:dyDescent="0.25">
      <c r="A15" s="3">
        <v>13</v>
      </c>
      <c r="B15" s="3" t="s">
        <v>12</v>
      </c>
      <c r="C15" s="12">
        <v>7227419</v>
      </c>
      <c r="D15" s="12">
        <f t="shared" si="0"/>
        <v>5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6" t="s">
        <v>46</v>
      </c>
    </row>
    <row r="16" spans="1:10" x14ac:dyDescent="0.25">
      <c r="A16" s="3">
        <v>14</v>
      </c>
      <c r="B16" s="3" t="s">
        <v>13</v>
      </c>
      <c r="C16" s="12">
        <v>7202209</v>
      </c>
      <c r="D16" s="12">
        <f t="shared" si="0"/>
        <v>4</v>
      </c>
      <c r="E16" s="3">
        <v>1</v>
      </c>
      <c r="F16" s="3"/>
      <c r="G16" s="3">
        <v>1</v>
      </c>
      <c r="H16" s="3">
        <v>1</v>
      </c>
      <c r="I16" s="3">
        <v>1</v>
      </c>
      <c r="J16" s="6" t="s">
        <v>51</v>
      </c>
    </row>
    <row r="17" spans="1:10" x14ac:dyDescent="0.25">
      <c r="A17" s="3">
        <v>15</v>
      </c>
      <c r="B17" s="3" t="s">
        <v>14</v>
      </c>
      <c r="C17" s="12">
        <v>7265455</v>
      </c>
      <c r="D17" s="12">
        <f t="shared" si="0"/>
        <v>5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6" t="s">
        <v>65</v>
      </c>
    </row>
    <row r="18" spans="1:10" x14ac:dyDescent="0.25">
      <c r="A18" s="3">
        <v>16</v>
      </c>
      <c r="B18" s="3" t="s">
        <v>15</v>
      </c>
      <c r="C18" s="12">
        <v>7429371</v>
      </c>
      <c r="D18" s="12">
        <f t="shared" si="0"/>
        <v>5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6" t="s">
        <v>46</v>
      </c>
    </row>
    <row r="19" spans="1:10" x14ac:dyDescent="0.25">
      <c r="A19" s="3">
        <v>17</v>
      </c>
      <c r="B19" s="3" t="s">
        <v>16</v>
      </c>
      <c r="C19" s="12">
        <v>7444777</v>
      </c>
      <c r="D19" s="12">
        <f t="shared" si="0"/>
        <v>5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6" t="s">
        <v>46</v>
      </c>
    </row>
    <row r="20" spans="1:10" x14ac:dyDescent="0.25">
      <c r="A20" s="3">
        <v>18</v>
      </c>
      <c r="B20" s="3" t="s">
        <v>17</v>
      </c>
      <c r="C20" s="12">
        <v>7444631</v>
      </c>
      <c r="D20" s="12">
        <f t="shared" si="0"/>
        <v>5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6" t="s">
        <v>46</v>
      </c>
    </row>
    <row r="21" spans="1:10" x14ac:dyDescent="0.25">
      <c r="A21" s="3">
        <v>19</v>
      </c>
      <c r="B21" s="3" t="s">
        <v>18</v>
      </c>
      <c r="C21" s="12">
        <v>7514145</v>
      </c>
      <c r="D21" s="12">
        <f t="shared" si="0"/>
        <v>5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6" t="s">
        <v>46</v>
      </c>
    </row>
    <row r="22" spans="1:10" x14ac:dyDescent="0.25">
      <c r="A22" s="3">
        <v>20</v>
      </c>
      <c r="B22" s="3" t="s">
        <v>19</v>
      </c>
      <c r="C22" s="12">
        <v>7386167</v>
      </c>
      <c r="D22" s="12">
        <f t="shared" si="0"/>
        <v>5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6" t="s">
        <v>46</v>
      </c>
    </row>
    <row r="23" spans="1:10" x14ac:dyDescent="0.25">
      <c r="A23" s="3">
        <v>21</v>
      </c>
      <c r="B23" s="3" t="s">
        <v>20</v>
      </c>
      <c r="C23" s="12">
        <v>8036254</v>
      </c>
      <c r="D23" s="12">
        <f t="shared" si="0"/>
        <v>5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6" t="s">
        <v>46</v>
      </c>
    </row>
    <row r="24" spans="1:10" x14ac:dyDescent="0.25">
      <c r="A24" s="3">
        <v>22</v>
      </c>
      <c r="B24" s="3" t="s">
        <v>21</v>
      </c>
      <c r="C24" s="12">
        <v>7805242</v>
      </c>
      <c r="D24" s="12">
        <f t="shared" si="0"/>
        <v>5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6" t="s">
        <v>46</v>
      </c>
    </row>
    <row r="25" spans="1:10" x14ac:dyDescent="0.25">
      <c r="A25" s="3">
        <v>23</v>
      </c>
      <c r="B25" s="3" t="s">
        <v>22</v>
      </c>
      <c r="C25" s="12">
        <v>7167263</v>
      </c>
      <c r="D25" s="12">
        <f t="shared" si="0"/>
        <v>5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6" t="s">
        <v>46</v>
      </c>
    </row>
    <row r="26" spans="1:10" x14ac:dyDescent="0.25">
      <c r="A26" s="3">
        <v>24</v>
      </c>
      <c r="B26" s="3" t="s">
        <v>23</v>
      </c>
      <c r="C26" s="12">
        <v>7594625</v>
      </c>
      <c r="D26" s="12">
        <f t="shared" si="0"/>
        <v>5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6" t="s">
        <v>46</v>
      </c>
    </row>
    <row r="27" spans="1:10" x14ac:dyDescent="0.25">
      <c r="A27" s="3">
        <v>25</v>
      </c>
      <c r="B27" s="3" t="s">
        <v>24</v>
      </c>
      <c r="C27" s="12">
        <v>7240549</v>
      </c>
      <c r="D27" s="12">
        <f t="shared" si="0"/>
        <v>5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6" t="s">
        <v>46</v>
      </c>
    </row>
    <row r="28" spans="1:10" x14ac:dyDescent="0.25">
      <c r="A28" s="3">
        <v>26</v>
      </c>
      <c r="B28" s="3" t="s">
        <v>25</v>
      </c>
      <c r="C28" s="12">
        <v>7398696</v>
      </c>
      <c r="D28" s="12">
        <f t="shared" si="0"/>
        <v>5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6" t="s">
        <v>65</v>
      </c>
    </row>
    <row r="29" spans="1:10" x14ac:dyDescent="0.25">
      <c r="A29" s="3">
        <v>27</v>
      </c>
      <c r="B29" s="20" t="s">
        <v>26</v>
      </c>
      <c r="C29" s="12">
        <v>7533418</v>
      </c>
      <c r="D29" s="12">
        <f t="shared" si="0"/>
        <v>5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6" t="s">
        <v>65</v>
      </c>
    </row>
    <row r="30" spans="1:10" x14ac:dyDescent="0.25">
      <c r="A30" s="3">
        <v>28</v>
      </c>
      <c r="B30" s="20" t="s">
        <v>27</v>
      </c>
      <c r="C30" s="12">
        <v>7335885</v>
      </c>
      <c r="D30" s="12">
        <f t="shared" si="0"/>
        <v>5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6" t="s">
        <v>46</v>
      </c>
    </row>
    <row r="31" spans="1:10" x14ac:dyDescent="0.25">
      <c r="A31" s="3">
        <v>29</v>
      </c>
      <c r="B31" s="3" t="s">
        <v>28</v>
      </c>
      <c r="C31" s="12">
        <v>7504518</v>
      </c>
      <c r="D31" s="12">
        <f t="shared" si="0"/>
        <v>5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6" t="s">
        <v>46</v>
      </c>
    </row>
    <row r="32" spans="1:10" x14ac:dyDescent="0.25">
      <c r="A32" s="3">
        <v>30</v>
      </c>
      <c r="B32" s="3" t="s">
        <v>29</v>
      </c>
      <c r="C32" s="12">
        <v>7318166</v>
      </c>
      <c r="D32" s="12">
        <f t="shared" si="0"/>
        <v>5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6" t="s">
        <v>46</v>
      </c>
    </row>
    <row r="33" spans="1:10" x14ac:dyDescent="0.25">
      <c r="A33" s="3">
        <v>31</v>
      </c>
      <c r="B33" s="3" t="s">
        <v>30</v>
      </c>
      <c r="C33" s="12">
        <v>7384033</v>
      </c>
      <c r="D33" s="12">
        <f t="shared" si="0"/>
        <v>5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6" t="s">
        <v>46</v>
      </c>
    </row>
    <row r="34" spans="1:10" x14ac:dyDescent="0.25">
      <c r="A34" s="3">
        <v>32</v>
      </c>
      <c r="B34" s="3" t="s">
        <v>31</v>
      </c>
      <c r="C34" s="12">
        <v>7324122</v>
      </c>
      <c r="D34" s="12">
        <f t="shared" si="0"/>
        <v>5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6" t="s">
        <v>46</v>
      </c>
    </row>
    <row r="35" spans="1:10" x14ac:dyDescent="0.25">
      <c r="A35" s="3">
        <v>33</v>
      </c>
      <c r="B35" s="3" t="s">
        <v>32</v>
      </c>
      <c r="C35" s="12">
        <v>7342346</v>
      </c>
      <c r="D35" s="12">
        <f t="shared" si="0"/>
        <v>5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6" t="s">
        <v>46</v>
      </c>
    </row>
    <row r="36" spans="1:10" x14ac:dyDescent="0.25">
      <c r="A36" s="3">
        <v>34</v>
      </c>
      <c r="B36" s="3" t="s">
        <v>33</v>
      </c>
      <c r="C36" s="12">
        <v>7367983</v>
      </c>
      <c r="D36" s="12">
        <f t="shared" si="0"/>
        <v>5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6" t="s">
        <v>46</v>
      </c>
    </row>
    <row r="37" spans="1:10" x14ac:dyDescent="0.25">
      <c r="A37" s="3">
        <v>35</v>
      </c>
      <c r="B37" s="20" t="s">
        <v>34</v>
      </c>
      <c r="C37" s="12">
        <v>7272130</v>
      </c>
      <c r="D37" s="12">
        <f t="shared" si="0"/>
        <v>4</v>
      </c>
      <c r="E37" s="3">
        <v>1</v>
      </c>
      <c r="F37" s="3">
        <v>0</v>
      </c>
      <c r="G37" s="3">
        <v>1</v>
      </c>
      <c r="H37" s="3">
        <v>1</v>
      </c>
      <c r="I37" s="3">
        <v>1</v>
      </c>
      <c r="J37" s="6" t="s">
        <v>46</v>
      </c>
    </row>
    <row r="38" spans="1:10" x14ac:dyDescent="0.25">
      <c r="A38" s="3">
        <v>36</v>
      </c>
      <c r="B38" s="3" t="s">
        <v>35</v>
      </c>
      <c r="C38" s="12">
        <v>7443701</v>
      </c>
      <c r="D38" s="12">
        <f t="shared" si="0"/>
        <v>5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6" t="s">
        <v>46</v>
      </c>
    </row>
    <row r="39" spans="1:10" x14ac:dyDescent="0.25">
      <c r="A39" s="3">
        <v>37</v>
      </c>
      <c r="B39" s="3" t="s">
        <v>36</v>
      </c>
      <c r="C39" s="12">
        <v>7542562</v>
      </c>
      <c r="D39" s="12">
        <f t="shared" si="0"/>
        <v>5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6" t="s">
        <v>46</v>
      </c>
    </row>
    <row r="40" spans="1:10" x14ac:dyDescent="0.25">
      <c r="A40" s="3">
        <v>38</v>
      </c>
      <c r="B40" s="3" t="s">
        <v>37</v>
      </c>
      <c r="C40" s="12">
        <v>8000217</v>
      </c>
      <c r="D40" s="12">
        <f t="shared" si="0"/>
        <v>5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6" t="s">
        <v>46</v>
      </c>
    </row>
    <row r="41" spans="1:10" x14ac:dyDescent="0.25">
      <c r="A41" s="3">
        <v>39</v>
      </c>
      <c r="B41" s="3" t="s">
        <v>38</v>
      </c>
      <c r="C41" s="12">
        <v>7500428</v>
      </c>
      <c r="D41" s="12">
        <f t="shared" si="0"/>
        <v>5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6" t="s">
        <v>46</v>
      </c>
    </row>
    <row r="42" spans="1:10" x14ac:dyDescent="0.25">
      <c r="A42" s="3">
        <v>40</v>
      </c>
      <c r="B42" s="3" t="s">
        <v>39</v>
      </c>
      <c r="C42" s="12">
        <v>7377595</v>
      </c>
      <c r="D42" s="12">
        <f t="shared" si="0"/>
        <v>5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/>
    </row>
    <row r="43" spans="1:10" x14ac:dyDescent="0.25">
      <c r="B43" s="3" t="s">
        <v>80</v>
      </c>
      <c r="D43" s="12">
        <f t="shared" ref="D43" si="1">+SUM(E43:I43)</f>
        <v>3</v>
      </c>
      <c r="E43" s="3"/>
      <c r="F43" s="3"/>
      <c r="G43" s="3">
        <v>1</v>
      </c>
      <c r="H43" s="3">
        <v>1</v>
      </c>
      <c r="I43" s="3">
        <v>1</v>
      </c>
    </row>
  </sheetData>
  <conditionalFormatting sqref="J3:J41">
    <cfRule type="containsText" dxfId="1" priority="1" operator="containsText" text="F">
      <formula>NOT(ISERROR(SEARCH("F",J3)))</formula>
    </cfRule>
    <cfRule type="containsText" dxfId="0" priority="2" operator="containsText" text="A">
      <formula>NOT(ISERROR(SEARCH("A",J3)))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3B9B-B9AB-4037-ACC8-913D90616117}">
  <dimension ref="A1:R44"/>
  <sheetViews>
    <sheetView tabSelected="1" workbookViewId="0">
      <selection activeCell="D6" sqref="D6"/>
    </sheetView>
  </sheetViews>
  <sheetFormatPr baseColWidth="10" defaultRowHeight="15" x14ac:dyDescent="0.25"/>
  <cols>
    <col min="1" max="1" width="5.85546875" style="13" customWidth="1"/>
    <col min="2" max="2" width="5.28515625" style="41" bestFit="1" customWidth="1"/>
    <col min="3" max="3" width="3.7109375" bestFit="1" customWidth="1"/>
    <col min="4" max="4" width="40.42578125" bestFit="1" customWidth="1"/>
    <col min="5" max="5" width="10.5703125" style="13" bestFit="1" customWidth="1"/>
    <col min="6" max="6" width="7.140625" style="41" bestFit="1" customWidth="1"/>
    <col min="7" max="7" width="5.28515625" style="41" bestFit="1" customWidth="1"/>
    <col min="8" max="8" width="7.85546875" style="30" bestFit="1" customWidth="1"/>
    <col min="9" max="9" width="7.85546875" style="30" customWidth="1"/>
    <col min="10" max="10" width="7.85546875" style="30" bestFit="1" customWidth="1"/>
    <col min="11" max="11" width="9.85546875" style="30" bestFit="1" customWidth="1"/>
    <col min="12" max="13" width="11.42578125" style="30"/>
    <col min="14" max="14" width="11.42578125" style="41"/>
    <col min="15" max="15" width="11.5703125" style="41" customWidth="1"/>
    <col min="16" max="16" width="12.7109375" style="41" customWidth="1"/>
    <col min="17" max="17" width="11.5703125" style="41" customWidth="1"/>
    <col min="18" max="18" width="10.140625" style="41" customWidth="1"/>
  </cols>
  <sheetData>
    <row r="1" spans="1:18" x14ac:dyDescent="0.25">
      <c r="F1" s="41">
        <f>+SUM(H1:AH1)</f>
        <v>97</v>
      </c>
      <c r="H1" s="30">
        <v>7</v>
      </c>
      <c r="J1" s="30">
        <v>26</v>
      </c>
      <c r="K1" s="11">
        <v>1</v>
      </c>
      <c r="L1" s="11">
        <v>24</v>
      </c>
      <c r="M1" s="11">
        <v>5</v>
      </c>
      <c r="N1" s="58">
        <v>15</v>
      </c>
      <c r="O1" s="11">
        <v>6</v>
      </c>
      <c r="P1" s="11">
        <v>3</v>
      </c>
      <c r="Q1" s="11">
        <v>10</v>
      </c>
    </row>
    <row r="2" spans="1:18" ht="30" x14ac:dyDescent="0.25">
      <c r="B2" s="33" t="s">
        <v>651</v>
      </c>
      <c r="C2" s="32" t="s">
        <v>63</v>
      </c>
      <c r="D2" s="32"/>
      <c r="E2" s="32"/>
      <c r="F2" s="33" t="s">
        <v>71</v>
      </c>
      <c r="G2" s="33" t="s">
        <v>651</v>
      </c>
      <c r="H2" s="33" t="s">
        <v>656</v>
      </c>
      <c r="I2" s="70" t="s">
        <v>662</v>
      </c>
      <c r="J2" s="33" t="s">
        <v>73</v>
      </c>
      <c r="K2" s="33" t="s">
        <v>72</v>
      </c>
      <c r="L2" s="59" t="s">
        <v>658</v>
      </c>
      <c r="M2" s="60" t="s">
        <v>81</v>
      </c>
      <c r="N2" s="60" t="s">
        <v>82</v>
      </c>
      <c r="O2" s="34" t="s">
        <v>89</v>
      </c>
      <c r="P2" s="57" t="s">
        <v>654</v>
      </c>
      <c r="Q2" s="34" t="s">
        <v>657</v>
      </c>
      <c r="R2" s="68" t="s">
        <v>661</v>
      </c>
    </row>
    <row r="3" spans="1:18" x14ac:dyDescent="0.25">
      <c r="A3" s="13">
        <f>+G3-B3</f>
        <v>1</v>
      </c>
      <c r="B3" s="6">
        <v>3</v>
      </c>
      <c r="C3" s="3">
        <v>1</v>
      </c>
      <c r="D3" s="24" t="s">
        <v>0</v>
      </c>
      <c r="E3" s="12">
        <v>7344430</v>
      </c>
      <c r="F3" s="6">
        <f>+SUM(H3:Q3)</f>
        <v>85</v>
      </c>
      <c r="G3" s="6">
        <f>LOOKUP(F3,{0,58,68,78,88},{1,2,3,4,5})</f>
        <v>4</v>
      </c>
      <c r="H3" s="31">
        <f>+Asistencia!Z3</f>
        <v>7</v>
      </c>
      <c r="I3" s="31">
        <v>4</v>
      </c>
      <c r="J3" s="31">
        <v>10</v>
      </c>
      <c r="K3" s="31">
        <v>1</v>
      </c>
      <c r="L3" s="31">
        <v>24</v>
      </c>
      <c r="M3" s="31">
        <v>5</v>
      </c>
      <c r="N3" s="31">
        <v>15</v>
      </c>
      <c r="O3" s="6">
        <f>+'La persona'!D3</f>
        <v>6</v>
      </c>
      <c r="P3" s="6">
        <f>+'Indicadores Actitudinal'!D3</f>
        <v>3</v>
      </c>
      <c r="Q3" s="6">
        <v>10</v>
      </c>
      <c r="R3" s="41">
        <f>26-J3</f>
        <v>16</v>
      </c>
    </row>
    <row r="4" spans="1:18" x14ac:dyDescent="0.25">
      <c r="A4" s="13">
        <f t="shared" ref="A4:A43" si="0">+G4-B4</f>
        <v>0</v>
      </c>
      <c r="B4" s="6">
        <v>5</v>
      </c>
      <c r="C4" s="3">
        <v>2</v>
      </c>
      <c r="D4" s="24" t="s">
        <v>1</v>
      </c>
      <c r="E4" s="12">
        <v>7503128</v>
      </c>
      <c r="F4" s="6">
        <f t="shared" ref="F4:F43" si="1">+SUM(H4:Q4)</f>
        <v>97</v>
      </c>
      <c r="G4" s="6">
        <f>LOOKUP(F4,{0,58,68,78,88},{1,2,3,4,5})</f>
        <v>5</v>
      </c>
      <c r="H4" s="31">
        <f>+Asistencia!Z4</f>
        <v>7</v>
      </c>
      <c r="I4" s="31">
        <v>4</v>
      </c>
      <c r="J4" s="31">
        <v>22</v>
      </c>
      <c r="K4" s="31">
        <v>1</v>
      </c>
      <c r="L4" s="31">
        <v>24</v>
      </c>
      <c r="M4" s="31">
        <v>5</v>
      </c>
      <c r="N4" s="31">
        <v>15</v>
      </c>
      <c r="O4" s="6">
        <f>+'La persona'!D4</f>
        <v>6</v>
      </c>
      <c r="P4" s="6">
        <f>+'Indicadores Actitudinal'!D4</f>
        <v>3</v>
      </c>
      <c r="Q4" s="6">
        <v>10</v>
      </c>
      <c r="R4" s="41">
        <f t="shared" ref="R4:R43" si="2">26-J4</f>
        <v>4</v>
      </c>
    </row>
    <row r="5" spans="1:18" x14ac:dyDescent="0.25">
      <c r="A5" s="13">
        <f t="shared" si="0"/>
        <v>1</v>
      </c>
      <c r="B5" s="6">
        <v>4</v>
      </c>
      <c r="C5" s="3">
        <v>3</v>
      </c>
      <c r="D5" s="3" t="s">
        <v>2</v>
      </c>
      <c r="E5" s="12">
        <v>7343210</v>
      </c>
      <c r="F5" s="6">
        <f t="shared" si="1"/>
        <v>91</v>
      </c>
      <c r="G5" s="6">
        <f>LOOKUP(F5,{0,58,68,78,88},{1,2,3,4,5})</f>
        <v>5</v>
      </c>
      <c r="H5" s="31">
        <f>+Asistencia!Z5</f>
        <v>7</v>
      </c>
      <c r="I5" s="31">
        <v>4</v>
      </c>
      <c r="J5" s="31">
        <v>16</v>
      </c>
      <c r="K5" s="31">
        <v>1</v>
      </c>
      <c r="L5" s="31">
        <v>24</v>
      </c>
      <c r="M5" s="31">
        <v>5</v>
      </c>
      <c r="N5" s="31">
        <v>15</v>
      </c>
      <c r="O5" s="6">
        <f>+'La persona'!D5</f>
        <v>6</v>
      </c>
      <c r="P5" s="6">
        <f>+'Indicadores Actitudinal'!D5</f>
        <v>3</v>
      </c>
      <c r="Q5" s="6">
        <v>10</v>
      </c>
      <c r="R5" s="41">
        <f t="shared" si="2"/>
        <v>10</v>
      </c>
    </row>
    <row r="6" spans="1:18" x14ac:dyDescent="0.25">
      <c r="A6" s="13">
        <f t="shared" si="0"/>
        <v>0</v>
      </c>
      <c r="B6" s="6">
        <v>5</v>
      </c>
      <c r="C6" s="3">
        <v>4</v>
      </c>
      <c r="D6" s="3" t="s">
        <v>3</v>
      </c>
      <c r="E6" s="12">
        <v>7474276</v>
      </c>
      <c r="F6" s="6">
        <f t="shared" si="1"/>
        <v>95</v>
      </c>
      <c r="G6" s="6">
        <f>LOOKUP(F6,{0,58,68,78,88},{1,2,3,4,5})</f>
        <v>5</v>
      </c>
      <c r="H6" s="31">
        <f>+Asistencia!Z6</f>
        <v>7</v>
      </c>
      <c r="I6" s="31">
        <v>4</v>
      </c>
      <c r="J6" s="31">
        <v>20</v>
      </c>
      <c r="K6" s="31">
        <v>1</v>
      </c>
      <c r="L6" s="31">
        <v>24</v>
      </c>
      <c r="M6" s="31">
        <v>5</v>
      </c>
      <c r="N6" s="31">
        <v>15</v>
      </c>
      <c r="O6" s="6">
        <f>+'La persona'!D6</f>
        <v>6</v>
      </c>
      <c r="P6" s="6">
        <f>+'Indicadores Actitudinal'!D6</f>
        <v>3</v>
      </c>
      <c r="Q6" s="6">
        <v>10</v>
      </c>
      <c r="R6" s="41">
        <f t="shared" si="2"/>
        <v>6</v>
      </c>
    </row>
    <row r="7" spans="1:18" x14ac:dyDescent="0.25">
      <c r="A7" s="13">
        <f t="shared" si="0"/>
        <v>0</v>
      </c>
      <c r="B7" s="6">
        <v>5</v>
      </c>
      <c r="C7" s="3">
        <v>5</v>
      </c>
      <c r="D7" s="69" t="s">
        <v>4</v>
      </c>
      <c r="E7" s="12">
        <v>7958599</v>
      </c>
      <c r="F7" s="6">
        <f t="shared" si="1"/>
        <v>94</v>
      </c>
      <c r="G7" s="6">
        <f>LOOKUP(F7,{0,58,68,78,88},{1,2,3,4,5})</f>
        <v>5</v>
      </c>
      <c r="H7" s="31">
        <f>+Asistencia!Z7</f>
        <v>7</v>
      </c>
      <c r="I7" s="31">
        <v>4</v>
      </c>
      <c r="J7" s="31">
        <v>19</v>
      </c>
      <c r="K7" s="31">
        <v>1</v>
      </c>
      <c r="L7" s="31">
        <v>24</v>
      </c>
      <c r="M7" s="31">
        <v>5</v>
      </c>
      <c r="N7" s="31">
        <v>15</v>
      </c>
      <c r="O7" s="6">
        <f>+'La persona'!D7</f>
        <v>6</v>
      </c>
      <c r="P7" s="6">
        <f>+'Indicadores Actitudinal'!D7</f>
        <v>3</v>
      </c>
      <c r="Q7" s="6">
        <v>10</v>
      </c>
      <c r="R7" s="41">
        <f t="shared" si="2"/>
        <v>7</v>
      </c>
    </row>
    <row r="8" spans="1:18" x14ac:dyDescent="0.25">
      <c r="A8" s="13">
        <f t="shared" si="0"/>
        <v>0</v>
      </c>
      <c r="B8" s="6">
        <v>5</v>
      </c>
      <c r="C8" s="3">
        <v>6</v>
      </c>
      <c r="D8" s="3" t="s">
        <v>5</v>
      </c>
      <c r="E8" s="12">
        <v>8101499</v>
      </c>
      <c r="F8" s="6">
        <f t="shared" si="1"/>
        <v>94</v>
      </c>
      <c r="G8" s="6">
        <f>LOOKUP(F8,{0,58,68,78,88},{1,2,3,4,5})</f>
        <v>5</v>
      </c>
      <c r="H8" s="31">
        <f>+Asistencia!Z8</f>
        <v>7</v>
      </c>
      <c r="I8" s="31">
        <v>4</v>
      </c>
      <c r="J8" s="31">
        <v>19</v>
      </c>
      <c r="K8" s="31">
        <v>1</v>
      </c>
      <c r="L8" s="31">
        <v>24</v>
      </c>
      <c r="M8" s="31">
        <v>5</v>
      </c>
      <c r="N8" s="31">
        <v>15</v>
      </c>
      <c r="O8" s="6">
        <f>+'La persona'!D8</f>
        <v>6</v>
      </c>
      <c r="P8" s="6">
        <f>+'Indicadores Actitudinal'!D8</f>
        <v>3</v>
      </c>
      <c r="Q8" s="6">
        <v>10</v>
      </c>
      <c r="R8" s="41">
        <f t="shared" si="2"/>
        <v>7</v>
      </c>
    </row>
    <row r="9" spans="1:18" x14ac:dyDescent="0.25">
      <c r="A9" s="13">
        <f t="shared" si="0"/>
        <v>1</v>
      </c>
      <c r="B9" s="6">
        <v>4</v>
      </c>
      <c r="C9" s="3">
        <v>7</v>
      </c>
      <c r="D9" s="3" t="s">
        <v>6</v>
      </c>
      <c r="E9" s="12">
        <v>7651970</v>
      </c>
      <c r="F9" s="6">
        <f t="shared" si="1"/>
        <v>90</v>
      </c>
      <c r="G9" s="6">
        <f>LOOKUP(F9,{0,58,68,78,88},{1,2,3,4,5})</f>
        <v>5</v>
      </c>
      <c r="H9" s="31">
        <f>+Asistencia!Z9</f>
        <v>6</v>
      </c>
      <c r="I9" s="31">
        <v>4</v>
      </c>
      <c r="J9" s="31">
        <v>16</v>
      </c>
      <c r="K9" s="31">
        <v>1</v>
      </c>
      <c r="L9" s="31">
        <v>24</v>
      </c>
      <c r="M9" s="31">
        <v>5</v>
      </c>
      <c r="N9" s="31">
        <v>15</v>
      </c>
      <c r="O9" s="6">
        <f>+'La persona'!D9</f>
        <v>6</v>
      </c>
      <c r="P9" s="6">
        <f>+'Indicadores Actitudinal'!D9</f>
        <v>3</v>
      </c>
      <c r="Q9" s="6">
        <v>10</v>
      </c>
      <c r="R9" s="41">
        <f t="shared" si="2"/>
        <v>10</v>
      </c>
    </row>
    <row r="10" spans="1:18" x14ac:dyDescent="0.25">
      <c r="A10" s="13">
        <f t="shared" si="0"/>
        <v>0</v>
      </c>
      <c r="B10" s="6">
        <v>5</v>
      </c>
      <c r="C10" s="3">
        <v>8</v>
      </c>
      <c r="D10" s="3" t="s">
        <v>7</v>
      </c>
      <c r="E10" s="12">
        <v>7222581</v>
      </c>
      <c r="F10" s="6">
        <f t="shared" si="1"/>
        <v>94</v>
      </c>
      <c r="G10" s="6">
        <f>LOOKUP(F10,{0,58,68,78,88},{1,2,3,4,5})</f>
        <v>5</v>
      </c>
      <c r="H10" s="31">
        <f>+Asistencia!Z10</f>
        <v>7</v>
      </c>
      <c r="I10" s="31">
        <v>4</v>
      </c>
      <c r="J10" s="31">
        <v>19</v>
      </c>
      <c r="K10" s="31">
        <v>1</v>
      </c>
      <c r="L10" s="31">
        <v>24</v>
      </c>
      <c r="M10" s="31">
        <v>5</v>
      </c>
      <c r="N10" s="31">
        <v>15</v>
      </c>
      <c r="O10" s="6">
        <f>+'La persona'!D10</f>
        <v>6</v>
      </c>
      <c r="P10" s="6">
        <f>+'Indicadores Actitudinal'!D10</f>
        <v>3</v>
      </c>
      <c r="Q10" s="6">
        <v>10</v>
      </c>
      <c r="R10" s="41">
        <f t="shared" si="2"/>
        <v>7</v>
      </c>
    </row>
    <row r="11" spans="1:18" x14ac:dyDescent="0.25">
      <c r="A11" s="13">
        <f t="shared" si="0"/>
        <v>0</v>
      </c>
      <c r="B11" s="6">
        <v>5</v>
      </c>
      <c r="C11" s="3">
        <v>9</v>
      </c>
      <c r="D11" s="3" t="s">
        <v>8</v>
      </c>
      <c r="E11" s="12">
        <v>7357774</v>
      </c>
      <c r="F11" s="6">
        <f t="shared" si="1"/>
        <v>96</v>
      </c>
      <c r="G11" s="6">
        <f>LOOKUP(F11,{0,58,68,78,88},{1,2,3,4,5})</f>
        <v>5</v>
      </c>
      <c r="H11" s="31">
        <f>+Asistencia!Z11</f>
        <v>7</v>
      </c>
      <c r="I11" s="31">
        <v>4</v>
      </c>
      <c r="J11" s="31">
        <v>21</v>
      </c>
      <c r="K11" s="31">
        <v>1</v>
      </c>
      <c r="L11" s="31">
        <v>24</v>
      </c>
      <c r="M11" s="31">
        <v>5</v>
      </c>
      <c r="N11" s="31">
        <v>15</v>
      </c>
      <c r="O11" s="6">
        <f>+'La persona'!D11</f>
        <v>6</v>
      </c>
      <c r="P11" s="6">
        <f>+'Indicadores Actitudinal'!D11</f>
        <v>3</v>
      </c>
      <c r="Q11" s="6">
        <v>10</v>
      </c>
      <c r="R11" s="41">
        <f t="shared" si="2"/>
        <v>5</v>
      </c>
    </row>
    <row r="12" spans="1:18" x14ac:dyDescent="0.25">
      <c r="A12" s="13">
        <f t="shared" si="0"/>
        <v>0</v>
      </c>
      <c r="B12" s="6">
        <v>5</v>
      </c>
      <c r="C12" s="3">
        <v>10</v>
      </c>
      <c r="D12" s="3" t="s">
        <v>9</v>
      </c>
      <c r="E12" s="12">
        <v>7342752</v>
      </c>
      <c r="F12" s="6">
        <f t="shared" si="1"/>
        <v>97</v>
      </c>
      <c r="G12" s="6">
        <f>LOOKUP(F12,{0,58,68,78,88},{1,2,3,4,5})</f>
        <v>5</v>
      </c>
      <c r="H12" s="31">
        <f>+Asistencia!Z12</f>
        <v>6</v>
      </c>
      <c r="I12" s="31">
        <v>4</v>
      </c>
      <c r="J12" s="31">
        <v>23</v>
      </c>
      <c r="K12" s="31">
        <v>1</v>
      </c>
      <c r="L12" s="31">
        <v>24</v>
      </c>
      <c r="M12" s="31">
        <v>5</v>
      </c>
      <c r="N12" s="31">
        <v>15</v>
      </c>
      <c r="O12" s="6">
        <f>+'La persona'!D12</f>
        <v>6</v>
      </c>
      <c r="P12" s="6">
        <f>+'Indicadores Actitudinal'!D12</f>
        <v>3</v>
      </c>
      <c r="Q12" s="6">
        <v>10</v>
      </c>
      <c r="R12" s="41">
        <f t="shared" si="2"/>
        <v>3</v>
      </c>
    </row>
    <row r="13" spans="1:18" x14ac:dyDescent="0.25">
      <c r="A13" s="13">
        <f t="shared" si="0"/>
        <v>1</v>
      </c>
      <c r="B13" s="6">
        <v>3</v>
      </c>
      <c r="C13" s="3">
        <v>11</v>
      </c>
      <c r="D13" s="3" t="s">
        <v>10</v>
      </c>
      <c r="E13" s="12">
        <v>8375944</v>
      </c>
      <c r="F13" s="6">
        <f t="shared" si="1"/>
        <v>84</v>
      </c>
      <c r="G13" s="6">
        <f>LOOKUP(F13,{0,58,68,78,88},{1,2,3,4,5})</f>
        <v>4</v>
      </c>
      <c r="H13" s="31">
        <f>+Asistencia!Z13</f>
        <v>7</v>
      </c>
      <c r="I13" s="31">
        <v>4</v>
      </c>
      <c r="J13" s="31">
        <v>9</v>
      </c>
      <c r="K13" s="31">
        <v>1</v>
      </c>
      <c r="L13" s="31">
        <v>24</v>
      </c>
      <c r="M13" s="31">
        <v>5</v>
      </c>
      <c r="N13" s="31">
        <v>15</v>
      </c>
      <c r="O13" s="6">
        <f>+'La persona'!D13</f>
        <v>6</v>
      </c>
      <c r="P13" s="6">
        <f>+'Indicadores Actitudinal'!D13</f>
        <v>3</v>
      </c>
      <c r="Q13" s="6">
        <v>10</v>
      </c>
      <c r="R13" s="41">
        <f t="shared" si="2"/>
        <v>17</v>
      </c>
    </row>
    <row r="14" spans="1:18" x14ac:dyDescent="0.25">
      <c r="A14" s="13">
        <f t="shared" si="0"/>
        <v>0</v>
      </c>
      <c r="B14" s="6">
        <v>5</v>
      </c>
      <c r="C14" s="3">
        <v>12</v>
      </c>
      <c r="D14" s="3" t="s">
        <v>11</v>
      </c>
      <c r="E14" s="12">
        <v>7552480</v>
      </c>
      <c r="F14" s="6">
        <f t="shared" si="1"/>
        <v>97</v>
      </c>
      <c r="G14" s="6">
        <f>LOOKUP(F14,{0,58,68,78,88},{1,2,3,4,5})</f>
        <v>5</v>
      </c>
      <c r="H14" s="31">
        <f>+Asistencia!Z14</f>
        <v>7</v>
      </c>
      <c r="I14" s="31">
        <v>4</v>
      </c>
      <c r="J14" s="31">
        <v>22</v>
      </c>
      <c r="K14" s="31">
        <v>1</v>
      </c>
      <c r="L14" s="31">
        <v>24</v>
      </c>
      <c r="M14" s="31">
        <v>5</v>
      </c>
      <c r="N14" s="31">
        <v>15</v>
      </c>
      <c r="O14" s="6">
        <f>+'La persona'!D14</f>
        <v>6</v>
      </c>
      <c r="P14" s="6">
        <f>+'Indicadores Actitudinal'!D14</f>
        <v>3</v>
      </c>
      <c r="Q14" s="6">
        <v>10</v>
      </c>
      <c r="R14" s="41">
        <f t="shared" si="2"/>
        <v>4</v>
      </c>
    </row>
    <row r="15" spans="1:18" x14ac:dyDescent="0.25">
      <c r="A15" s="13">
        <f t="shared" si="0"/>
        <v>1</v>
      </c>
      <c r="B15" s="6">
        <v>4</v>
      </c>
      <c r="C15" s="3">
        <v>13</v>
      </c>
      <c r="D15" s="3" t="s">
        <v>12</v>
      </c>
      <c r="E15" s="12">
        <v>7227419</v>
      </c>
      <c r="F15" s="6">
        <f t="shared" si="1"/>
        <v>90</v>
      </c>
      <c r="G15" s="6">
        <f>LOOKUP(F15,{0,58,68,78,88},{1,2,3,4,5})</f>
        <v>5</v>
      </c>
      <c r="H15" s="31">
        <f>+Asistencia!Z15</f>
        <v>6</v>
      </c>
      <c r="I15" s="31">
        <v>4</v>
      </c>
      <c r="J15" s="31">
        <v>18</v>
      </c>
      <c r="K15" s="31">
        <v>1</v>
      </c>
      <c r="L15" s="31">
        <v>24</v>
      </c>
      <c r="M15" s="31">
        <v>5</v>
      </c>
      <c r="N15" s="31">
        <v>15</v>
      </c>
      <c r="O15" s="6">
        <f>+'La persona'!D15</f>
        <v>5</v>
      </c>
      <c r="P15" s="6">
        <f>+'Indicadores Actitudinal'!D15</f>
        <v>2</v>
      </c>
      <c r="Q15" s="6">
        <v>10</v>
      </c>
      <c r="R15" s="41">
        <f t="shared" si="2"/>
        <v>8</v>
      </c>
    </row>
    <row r="16" spans="1:18" x14ac:dyDescent="0.25">
      <c r="A16" s="13">
        <f t="shared" si="0"/>
        <v>0</v>
      </c>
      <c r="B16" s="6">
        <v>4</v>
      </c>
      <c r="C16" s="3">
        <v>14</v>
      </c>
      <c r="D16" s="3" t="s">
        <v>13</v>
      </c>
      <c r="E16" s="12">
        <v>7202209</v>
      </c>
      <c r="F16" s="6">
        <f t="shared" si="1"/>
        <v>86</v>
      </c>
      <c r="G16" s="6">
        <f>LOOKUP(F16,{0,58,68,78,88},{1,2,3,4,5})</f>
        <v>4</v>
      </c>
      <c r="H16" s="31">
        <f>+Asistencia!Z16</f>
        <v>4</v>
      </c>
      <c r="I16" s="31">
        <v>4</v>
      </c>
      <c r="J16" s="31">
        <v>14</v>
      </c>
      <c r="K16" s="31">
        <v>1</v>
      </c>
      <c r="L16" s="31">
        <v>24</v>
      </c>
      <c r="M16" s="31">
        <v>5</v>
      </c>
      <c r="N16" s="31">
        <v>15</v>
      </c>
      <c r="O16" s="6">
        <f>+'La persona'!D16</f>
        <v>6</v>
      </c>
      <c r="P16" s="6">
        <f>+'Indicadores Actitudinal'!D16</f>
        <v>3</v>
      </c>
      <c r="Q16" s="6">
        <v>10</v>
      </c>
      <c r="R16" s="41">
        <f t="shared" si="2"/>
        <v>12</v>
      </c>
    </row>
    <row r="17" spans="1:18" x14ac:dyDescent="0.25">
      <c r="A17" s="13">
        <f t="shared" si="0"/>
        <v>0</v>
      </c>
      <c r="B17" s="6">
        <v>5</v>
      </c>
      <c r="C17" s="3">
        <v>15</v>
      </c>
      <c r="D17" s="3" t="s">
        <v>14</v>
      </c>
      <c r="E17" s="12">
        <v>7265455</v>
      </c>
      <c r="F17" s="6">
        <f t="shared" si="1"/>
        <v>93</v>
      </c>
      <c r="G17" s="6">
        <f>LOOKUP(F17,{0,58,68,78,88},{1,2,3,4,5})</f>
        <v>5</v>
      </c>
      <c r="H17" s="31">
        <f>+Asistencia!Z17</f>
        <v>7</v>
      </c>
      <c r="I17" s="31">
        <v>4</v>
      </c>
      <c r="J17" s="31">
        <v>18</v>
      </c>
      <c r="K17" s="31">
        <v>1</v>
      </c>
      <c r="L17" s="31">
        <v>24</v>
      </c>
      <c r="M17" s="31">
        <v>5</v>
      </c>
      <c r="N17" s="31">
        <v>15</v>
      </c>
      <c r="O17" s="6">
        <f>+'La persona'!D17</f>
        <v>6</v>
      </c>
      <c r="P17" s="6">
        <f>+'Indicadores Actitudinal'!D17</f>
        <v>3</v>
      </c>
      <c r="Q17" s="6">
        <v>10</v>
      </c>
      <c r="R17" s="41">
        <f t="shared" si="2"/>
        <v>8</v>
      </c>
    </row>
    <row r="18" spans="1:18" x14ac:dyDescent="0.25">
      <c r="A18" s="13">
        <f t="shared" si="0"/>
        <v>0</v>
      </c>
      <c r="B18" s="6">
        <v>5</v>
      </c>
      <c r="C18" s="3">
        <v>16</v>
      </c>
      <c r="D18" s="3" t="s">
        <v>15</v>
      </c>
      <c r="E18" s="12">
        <v>7429371</v>
      </c>
      <c r="F18" s="6">
        <f t="shared" si="1"/>
        <v>100</v>
      </c>
      <c r="G18" s="6">
        <f>LOOKUP(F18,{0,58,68,78,88},{1,2,3,4,5})</f>
        <v>5</v>
      </c>
      <c r="H18" s="31">
        <f>+Asistencia!Z18</f>
        <v>7</v>
      </c>
      <c r="I18" s="31">
        <v>4</v>
      </c>
      <c r="J18" s="31">
        <v>25</v>
      </c>
      <c r="K18" s="31">
        <v>1</v>
      </c>
      <c r="L18" s="31">
        <v>24</v>
      </c>
      <c r="M18" s="31">
        <v>5</v>
      </c>
      <c r="N18" s="31">
        <v>15</v>
      </c>
      <c r="O18" s="6">
        <f>+'La persona'!D18</f>
        <v>6</v>
      </c>
      <c r="P18" s="6">
        <f>+'Indicadores Actitudinal'!D18</f>
        <v>3</v>
      </c>
      <c r="Q18" s="6">
        <v>10</v>
      </c>
      <c r="R18" s="41">
        <f t="shared" si="2"/>
        <v>1</v>
      </c>
    </row>
    <row r="19" spans="1:18" x14ac:dyDescent="0.25">
      <c r="A19" s="13">
        <f t="shared" si="0"/>
        <v>0</v>
      </c>
      <c r="B19" s="6">
        <v>5</v>
      </c>
      <c r="C19" s="3">
        <v>17</v>
      </c>
      <c r="D19" s="3" t="s">
        <v>16</v>
      </c>
      <c r="E19" s="12">
        <v>7444777</v>
      </c>
      <c r="F19" s="6">
        <f t="shared" si="1"/>
        <v>92</v>
      </c>
      <c r="G19" s="6">
        <f>LOOKUP(F19,{0,58,68,78,88},{1,2,3,4,5})</f>
        <v>5</v>
      </c>
      <c r="H19" s="31">
        <f>+Asistencia!Z19</f>
        <v>7</v>
      </c>
      <c r="I19" s="31">
        <v>4</v>
      </c>
      <c r="J19" s="31">
        <v>17</v>
      </c>
      <c r="K19" s="31">
        <v>1</v>
      </c>
      <c r="L19" s="31">
        <v>24</v>
      </c>
      <c r="M19" s="31">
        <v>5</v>
      </c>
      <c r="N19" s="31">
        <v>15</v>
      </c>
      <c r="O19" s="6">
        <f>+'La persona'!D19</f>
        <v>6</v>
      </c>
      <c r="P19" s="6">
        <f>+'Indicadores Actitudinal'!D19</f>
        <v>3</v>
      </c>
      <c r="Q19" s="6">
        <v>10</v>
      </c>
      <c r="R19" s="41">
        <f t="shared" si="2"/>
        <v>9</v>
      </c>
    </row>
    <row r="20" spans="1:18" x14ac:dyDescent="0.25">
      <c r="A20" s="13">
        <f t="shared" si="0"/>
        <v>1</v>
      </c>
      <c r="B20" s="6">
        <v>3</v>
      </c>
      <c r="C20" s="3">
        <v>18</v>
      </c>
      <c r="D20" s="3" t="s">
        <v>17</v>
      </c>
      <c r="E20" s="12">
        <v>7444631</v>
      </c>
      <c r="F20" s="6">
        <f t="shared" si="1"/>
        <v>82</v>
      </c>
      <c r="G20" s="6">
        <f>LOOKUP(F20,{0,58,68,78,88},{1,2,3,4,5})</f>
        <v>4</v>
      </c>
      <c r="H20" s="31">
        <f>+Asistencia!Z20</f>
        <v>5</v>
      </c>
      <c r="I20" s="31">
        <v>4</v>
      </c>
      <c r="J20" s="31">
        <v>11</v>
      </c>
      <c r="K20" s="31">
        <v>1</v>
      </c>
      <c r="L20" s="31">
        <v>24</v>
      </c>
      <c r="M20" s="31">
        <v>5</v>
      </c>
      <c r="N20" s="31">
        <v>15</v>
      </c>
      <c r="O20" s="6">
        <f>+'La persona'!D20</f>
        <v>5</v>
      </c>
      <c r="P20" s="6">
        <f>+'Indicadores Actitudinal'!D20</f>
        <v>2</v>
      </c>
      <c r="Q20" s="6">
        <v>10</v>
      </c>
      <c r="R20" s="41">
        <f t="shared" si="2"/>
        <v>15</v>
      </c>
    </row>
    <row r="21" spans="1:18" x14ac:dyDescent="0.25">
      <c r="A21" s="13">
        <f t="shared" si="0"/>
        <v>0</v>
      </c>
      <c r="B21" s="6">
        <v>5</v>
      </c>
      <c r="C21" s="3">
        <v>19</v>
      </c>
      <c r="D21" s="3" t="s">
        <v>18</v>
      </c>
      <c r="E21" s="12">
        <v>7514145</v>
      </c>
      <c r="F21" s="6">
        <f t="shared" si="1"/>
        <v>92</v>
      </c>
      <c r="G21" s="6">
        <f>LOOKUP(F21,{0,58,68,78,88},{1,2,3,4,5})</f>
        <v>5</v>
      </c>
      <c r="H21" s="31">
        <f>+Asistencia!Z21</f>
        <v>7</v>
      </c>
      <c r="I21" s="31">
        <v>4</v>
      </c>
      <c r="J21" s="31">
        <v>17</v>
      </c>
      <c r="K21" s="31">
        <v>1</v>
      </c>
      <c r="L21" s="31">
        <v>24</v>
      </c>
      <c r="M21" s="31">
        <v>5</v>
      </c>
      <c r="N21" s="31">
        <v>15</v>
      </c>
      <c r="O21" s="6">
        <f>+'La persona'!D21</f>
        <v>6</v>
      </c>
      <c r="P21" s="6">
        <f>+'Indicadores Actitudinal'!D21</f>
        <v>3</v>
      </c>
      <c r="Q21" s="6">
        <v>10</v>
      </c>
      <c r="R21" s="41">
        <f t="shared" si="2"/>
        <v>9</v>
      </c>
    </row>
    <row r="22" spans="1:18" x14ac:dyDescent="0.25">
      <c r="A22" s="13">
        <f t="shared" si="0"/>
        <v>0</v>
      </c>
      <c r="B22" s="6">
        <v>5</v>
      </c>
      <c r="C22" s="3">
        <v>20</v>
      </c>
      <c r="D22" s="3" t="s">
        <v>19</v>
      </c>
      <c r="E22" s="12">
        <v>7386167</v>
      </c>
      <c r="F22" s="6">
        <f t="shared" si="1"/>
        <v>96</v>
      </c>
      <c r="G22" s="6">
        <f>LOOKUP(F22,{0,58,68,78,88},{1,2,3,4,5})</f>
        <v>5</v>
      </c>
      <c r="H22" s="31">
        <f>+Asistencia!Z22</f>
        <v>5</v>
      </c>
      <c r="I22" s="31">
        <v>4</v>
      </c>
      <c r="J22" s="31">
        <v>23</v>
      </c>
      <c r="K22" s="31">
        <v>1</v>
      </c>
      <c r="L22" s="31">
        <v>24</v>
      </c>
      <c r="M22" s="31">
        <v>5</v>
      </c>
      <c r="N22" s="31">
        <v>15</v>
      </c>
      <c r="O22" s="6">
        <f>+'La persona'!D22</f>
        <v>6</v>
      </c>
      <c r="P22" s="6">
        <f>+'Indicadores Actitudinal'!D22</f>
        <v>3</v>
      </c>
      <c r="Q22" s="6">
        <v>10</v>
      </c>
      <c r="R22" s="41">
        <f t="shared" si="2"/>
        <v>3</v>
      </c>
    </row>
    <row r="23" spans="1:18" x14ac:dyDescent="0.25">
      <c r="A23" s="13">
        <f t="shared" si="0"/>
        <v>1</v>
      </c>
      <c r="B23" s="6">
        <v>4</v>
      </c>
      <c r="C23" s="3">
        <v>21</v>
      </c>
      <c r="D23" s="3" t="s">
        <v>20</v>
      </c>
      <c r="E23" s="12">
        <v>8036254</v>
      </c>
      <c r="F23" s="6">
        <f t="shared" si="1"/>
        <v>89</v>
      </c>
      <c r="G23" s="6">
        <f>LOOKUP(F23,{0,58,68,78,88},{1,2,3,4,5})</f>
        <v>5</v>
      </c>
      <c r="H23" s="31">
        <f>+Asistencia!Z23</f>
        <v>6</v>
      </c>
      <c r="I23" s="31">
        <v>4</v>
      </c>
      <c r="J23" s="31">
        <v>17</v>
      </c>
      <c r="K23" s="31">
        <v>1</v>
      </c>
      <c r="L23" s="31">
        <v>24</v>
      </c>
      <c r="M23" s="31">
        <v>5</v>
      </c>
      <c r="N23" s="31">
        <v>15</v>
      </c>
      <c r="O23" s="6">
        <f>+'La persona'!D23</f>
        <v>5</v>
      </c>
      <c r="P23" s="6">
        <f>+'Indicadores Actitudinal'!D23</f>
        <v>2</v>
      </c>
      <c r="Q23" s="6">
        <v>10</v>
      </c>
      <c r="R23" s="41">
        <f t="shared" si="2"/>
        <v>9</v>
      </c>
    </row>
    <row r="24" spans="1:18" x14ac:dyDescent="0.25">
      <c r="A24" s="13">
        <f t="shared" si="0"/>
        <v>0</v>
      </c>
      <c r="B24" s="6">
        <v>5</v>
      </c>
      <c r="C24" s="3">
        <v>22</v>
      </c>
      <c r="D24" s="3" t="s">
        <v>21</v>
      </c>
      <c r="E24" s="12">
        <v>7805242</v>
      </c>
      <c r="F24" s="6">
        <f t="shared" si="1"/>
        <v>92</v>
      </c>
      <c r="G24" s="6">
        <f>LOOKUP(F24,{0,58,68,78,88},{1,2,3,4,5})</f>
        <v>5</v>
      </c>
      <c r="H24" s="31">
        <f>+Asistencia!Z24</f>
        <v>5</v>
      </c>
      <c r="I24" s="31">
        <v>4</v>
      </c>
      <c r="J24" s="31">
        <v>19</v>
      </c>
      <c r="K24" s="31">
        <v>1</v>
      </c>
      <c r="L24" s="31">
        <v>24</v>
      </c>
      <c r="M24" s="31">
        <v>5</v>
      </c>
      <c r="N24" s="31">
        <v>15</v>
      </c>
      <c r="O24" s="6">
        <f>+'La persona'!D24</f>
        <v>6</v>
      </c>
      <c r="P24" s="6">
        <f>+'Indicadores Actitudinal'!D24</f>
        <v>3</v>
      </c>
      <c r="Q24" s="6">
        <v>10</v>
      </c>
      <c r="R24" s="41">
        <f t="shared" si="2"/>
        <v>7</v>
      </c>
    </row>
    <row r="25" spans="1:18" x14ac:dyDescent="0.25">
      <c r="A25" s="13">
        <f t="shared" si="0"/>
        <v>0</v>
      </c>
      <c r="B25" s="6">
        <v>5</v>
      </c>
      <c r="C25" s="3">
        <v>23</v>
      </c>
      <c r="D25" s="3" t="s">
        <v>22</v>
      </c>
      <c r="E25" s="12">
        <v>7167263</v>
      </c>
      <c r="F25" s="6">
        <f t="shared" si="1"/>
        <v>95</v>
      </c>
      <c r="G25" s="6">
        <f>LOOKUP(F25,{0,58,68,78,88},{1,2,3,4,5})</f>
        <v>5</v>
      </c>
      <c r="H25" s="31">
        <f>+Asistencia!Z25</f>
        <v>7</v>
      </c>
      <c r="I25" s="31">
        <v>4</v>
      </c>
      <c r="J25" s="31">
        <v>20</v>
      </c>
      <c r="K25" s="31">
        <v>1</v>
      </c>
      <c r="L25" s="31">
        <v>24</v>
      </c>
      <c r="M25" s="31">
        <v>5</v>
      </c>
      <c r="N25" s="31">
        <v>15</v>
      </c>
      <c r="O25" s="6">
        <f>+'La persona'!D25</f>
        <v>6</v>
      </c>
      <c r="P25" s="6">
        <f>+'Indicadores Actitudinal'!D25</f>
        <v>3</v>
      </c>
      <c r="Q25" s="6">
        <v>10</v>
      </c>
      <c r="R25" s="41">
        <f t="shared" si="2"/>
        <v>6</v>
      </c>
    </row>
    <row r="26" spans="1:18" x14ac:dyDescent="0.25">
      <c r="A26" s="13">
        <f t="shared" si="0"/>
        <v>0</v>
      </c>
      <c r="B26" s="6">
        <v>5</v>
      </c>
      <c r="C26" s="3">
        <v>24</v>
      </c>
      <c r="D26" s="3" t="s">
        <v>23</v>
      </c>
      <c r="E26" s="12">
        <v>7594625</v>
      </c>
      <c r="F26" s="6">
        <f t="shared" si="1"/>
        <v>93</v>
      </c>
      <c r="G26" s="6">
        <f>LOOKUP(F26,{0,58,68,78,88},{1,2,3,4,5})</f>
        <v>5</v>
      </c>
      <c r="H26" s="31">
        <f>+Asistencia!Z26</f>
        <v>7</v>
      </c>
      <c r="I26" s="31">
        <v>4</v>
      </c>
      <c r="J26" s="31">
        <v>18</v>
      </c>
      <c r="K26" s="31">
        <v>1</v>
      </c>
      <c r="L26" s="31">
        <v>24</v>
      </c>
      <c r="M26" s="31">
        <v>5</v>
      </c>
      <c r="N26" s="31">
        <v>15</v>
      </c>
      <c r="O26" s="6">
        <f>+'La persona'!D26</f>
        <v>6</v>
      </c>
      <c r="P26" s="6">
        <f>+'Indicadores Actitudinal'!D26</f>
        <v>3</v>
      </c>
      <c r="Q26" s="6">
        <v>10</v>
      </c>
      <c r="R26" s="41">
        <f t="shared" si="2"/>
        <v>8</v>
      </c>
    </row>
    <row r="27" spans="1:18" x14ac:dyDescent="0.25">
      <c r="A27" s="13">
        <f t="shared" si="0"/>
        <v>1</v>
      </c>
      <c r="B27" s="6">
        <v>4</v>
      </c>
      <c r="C27" s="3">
        <v>25</v>
      </c>
      <c r="D27" s="3" t="s">
        <v>24</v>
      </c>
      <c r="E27" s="12">
        <v>7240549</v>
      </c>
      <c r="F27" s="6">
        <f t="shared" si="1"/>
        <v>88</v>
      </c>
      <c r="G27" s="6">
        <f>LOOKUP(F27,{0,58,68,78,88},{1,2,3,4,5})</f>
        <v>5</v>
      </c>
      <c r="H27" s="31">
        <f>+Asistencia!Z27</f>
        <v>6</v>
      </c>
      <c r="I27" s="31">
        <v>4</v>
      </c>
      <c r="J27" s="31">
        <v>14</v>
      </c>
      <c r="K27" s="31">
        <v>1</v>
      </c>
      <c r="L27" s="31">
        <v>24</v>
      </c>
      <c r="M27" s="31">
        <v>5</v>
      </c>
      <c r="N27" s="31">
        <v>15</v>
      </c>
      <c r="O27" s="6">
        <f>+'La persona'!D27</f>
        <v>6</v>
      </c>
      <c r="P27" s="6">
        <f>+'Indicadores Actitudinal'!D27</f>
        <v>3</v>
      </c>
      <c r="Q27" s="6">
        <v>10</v>
      </c>
      <c r="R27" s="41">
        <f t="shared" si="2"/>
        <v>12</v>
      </c>
    </row>
    <row r="28" spans="1:18" x14ac:dyDescent="0.25">
      <c r="A28" s="13">
        <f t="shared" si="0"/>
        <v>0</v>
      </c>
      <c r="B28" s="6">
        <v>5</v>
      </c>
      <c r="C28" s="3">
        <v>26</v>
      </c>
      <c r="D28" s="3" t="s">
        <v>25</v>
      </c>
      <c r="E28" s="12">
        <v>7398696</v>
      </c>
      <c r="F28" s="6">
        <f t="shared" si="1"/>
        <v>92</v>
      </c>
      <c r="G28" s="6">
        <f>LOOKUP(F28,{0,58,68,78,88},{1,2,3,4,5})</f>
        <v>5</v>
      </c>
      <c r="H28" s="31">
        <f>+Asistencia!Z28</f>
        <v>7</v>
      </c>
      <c r="I28" s="31">
        <v>4</v>
      </c>
      <c r="J28" s="31">
        <v>17</v>
      </c>
      <c r="K28" s="31">
        <v>1</v>
      </c>
      <c r="L28" s="31">
        <v>24</v>
      </c>
      <c r="M28" s="31">
        <v>5</v>
      </c>
      <c r="N28" s="31">
        <v>15</v>
      </c>
      <c r="O28" s="6">
        <f>+'La persona'!D28</f>
        <v>6</v>
      </c>
      <c r="P28" s="6">
        <f>+'Indicadores Actitudinal'!D28</f>
        <v>3</v>
      </c>
      <c r="Q28" s="6">
        <v>10</v>
      </c>
      <c r="R28" s="41">
        <f t="shared" si="2"/>
        <v>9</v>
      </c>
    </row>
    <row r="29" spans="1:18" x14ac:dyDescent="0.25">
      <c r="A29" s="13">
        <f t="shared" si="0"/>
        <v>1</v>
      </c>
      <c r="B29" s="6">
        <v>4</v>
      </c>
      <c r="C29" s="3">
        <v>27</v>
      </c>
      <c r="D29" s="3" t="s">
        <v>26</v>
      </c>
      <c r="E29" s="12">
        <v>7533418</v>
      </c>
      <c r="F29" s="6">
        <f t="shared" si="1"/>
        <v>90</v>
      </c>
      <c r="G29" s="6">
        <f>LOOKUP(F29,{0,58,68,78,88},{1,2,3,4,5})</f>
        <v>5</v>
      </c>
      <c r="H29" s="31">
        <f>+Asistencia!Z29</f>
        <v>6</v>
      </c>
      <c r="I29" s="31">
        <v>4</v>
      </c>
      <c r="J29" s="31">
        <v>16</v>
      </c>
      <c r="K29" s="31">
        <v>1</v>
      </c>
      <c r="L29" s="31">
        <v>24</v>
      </c>
      <c r="M29" s="31">
        <v>5</v>
      </c>
      <c r="N29" s="31">
        <v>15</v>
      </c>
      <c r="O29" s="6">
        <f>+'La persona'!D29</f>
        <v>6</v>
      </c>
      <c r="P29" s="6">
        <f>+'Indicadores Actitudinal'!D29</f>
        <v>3</v>
      </c>
      <c r="Q29" s="6">
        <v>10</v>
      </c>
      <c r="R29" s="41">
        <f t="shared" si="2"/>
        <v>10</v>
      </c>
    </row>
    <row r="30" spans="1:18" x14ac:dyDescent="0.25">
      <c r="A30" s="13">
        <f t="shared" si="0"/>
        <v>0</v>
      </c>
      <c r="B30" s="6">
        <v>5</v>
      </c>
      <c r="C30" s="3">
        <v>28</v>
      </c>
      <c r="D30" s="3" t="s">
        <v>27</v>
      </c>
      <c r="E30" s="12">
        <v>7335885</v>
      </c>
      <c r="F30" s="6">
        <f t="shared" si="1"/>
        <v>97</v>
      </c>
      <c r="G30" s="6">
        <f>LOOKUP(F30,{0,58,68,78,88},{1,2,3,4,5})</f>
        <v>5</v>
      </c>
      <c r="H30" s="31">
        <f>+Asistencia!Z30</f>
        <v>7</v>
      </c>
      <c r="I30" s="31">
        <v>4</v>
      </c>
      <c r="J30" s="31">
        <v>22</v>
      </c>
      <c r="K30" s="31">
        <v>1</v>
      </c>
      <c r="L30" s="31">
        <v>24</v>
      </c>
      <c r="M30" s="31">
        <v>5</v>
      </c>
      <c r="N30" s="31">
        <v>15</v>
      </c>
      <c r="O30" s="6">
        <f>+'La persona'!D30</f>
        <v>6</v>
      </c>
      <c r="P30" s="6">
        <f>+'Indicadores Actitudinal'!D30</f>
        <v>3</v>
      </c>
      <c r="Q30" s="6">
        <v>10</v>
      </c>
      <c r="R30" s="41">
        <f t="shared" si="2"/>
        <v>4</v>
      </c>
    </row>
    <row r="31" spans="1:18" x14ac:dyDescent="0.25">
      <c r="A31" s="13">
        <f t="shared" si="0"/>
        <v>0</v>
      </c>
      <c r="B31" s="6">
        <v>5</v>
      </c>
      <c r="C31" s="3">
        <v>29</v>
      </c>
      <c r="D31" s="3" t="s">
        <v>28</v>
      </c>
      <c r="E31" s="12">
        <v>7504518</v>
      </c>
      <c r="F31" s="6">
        <f t="shared" si="1"/>
        <v>95</v>
      </c>
      <c r="G31" s="6">
        <f>LOOKUP(F31,{0,58,68,78,88},{1,2,3,4,5})</f>
        <v>5</v>
      </c>
      <c r="H31" s="31">
        <f>+Asistencia!Z31</f>
        <v>6</v>
      </c>
      <c r="I31" s="31">
        <v>4</v>
      </c>
      <c r="J31" s="31">
        <v>21</v>
      </c>
      <c r="K31" s="31">
        <v>1</v>
      </c>
      <c r="L31" s="31">
        <v>24</v>
      </c>
      <c r="M31" s="31">
        <v>5</v>
      </c>
      <c r="N31" s="31">
        <v>15</v>
      </c>
      <c r="O31" s="6">
        <f>+'La persona'!D31</f>
        <v>6</v>
      </c>
      <c r="P31" s="6">
        <f>+'Indicadores Actitudinal'!D31</f>
        <v>3</v>
      </c>
      <c r="Q31" s="6">
        <v>10</v>
      </c>
      <c r="R31" s="41">
        <f t="shared" si="2"/>
        <v>5</v>
      </c>
    </row>
    <row r="32" spans="1:18" x14ac:dyDescent="0.25">
      <c r="A32" s="13">
        <f t="shared" si="0"/>
        <v>0</v>
      </c>
      <c r="B32" s="6">
        <v>5</v>
      </c>
      <c r="C32" s="3">
        <v>30</v>
      </c>
      <c r="D32" s="3" t="s">
        <v>29</v>
      </c>
      <c r="E32" s="12">
        <v>7318166</v>
      </c>
      <c r="F32" s="6">
        <f t="shared" si="1"/>
        <v>91</v>
      </c>
      <c r="G32" s="6">
        <f>LOOKUP(F32,{0,58,68,78,88},{1,2,3,4,5})</f>
        <v>5</v>
      </c>
      <c r="H32" s="31">
        <f>+Asistencia!Z32</f>
        <v>5</v>
      </c>
      <c r="I32" s="31">
        <v>4</v>
      </c>
      <c r="J32" s="31">
        <v>18</v>
      </c>
      <c r="K32" s="31">
        <v>1</v>
      </c>
      <c r="L32" s="31">
        <v>24</v>
      </c>
      <c r="M32" s="31">
        <v>5</v>
      </c>
      <c r="N32" s="31">
        <v>15</v>
      </c>
      <c r="O32" s="6">
        <f>+'La persona'!D32</f>
        <v>6</v>
      </c>
      <c r="P32" s="6">
        <f>+'Indicadores Actitudinal'!D32</f>
        <v>3</v>
      </c>
      <c r="Q32" s="6">
        <v>10</v>
      </c>
      <c r="R32" s="41">
        <f t="shared" si="2"/>
        <v>8</v>
      </c>
    </row>
    <row r="33" spans="1:18" x14ac:dyDescent="0.25">
      <c r="A33" s="13">
        <f t="shared" si="0"/>
        <v>1</v>
      </c>
      <c r="B33" s="6">
        <v>3</v>
      </c>
      <c r="C33" s="3">
        <v>31</v>
      </c>
      <c r="D33" s="3" t="s">
        <v>30</v>
      </c>
      <c r="E33" s="12">
        <v>7384033</v>
      </c>
      <c r="F33" s="6">
        <f t="shared" si="1"/>
        <v>79</v>
      </c>
      <c r="G33" s="6">
        <f>LOOKUP(F33,{0,58,68,78,88},{1,2,3,4,5})</f>
        <v>4</v>
      </c>
      <c r="H33" s="31">
        <f>+Asistencia!Z33</f>
        <v>5</v>
      </c>
      <c r="I33" s="31">
        <v>4</v>
      </c>
      <c r="J33" s="31">
        <v>8</v>
      </c>
      <c r="K33" s="31">
        <v>1</v>
      </c>
      <c r="L33" s="31">
        <v>24</v>
      </c>
      <c r="M33" s="31">
        <v>5</v>
      </c>
      <c r="N33" s="31">
        <v>15</v>
      </c>
      <c r="O33" s="6">
        <f>+'La persona'!D33</f>
        <v>5</v>
      </c>
      <c r="P33" s="6">
        <f>+'Indicadores Actitudinal'!D33</f>
        <v>2</v>
      </c>
      <c r="Q33" s="6">
        <v>10</v>
      </c>
      <c r="R33" s="41">
        <f t="shared" si="2"/>
        <v>18</v>
      </c>
    </row>
    <row r="34" spans="1:18" x14ac:dyDescent="0.25">
      <c r="A34" s="13">
        <f t="shared" si="0"/>
        <v>1</v>
      </c>
      <c r="B34" s="6">
        <v>4</v>
      </c>
      <c r="C34" s="3">
        <v>32</v>
      </c>
      <c r="D34" s="3" t="s">
        <v>31</v>
      </c>
      <c r="E34" s="12">
        <v>7324122</v>
      </c>
      <c r="F34" s="6">
        <f t="shared" si="1"/>
        <v>89</v>
      </c>
      <c r="G34" s="6">
        <f>LOOKUP(F34,{0,58,68,78,88},{1,2,3,4,5})</f>
        <v>5</v>
      </c>
      <c r="H34" s="31">
        <f>+Asistencia!Z34</f>
        <v>5</v>
      </c>
      <c r="I34" s="31">
        <v>4</v>
      </c>
      <c r="J34" s="31">
        <v>16</v>
      </c>
      <c r="K34" s="31">
        <v>1</v>
      </c>
      <c r="L34" s="31">
        <v>24</v>
      </c>
      <c r="M34" s="31">
        <v>5</v>
      </c>
      <c r="N34" s="31">
        <v>15</v>
      </c>
      <c r="O34" s="6">
        <f>+'La persona'!D34</f>
        <v>6</v>
      </c>
      <c r="P34" s="6">
        <f>+'Indicadores Actitudinal'!D34</f>
        <v>3</v>
      </c>
      <c r="Q34" s="6">
        <v>10</v>
      </c>
      <c r="R34" s="41">
        <f t="shared" si="2"/>
        <v>10</v>
      </c>
    </row>
    <row r="35" spans="1:18" x14ac:dyDescent="0.25">
      <c r="A35" s="13">
        <f t="shared" si="0"/>
        <v>0</v>
      </c>
      <c r="B35" s="6">
        <v>4</v>
      </c>
      <c r="C35" s="3">
        <v>33</v>
      </c>
      <c r="D35" s="3" t="s">
        <v>32</v>
      </c>
      <c r="E35" s="12">
        <v>7342346</v>
      </c>
      <c r="F35" s="6">
        <f t="shared" si="1"/>
        <v>86</v>
      </c>
      <c r="G35" s="6">
        <f>LOOKUP(F35,{0,58,68,78,88},{1,2,3,4,5})</f>
        <v>4</v>
      </c>
      <c r="H35" s="31">
        <f>+Asistencia!Z35</f>
        <v>5</v>
      </c>
      <c r="I35" s="31">
        <v>4</v>
      </c>
      <c r="J35" s="31">
        <v>13</v>
      </c>
      <c r="K35" s="31">
        <v>1</v>
      </c>
      <c r="L35" s="31">
        <v>24</v>
      </c>
      <c r="M35" s="31">
        <v>5</v>
      </c>
      <c r="N35" s="31">
        <v>15</v>
      </c>
      <c r="O35" s="6">
        <f>+'La persona'!D35</f>
        <v>6</v>
      </c>
      <c r="P35" s="6">
        <f>+'Indicadores Actitudinal'!D35</f>
        <v>3</v>
      </c>
      <c r="Q35" s="6">
        <v>10</v>
      </c>
      <c r="R35" s="41">
        <f t="shared" si="2"/>
        <v>13</v>
      </c>
    </row>
    <row r="36" spans="1:18" x14ac:dyDescent="0.25">
      <c r="A36" s="13">
        <f t="shared" si="0"/>
        <v>1</v>
      </c>
      <c r="B36" s="6">
        <v>4</v>
      </c>
      <c r="C36" s="3">
        <v>34</v>
      </c>
      <c r="D36" s="3" t="s">
        <v>33</v>
      </c>
      <c r="E36" s="12">
        <v>7367983</v>
      </c>
      <c r="F36" s="6">
        <f t="shared" si="1"/>
        <v>88</v>
      </c>
      <c r="G36" s="6">
        <f>LOOKUP(F36,{0,58,68,78,88},{1,2,3,4,5})</f>
        <v>5</v>
      </c>
      <c r="H36" s="31">
        <f>+Asistencia!Z36</f>
        <v>7</v>
      </c>
      <c r="I36" s="31">
        <v>4</v>
      </c>
      <c r="J36" s="31">
        <v>13</v>
      </c>
      <c r="K36" s="31">
        <v>1</v>
      </c>
      <c r="L36" s="31">
        <v>24</v>
      </c>
      <c r="M36" s="31">
        <v>5</v>
      </c>
      <c r="N36" s="31">
        <v>15</v>
      </c>
      <c r="O36" s="6">
        <f>+'La persona'!D36</f>
        <v>6</v>
      </c>
      <c r="P36" s="6">
        <f>+'Indicadores Actitudinal'!D36</f>
        <v>3</v>
      </c>
      <c r="Q36" s="6">
        <v>10</v>
      </c>
      <c r="R36" s="41">
        <f t="shared" si="2"/>
        <v>13</v>
      </c>
    </row>
    <row r="37" spans="1:18" x14ac:dyDescent="0.25">
      <c r="A37" s="13">
        <f t="shared" si="0"/>
        <v>0</v>
      </c>
      <c r="B37" s="6">
        <v>5</v>
      </c>
      <c r="C37" s="3">
        <v>35</v>
      </c>
      <c r="D37" s="3" t="s">
        <v>34</v>
      </c>
      <c r="E37" s="12">
        <v>7272130</v>
      </c>
      <c r="F37" s="6">
        <f t="shared" si="1"/>
        <v>96</v>
      </c>
      <c r="G37" s="6">
        <f>LOOKUP(F37,{0,58,68,78,88},{1,2,3,4,5})</f>
        <v>5</v>
      </c>
      <c r="H37" s="31">
        <f>+Asistencia!Z37</f>
        <v>7</v>
      </c>
      <c r="I37" s="31">
        <v>4</v>
      </c>
      <c r="J37" s="31">
        <v>24</v>
      </c>
      <c r="K37" s="31">
        <v>1</v>
      </c>
      <c r="L37" s="31">
        <v>24</v>
      </c>
      <c r="M37" s="31">
        <v>5</v>
      </c>
      <c r="N37" s="31">
        <v>15</v>
      </c>
      <c r="O37" s="6">
        <f>+'La persona'!D37</f>
        <v>6</v>
      </c>
      <c r="P37" s="6">
        <f>+'Indicadores Actitudinal'!D37</f>
        <v>0</v>
      </c>
      <c r="Q37" s="6">
        <v>10</v>
      </c>
      <c r="R37" s="41">
        <f t="shared" si="2"/>
        <v>2</v>
      </c>
    </row>
    <row r="38" spans="1:18" x14ac:dyDescent="0.25">
      <c r="A38" s="13">
        <f t="shared" si="0"/>
        <v>0</v>
      </c>
      <c r="B38" s="6">
        <v>5</v>
      </c>
      <c r="C38" s="3">
        <v>36</v>
      </c>
      <c r="D38" s="3" t="s">
        <v>35</v>
      </c>
      <c r="E38" s="12">
        <v>7443701</v>
      </c>
      <c r="F38" s="6">
        <f t="shared" si="1"/>
        <v>96</v>
      </c>
      <c r="G38" s="6">
        <f>LOOKUP(F38,{0,58,68,78,88},{1,2,3,4,5})</f>
        <v>5</v>
      </c>
      <c r="H38" s="31">
        <f>+Asistencia!Z38</f>
        <v>6</v>
      </c>
      <c r="I38" s="31">
        <v>4</v>
      </c>
      <c r="J38" s="31">
        <v>22</v>
      </c>
      <c r="K38" s="31">
        <v>1</v>
      </c>
      <c r="L38" s="31">
        <v>24</v>
      </c>
      <c r="M38" s="31">
        <v>5</v>
      </c>
      <c r="N38" s="31">
        <v>15</v>
      </c>
      <c r="O38" s="6">
        <f>+'La persona'!D38</f>
        <v>6</v>
      </c>
      <c r="P38" s="6">
        <f>+'Indicadores Actitudinal'!D38</f>
        <v>3</v>
      </c>
      <c r="Q38" s="6">
        <v>10</v>
      </c>
      <c r="R38" s="41">
        <f t="shared" si="2"/>
        <v>4</v>
      </c>
    </row>
    <row r="39" spans="1:18" x14ac:dyDescent="0.25">
      <c r="A39" s="13">
        <f t="shared" si="0"/>
        <v>0</v>
      </c>
      <c r="B39" s="6">
        <v>5</v>
      </c>
      <c r="C39" s="3">
        <v>37</v>
      </c>
      <c r="D39" s="3" t="s">
        <v>36</v>
      </c>
      <c r="E39" s="12">
        <v>7542562</v>
      </c>
      <c r="F39" s="6">
        <f t="shared" si="1"/>
        <v>96</v>
      </c>
      <c r="G39" s="6">
        <f>LOOKUP(F39,{0,58,68,78,88},{1,2,3,4,5})</f>
        <v>5</v>
      </c>
      <c r="H39" s="31">
        <f>+Asistencia!Z39</f>
        <v>6</v>
      </c>
      <c r="I39" s="31">
        <v>4</v>
      </c>
      <c r="J39" s="31">
        <v>22</v>
      </c>
      <c r="K39" s="31">
        <v>1</v>
      </c>
      <c r="L39" s="31">
        <v>24</v>
      </c>
      <c r="M39" s="31">
        <v>5</v>
      </c>
      <c r="N39" s="31">
        <v>15</v>
      </c>
      <c r="O39" s="6">
        <f>+'La persona'!D39</f>
        <v>6</v>
      </c>
      <c r="P39" s="6">
        <f>+'Indicadores Actitudinal'!D39</f>
        <v>3</v>
      </c>
      <c r="Q39" s="6">
        <v>10</v>
      </c>
      <c r="R39" s="41">
        <f t="shared" si="2"/>
        <v>4</v>
      </c>
    </row>
    <row r="40" spans="1:18" x14ac:dyDescent="0.25">
      <c r="A40" s="13">
        <f t="shared" si="0"/>
        <v>0</v>
      </c>
      <c r="B40" s="6">
        <v>5</v>
      </c>
      <c r="C40" s="3">
        <v>38</v>
      </c>
      <c r="D40" s="3" t="s">
        <v>37</v>
      </c>
      <c r="E40" s="12">
        <v>8000217</v>
      </c>
      <c r="F40" s="6">
        <f t="shared" si="1"/>
        <v>98</v>
      </c>
      <c r="G40" s="6">
        <f>LOOKUP(F40,{0,58,68,78,88},{1,2,3,4,5})</f>
        <v>5</v>
      </c>
      <c r="H40" s="31">
        <f>+Asistencia!Z40</f>
        <v>7</v>
      </c>
      <c r="I40" s="31">
        <v>4</v>
      </c>
      <c r="J40" s="31">
        <v>23</v>
      </c>
      <c r="K40" s="31">
        <v>1</v>
      </c>
      <c r="L40" s="31">
        <v>24</v>
      </c>
      <c r="M40" s="31">
        <v>5</v>
      </c>
      <c r="N40" s="31">
        <v>15</v>
      </c>
      <c r="O40" s="6">
        <f>+'La persona'!D40</f>
        <v>6</v>
      </c>
      <c r="P40" s="6">
        <f>+'Indicadores Actitudinal'!D40</f>
        <v>3</v>
      </c>
      <c r="Q40" s="6">
        <v>10</v>
      </c>
      <c r="R40" s="41">
        <f t="shared" si="2"/>
        <v>3</v>
      </c>
    </row>
    <row r="41" spans="1:18" x14ac:dyDescent="0.25">
      <c r="A41" s="13">
        <f t="shared" si="0"/>
        <v>0</v>
      </c>
      <c r="B41" s="6">
        <v>5</v>
      </c>
      <c r="C41" s="3">
        <v>39</v>
      </c>
      <c r="D41" s="3" t="s">
        <v>38</v>
      </c>
      <c r="E41" s="12">
        <v>7500428</v>
      </c>
      <c r="F41" s="6">
        <f t="shared" si="1"/>
        <v>95</v>
      </c>
      <c r="G41" s="6">
        <f>LOOKUP(F41,{0,58,68,78,88},{1,2,3,4,5})</f>
        <v>5</v>
      </c>
      <c r="H41" s="31">
        <f>+Asistencia!Z41</f>
        <v>6</v>
      </c>
      <c r="I41" s="31">
        <v>4</v>
      </c>
      <c r="J41" s="31">
        <v>21</v>
      </c>
      <c r="K41" s="31">
        <v>1</v>
      </c>
      <c r="L41" s="31">
        <v>24</v>
      </c>
      <c r="M41" s="31">
        <v>5</v>
      </c>
      <c r="N41" s="31">
        <v>15</v>
      </c>
      <c r="O41" s="6">
        <f>+'La persona'!D41</f>
        <v>6</v>
      </c>
      <c r="P41" s="6">
        <f>+'Indicadores Actitudinal'!D41</f>
        <v>3</v>
      </c>
      <c r="Q41" s="6">
        <v>10</v>
      </c>
      <c r="R41" s="41">
        <f t="shared" si="2"/>
        <v>5</v>
      </c>
    </row>
    <row r="42" spans="1:18" x14ac:dyDescent="0.25">
      <c r="A42" s="13">
        <f t="shared" si="0"/>
        <v>0</v>
      </c>
      <c r="B42" s="6">
        <v>4</v>
      </c>
      <c r="C42" s="3">
        <v>40</v>
      </c>
      <c r="D42" s="3" t="s">
        <v>39</v>
      </c>
      <c r="E42" s="12">
        <v>7377595</v>
      </c>
      <c r="F42" s="6">
        <f t="shared" si="1"/>
        <v>87</v>
      </c>
      <c r="G42" s="6">
        <f>LOOKUP(F42,{0,58,68,78,88},{1,2,3,4,5})</f>
        <v>4</v>
      </c>
      <c r="H42" s="31">
        <f>+Asistencia!Z42</f>
        <v>5</v>
      </c>
      <c r="I42" s="31">
        <v>4</v>
      </c>
      <c r="J42" s="31">
        <v>14</v>
      </c>
      <c r="K42" s="31">
        <v>1</v>
      </c>
      <c r="L42" s="31">
        <v>24</v>
      </c>
      <c r="M42" s="31">
        <v>5</v>
      </c>
      <c r="N42" s="31">
        <v>15</v>
      </c>
      <c r="O42" s="6">
        <f>+'La persona'!D42</f>
        <v>6</v>
      </c>
      <c r="P42" s="6">
        <f>+'Indicadores Actitudinal'!D42</f>
        <v>3</v>
      </c>
      <c r="Q42" s="6">
        <v>10</v>
      </c>
      <c r="R42" s="41">
        <f t="shared" si="2"/>
        <v>12</v>
      </c>
    </row>
    <row r="43" spans="1:18" x14ac:dyDescent="0.25">
      <c r="A43" s="13">
        <f t="shared" si="0"/>
        <v>0</v>
      </c>
      <c r="B43" s="6">
        <v>4</v>
      </c>
      <c r="C43" s="3">
        <v>41</v>
      </c>
      <c r="D43" s="3" t="s">
        <v>80</v>
      </c>
      <c r="E43" s="12"/>
      <c r="F43" s="6">
        <f t="shared" si="1"/>
        <v>83</v>
      </c>
      <c r="G43" s="6">
        <f>LOOKUP(F43,{0,58,68,78,88},{1,2,3,4,5})</f>
        <v>4</v>
      </c>
      <c r="H43" s="31">
        <f>+Asistencia!Z43</f>
        <v>0</v>
      </c>
      <c r="I43" s="31">
        <v>4</v>
      </c>
      <c r="J43" s="31">
        <v>17</v>
      </c>
      <c r="K43" s="31">
        <v>1</v>
      </c>
      <c r="L43" s="31">
        <v>24</v>
      </c>
      <c r="M43" s="31">
        <v>5</v>
      </c>
      <c r="N43" s="31">
        <v>15</v>
      </c>
      <c r="O43" s="6">
        <f>+'La persona'!D43</f>
        <v>5</v>
      </c>
      <c r="P43" s="6">
        <f>+'Indicadores Actitudinal'!D43</f>
        <v>2</v>
      </c>
      <c r="Q43" s="6">
        <v>10</v>
      </c>
      <c r="R43" s="41">
        <f t="shared" si="2"/>
        <v>9</v>
      </c>
    </row>
    <row r="44" spans="1:18" x14ac:dyDescent="0.25">
      <c r="L44" s="30">
        <f>+SUM(L3:L43)/24</f>
        <v>41</v>
      </c>
      <c r="M44" s="30">
        <f>+SUM(M3:M43)/5</f>
        <v>41</v>
      </c>
      <c r="N44" s="30">
        <f>+SUM(N3:N43)/15</f>
        <v>41</v>
      </c>
      <c r="O44" s="30">
        <f>+SUM(O3:O43)/6</f>
        <v>40.166666666666664</v>
      </c>
      <c r="P44" s="30">
        <f>+SUM(P3:P43)/3</f>
        <v>38.333333333333336</v>
      </c>
      <c r="Q44" s="30">
        <f>+SUM(Q3:Q43)/10</f>
        <v>41</v>
      </c>
    </row>
  </sheetData>
  <autoFilter ref="J1:J43" xr:uid="{CBB63B9B-B9AB-4037-ACC8-913D90616117}"/>
  <conditionalFormatting sqref="B3:B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487F-C275-4D22-A471-C467216E743F}">
  <dimension ref="A1:H106"/>
  <sheetViews>
    <sheetView topLeftCell="A67" workbookViewId="0">
      <selection activeCell="C80" sqref="C80:C85"/>
    </sheetView>
  </sheetViews>
  <sheetFormatPr baseColWidth="10" defaultRowHeight="15" x14ac:dyDescent="0.25"/>
  <sheetData>
    <row r="1" spans="1:8" x14ac:dyDescent="0.25">
      <c r="A1" s="71" t="s">
        <v>90</v>
      </c>
      <c r="B1" s="71"/>
      <c r="C1" s="71"/>
      <c r="D1" s="71"/>
      <c r="E1" s="71"/>
      <c r="F1" s="71"/>
      <c r="G1" s="71"/>
      <c r="H1" s="71"/>
    </row>
    <row r="2" spans="1:8" x14ac:dyDescent="0.25">
      <c r="A2" s="71" t="s">
        <v>91</v>
      </c>
      <c r="B2" s="71"/>
      <c r="C2" s="71"/>
      <c r="D2" s="71"/>
      <c r="E2" s="71"/>
      <c r="F2" s="71"/>
      <c r="G2" s="71"/>
      <c r="H2" s="71"/>
    </row>
    <row r="3" spans="1:8" x14ac:dyDescent="0.25">
      <c r="A3" s="35"/>
      <c r="B3" s="35"/>
      <c r="C3" s="35"/>
      <c r="D3" s="35"/>
      <c r="E3" s="35"/>
      <c r="F3" s="35"/>
      <c r="G3" s="35"/>
      <c r="H3" s="35"/>
    </row>
    <row r="4" spans="1:8" x14ac:dyDescent="0.25">
      <c r="A4" s="36" t="s">
        <v>92</v>
      </c>
      <c r="B4" s="36" t="s">
        <v>93</v>
      </c>
      <c r="C4" s="36" t="s">
        <v>94</v>
      </c>
      <c r="D4" s="36" t="s">
        <v>95</v>
      </c>
      <c r="E4" s="36" t="s">
        <v>96</v>
      </c>
      <c r="F4" s="36" t="s">
        <v>97</v>
      </c>
      <c r="G4" s="36" t="s">
        <v>98</v>
      </c>
      <c r="H4" s="36" t="s">
        <v>99</v>
      </c>
    </row>
    <row r="5" spans="1:8" x14ac:dyDescent="0.25">
      <c r="A5" s="37" t="s">
        <v>100</v>
      </c>
      <c r="B5" s="37" t="s">
        <v>100</v>
      </c>
      <c r="C5" s="37" t="s">
        <v>101</v>
      </c>
      <c r="D5" s="37" t="s">
        <v>101</v>
      </c>
      <c r="E5" s="37" t="s">
        <v>101</v>
      </c>
      <c r="F5" s="37" t="s">
        <v>102</v>
      </c>
      <c r="G5" s="37" t="s">
        <v>103</v>
      </c>
      <c r="H5" s="37" t="s">
        <v>104</v>
      </c>
    </row>
    <row r="6" spans="1:8" x14ac:dyDescent="0.25">
      <c r="A6" s="37" t="s">
        <v>105</v>
      </c>
      <c r="B6" s="37" t="s">
        <v>105</v>
      </c>
      <c r="C6" s="37" t="s">
        <v>106</v>
      </c>
      <c r="D6" s="37" t="s">
        <v>106</v>
      </c>
      <c r="E6" s="37" t="s">
        <v>106</v>
      </c>
      <c r="F6" s="37" t="s">
        <v>107</v>
      </c>
      <c r="G6" s="37" t="s">
        <v>108</v>
      </c>
      <c r="H6" s="37" t="s">
        <v>109</v>
      </c>
    </row>
    <row r="7" spans="1:8" x14ac:dyDescent="0.25">
      <c r="A7" s="37" t="s">
        <v>110</v>
      </c>
      <c r="B7" s="37" t="s">
        <v>110</v>
      </c>
      <c r="C7" s="37" t="s">
        <v>111</v>
      </c>
      <c r="D7" s="37" t="s">
        <v>111</v>
      </c>
      <c r="E7" s="37" t="s">
        <v>112</v>
      </c>
      <c r="F7" s="37" t="s">
        <v>113</v>
      </c>
      <c r="G7" s="37" t="s">
        <v>114</v>
      </c>
      <c r="H7" s="37" t="s">
        <v>115</v>
      </c>
    </row>
    <row r="8" spans="1:8" x14ac:dyDescent="0.25">
      <c r="A8" s="37" t="s">
        <v>116</v>
      </c>
      <c r="B8" s="37" t="s">
        <v>116</v>
      </c>
      <c r="C8" s="37" t="s">
        <v>117</v>
      </c>
      <c r="D8" s="37" t="s">
        <v>117</v>
      </c>
      <c r="E8" s="37" t="s">
        <v>118</v>
      </c>
      <c r="F8" s="37" t="s">
        <v>119</v>
      </c>
      <c r="G8" s="37" t="s">
        <v>120</v>
      </c>
      <c r="H8" s="37" t="s">
        <v>121</v>
      </c>
    </row>
    <row r="9" spans="1:8" x14ac:dyDescent="0.25">
      <c r="A9" s="37" t="s">
        <v>122</v>
      </c>
      <c r="B9" s="37" t="s">
        <v>123</v>
      </c>
      <c r="C9" s="37" t="s">
        <v>124</v>
      </c>
      <c r="D9" s="37" t="s">
        <v>125</v>
      </c>
      <c r="E9" s="37" t="s">
        <v>126</v>
      </c>
      <c r="F9" s="37" t="s">
        <v>127</v>
      </c>
      <c r="G9" s="37" t="s">
        <v>128</v>
      </c>
      <c r="H9" s="37" t="s">
        <v>129</v>
      </c>
    </row>
    <row r="11" spans="1:8" x14ac:dyDescent="0.25">
      <c r="A11" s="36" t="s">
        <v>130</v>
      </c>
      <c r="B11" s="36" t="s">
        <v>131</v>
      </c>
      <c r="C11" s="36" t="s">
        <v>132</v>
      </c>
      <c r="D11" s="36" t="s">
        <v>133</v>
      </c>
      <c r="E11" s="36" t="s">
        <v>134</v>
      </c>
      <c r="F11" s="36" t="s">
        <v>135</v>
      </c>
      <c r="G11" s="36" t="s">
        <v>136</v>
      </c>
      <c r="H11" s="36" t="s">
        <v>137</v>
      </c>
    </row>
    <row r="12" spans="1:8" x14ac:dyDescent="0.25">
      <c r="A12" s="37" t="s">
        <v>104</v>
      </c>
      <c r="B12" s="37" t="s">
        <v>104</v>
      </c>
      <c r="C12" s="37" t="s">
        <v>138</v>
      </c>
      <c r="D12" s="37" t="s">
        <v>139</v>
      </c>
      <c r="E12" s="37" t="s">
        <v>139</v>
      </c>
      <c r="F12" s="37" t="s">
        <v>140</v>
      </c>
      <c r="G12" s="37" t="s">
        <v>141</v>
      </c>
      <c r="H12" s="37" t="s">
        <v>141</v>
      </c>
    </row>
    <row r="13" spans="1:8" x14ac:dyDescent="0.25">
      <c r="A13" s="37" t="s">
        <v>109</v>
      </c>
      <c r="B13" s="37" t="s">
        <v>142</v>
      </c>
      <c r="C13" s="37" t="s">
        <v>143</v>
      </c>
      <c r="D13" s="37" t="s">
        <v>144</v>
      </c>
      <c r="E13" s="37" t="s">
        <v>144</v>
      </c>
      <c r="F13" s="37" t="s">
        <v>145</v>
      </c>
      <c r="G13" s="37" t="s">
        <v>146</v>
      </c>
      <c r="H13" s="37" t="s">
        <v>146</v>
      </c>
    </row>
    <row r="14" spans="1:8" x14ac:dyDescent="0.25">
      <c r="A14" s="37" t="s">
        <v>115</v>
      </c>
      <c r="B14" s="37" t="s">
        <v>147</v>
      </c>
      <c r="C14" s="37" t="s">
        <v>148</v>
      </c>
      <c r="D14" s="37" t="s">
        <v>149</v>
      </c>
      <c r="E14" s="37" t="s">
        <v>149</v>
      </c>
      <c r="F14" s="37" t="s">
        <v>150</v>
      </c>
      <c r="G14" s="37" t="s">
        <v>151</v>
      </c>
      <c r="H14" s="37" t="s">
        <v>152</v>
      </c>
    </row>
    <row r="15" spans="1:8" x14ac:dyDescent="0.25">
      <c r="A15" s="37" t="s">
        <v>153</v>
      </c>
      <c r="B15" s="37" t="s">
        <v>154</v>
      </c>
      <c r="C15" s="37" t="s">
        <v>155</v>
      </c>
      <c r="D15" s="37" t="s">
        <v>156</v>
      </c>
      <c r="E15" s="37" t="s">
        <v>156</v>
      </c>
      <c r="F15" s="37" t="s">
        <v>157</v>
      </c>
      <c r="G15" s="37" t="s">
        <v>158</v>
      </c>
      <c r="H15" s="37" t="s">
        <v>159</v>
      </c>
    </row>
    <row r="16" spans="1:8" x14ac:dyDescent="0.25">
      <c r="A16" s="37" t="s">
        <v>160</v>
      </c>
      <c r="B16" s="37" t="s">
        <v>161</v>
      </c>
      <c r="C16" s="37" t="s">
        <v>162</v>
      </c>
      <c r="D16" s="37" t="s">
        <v>163</v>
      </c>
      <c r="E16" s="37" t="s">
        <v>164</v>
      </c>
      <c r="F16" s="37" t="s">
        <v>165</v>
      </c>
      <c r="G16" s="37" t="s">
        <v>166</v>
      </c>
      <c r="H16" s="37" t="s">
        <v>167</v>
      </c>
    </row>
    <row r="17" spans="1:8" x14ac:dyDescent="0.25">
      <c r="A17" s="37"/>
    </row>
    <row r="18" spans="1:8" x14ac:dyDescent="0.25">
      <c r="A18" s="36" t="s">
        <v>168</v>
      </c>
      <c r="B18" s="36" t="s">
        <v>169</v>
      </c>
      <c r="C18" s="36" t="s">
        <v>170</v>
      </c>
      <c r="D18" s="36" t="s">
        <v>171</v>
      </c>
      <c r="E18" s="36" t="s">
        <v>172</v>
      </c>
      <c r="F18" s="36" t="s">
        <v>173</v>
      </c>
      <c r="G18" s="36" t="s">
        <v>174</v>
      </c>
      <c r="H18" s="36" t="s">
        <v>175</v>
      </c>
    </row>
    <row r="19" spans="1:8" x14ac:dyDescent="0.25">
      <c r="A19" s="37" t="s">
        <v>176</v>
      </c>
      <c r="B19" s="37" t="s">
        <v>176</v>
      </c>
      <c r="C19" s="37" t="s">
        <v>177</v>
      </c>
      <c r="D19" s="37" t="s">
        <v>177</v>
      </c>
      <c r="E19" s="37" t="s">
        <v>178</v>
      </c>
      <c r="F19" s="37" t="s">
        <v>179</v>
      </c>
      <c r="G19" s="37" t="s">
        <v>179</v>
      </c>
      <c r="H19" s="37" t="s">
        <v>180</v>
      </c>
    </row>
    <row r="20" spans="1:8" x14ac:dyDescent="0.25">
      <c r="A20" s="37" t="s">
        <v>181</v>
      </c>
      <c r="B20" s="37" t="s">
        <v>181</v>
      </c>
      <c r="C20" s="37" t="s">
        <v>182</v>
      </c>
      <c r="D20" s="37" t="s">
        <v>183</v>
      </c>
      <c r="E20" s="37" t="s">
        <v>184</v>
      </c>
      <c r="F20" s="37" t="s">
        <v>185</v>
      </c>
      <c r="G20" s="37" t="s">
        <v>185</v>
      </c>
      <c r="H20" s="37" t="s">
        <v>186</v>
      </c>
    </row>
    <row r="21" spans="1:8" x14ac:dyDescent="0.25">
      <c r="A21" s="37" t="s">
        <v>187</v>
      </c>
      <c r="B21" s="37" t="s">
        <v>187</v>
      </c>
      <c r="C21" s="37" t="s">
        <v>188</v>
      </c>
      <c r="D21" s="37" t="s">
        <v>189</v>
      </c>
      <c r="E21" s="37" t="s">
        <v>190</v>
      </c>
      <c r="F21" s="37" t="s">
        <v>191</v>
      </c>
      <c r="G21" s="37" t="s">
        <v>191</v>
      </c>
      <c r="H21" s="37" t="s">
        <v>192</v>
      </c>
    </row>
    <row r="22" spans="1:8" x14ac:dyDescent="0.25">
      <c r="A22" s="37" t="s">
        <v>193</v>
      </c>
      <c r="B22" s="37" t="s">
        <v>194</v>
      </c>
      <c r="C22" s="37" t="s">
        <v>195</v>
      </c>
      <c r="D22" s="37" t="s">
        <v>196</v>
      </c>
      <c r="E22" s="37" t="s">
        <v>197</v>
      </c>
      <c r="F22" s="37" t="s">
        <v>198</v>
      </c>
      <c r="G22" s="37" t="s">
        <v>198</v>
      </c>
      <c r="H22" s="37" t="s">
        <v>199</v>
      </c>
    </row>
    <row r="23" spans="1:8" x14ac:dyDescent="0.25">
      <c r="A23" s="37" t="s">
        <v>200</v>
      </c>
      <c r="B23" s="37" t="s">
        <v>201</v>
      </c>
      <c r="C23" s="37" t="s">
        <v>202</v>
      </c>
      <c r="D23" s="37" t="s">
        <v>203</v>
      </c>
      <c r="E23" s="37" t="s">
        <v>204</v>
      </c>
      <c r="F23" s="37" t="s">
        <v>205</v>
      </c>
      <c r="G23" s="37" t="s">
        <v>206</v>
      </c>
      <c r="H23" s="37" t="s">
        <v>207</v>
      </c>
    </row>
    <row r="24" spans="1:8" x14ac:dyDescent="0.25">
      <c r="A24" s="35"/>
      <c r="B24" s="35"/>
      <c r="C24" s="35"/>
      <c r="D24" s="35"/>
      <c r="E24" s="35"/>
      <c r="F24" s="35"/>
      <c r="G24" s="35"/>
      <c r="H24" s="35"/>
    </row>
    <row r="25" spans="1:8" x14ac:dyDescent="0.25">
      <c r="A25" s="36" t="s">
        <v>208</v>
      </c>
      <c r="B25" s="36" t="s">
        <v>209</v>
      </c>
      <c r="C25" s="36" t="s">
        <v>210</v>
      </c>
      <c r="D25" s="36" t="s">
        <v>211</v>
      </c>
      <c r="E25" s="36" t="s">
        <v>212</v>
      </c>
      <c r="F25" s="36" t="s">
        <v>213</v>
      </c>
      <c r="G25" s="36" t="s">
        <v>214</v>
      </c>
      <c r="H25" s="36" t="s">
        <v>215</v>
      </c>
    </row>
    <row r="26" spans="1:8" x14ac:dyDescent="0.25">
      <c r="A26" s="37" t="s">
        <v>180</v>
      </c>
      <c r="B26" s="37" t="s">
        <v>216</v>
      </c>
      <c r="C26" s="37" t="s">
        <v>217</v>
      </c>
      <c r="D26" s="37" t="s">
        <v>217</v>
      </c>
      <c r="E26" s="37" t="s">
        <v>218</v>
      </c>
      <c r="F26" s="37" t="s">
        <v>218</v>
      </c>
      <c r="G26" s="37" t="s">
        <v>219</v>
      </c>
      <c r="H26" s="37" t="s">
        <v>220</v>
      </c>
    </row>
    <row r="27" spans="1:8" x14ac:dyDescent="0.25">
      <c r="A27" s="37" t="s">
        <v>186</v>
      </c>
      <c r="B27" s="37" t="s">
        <v>221</v>
      </c>
      <c r="C27" s="37" t="s">
        <v>222</v>
      </c>
      <c r="D27" s="37" t="s">
        <v>222</v>
      </c>
      <c r="E27" s="37" t="s">
        <v>223</v>
      </c>
      <c r="F27" s="37" t="s">
        <v>224</v>
      </c>
      <c r="G27" s="37" t="s">
        <v>225</v>
      </c>
      <c r="H27" s="37" t="s">
        <v>226</v>
      </c>
    </row>
    <row r="28" spans="1:8" x14ac:dyDescent="0.25">
      <c r="A28" s="37" t="s">
        <v>227</v>
      </c>
      <c r="B28" s="37" t="s">
        <v>228</v>
      </c>
      <c r="C28" s="37" t="s">
        <v>229</v>
      </c>
      <c r="D28" s="37" t="s">
        <v>229</v>
      </c>
      <c r="E28" s="37" t="s">
        <v>230</v>
      </c>
      <c r="F28" s="37" t="s">
        <v>231</v>
      </c>
      <c r="G28" s="37" t="s">
        <v>232</v>
      </c>
      <c r="H28" s="37" t="s">
        <v>233</v>
      </c>
    </row>
    <row r="29" spans="1:8" x14ac:dyDescent="0.25">
      <c r="A29" s="37" t="s">
        <v>234</v>
      </c>
      <c r="B29" s="37" t="s">
        <v>235</v>
      </c>
      <c r="C29" s="37" t="s">
        <v>236</v>
      </c>
      <c r="D29" s="37" t="s">
        <v>237</v>
      </c>
      <c r="E29" s="37" t="s">
        <v>238</v>
      </c>
      <c r="F29" s="37" t="s">
        <v>239</v>
      </c>
      <c r="G29" s="37" t="s">
        <v>240</v>
      </c>
      <c r="H29" s="37" t="s">
        <v>241</v>
      </c>
    </row>
    <row r="30" spans="1:8" x14ac:dyDescent="0.25">
      <c r="A30" s="37" t="s">
        <v>242</v>
      </c>
      <c r="B30" s="37" t="s">
        <v>243</v>
      </c>
      <c r="C30" s="37" t="s">
        <v>244</v>
      </c>
      <c r="D30" s="37" t="s">
        <v>245</v>
      </c>
      <c r="E30" s="37" t="s">
        <v>246</v>
      </c>
      <c r="F30" s="37" t="s">
        <v>247</v>
      </c>
      <c r="G30" s="37" t="s">
        <v>248</v>
      </c>
      <c r="H30" s="37" t="s">
        <v>249</v>
      </c>
    </row>
    <row r="31" spans="1:8" x14ac:dyDescent="0.25">
      <c r="A31" s="35"/>
      <c r="B31" s="35"/>
      <c r="C31" s="35"/>
      <c r="D31" s="35"/>
      <c r="E31" s="35"/>
      <c r="F31" s="35"/>
      <c r="G31" s="35"/>
      <c r="H31" s="35"/>
    </row>
    <row r="32" spans="1:8" x14ac:dyDescent="0.25">
      <c r="A32" s="36" t="s">
        <v>250</v>
      </c>
      <c r="B32" s="36" t="s">
        <v>251</v>
      </c>
      <c r="C32" s="36" t="s">
        <v>252</v>
      </c>
      <c r="D32" s="36" t="s">
        <v>253</v>
      </c>
      <c r="E32" s="36" t="s">
        <v>254</v>
      </c>
      <c r="F32" s="36" t="s">
        <v>255</v>
      </c>
      <c r="G32" s="36" t="s">
        <v>256</v>
      </c>
      <c r="H32" s="36" t="s">
        <v>257</v>
      </c>
    </row>
    <row r="33" spans="1:8" x14ac:dyDescent="0.25">
      <c r="A33" s="37" t="s">
        <v>220</v>
      </c>
      <c r="B33" s="37" t="s">
        <v>258</v>
      </c>
      <c r="C33" s="37" t="s">
        <v>258</v>
      </c>
      <c r="D33" s="37" t="s">
        <v>259</v>
      </c>
      <c r="E33" s="37" t="s">
        <v>260</v>
      </c>
      <c r="F33" s="37" t="s">
        <v>260</v>
      </c>
      <c r="G33" s="37" t="s">
        <v>261</v>
      </c>
      <c r="H33" s="37" t="s">
        <v>261</v>
      </c>
    </row>
    <row r="34" spans="1:8" x14ac:dyDescent="0.25">
      <c r="A34" s="37" t="s">
        <v>226</v>
      </c>
      <c r="B34" s="37" t="s">
        <v>262</v>
      </c>
      <c r="C34" s="37" t="s">
        <v>262</v>
      </c>
      <c r="D34" s="37" t="s">
        <v>263</v>
      </c>
      <c r="E34" s="37" t="s">
        <v>264</v>
      </c>
      <c r="F34" s="37" t="s">
        <v>264</v>
      </c>
      <c r="G34" s="37" t="s">
        <v>265</v>
      </c>
      <c r="H34" s="37" t="s">
        <v>266</v>
      </c>
    </row>
    <row r="35" spans="1:8" x14ac:dyDescent="0.25">
      <c r="A35" s="37" t="s">
        <v>233</v>
      </c>
      <c r="B35" s="37" t="s">
        <v>267</v>
      </c>
      <c r="C35" s="37" t="s">
        <v>268</v>
      </c>
      <c r="D35" s="37" t="s">
        <v>269</v>
      </c>
      <c r="E35" s="37" t="s">
        <v>270</v>
      </c>
      <c r="F35" s="37" t="s">
        <v>270</v>
      </c>
      <c r="G35" s="37" t="s">
        <v>271</v>
      </c>
      <c r="H35" s="37" t="s">
        <v>272</v>
      </c>
    </row>
    <row r="36" spans="1:8" x14ac:dyDescent="0.25">
      <c r="A36" s="37" t="s">
        <v>241</v>
      </c>
      <c r="B36" s="37" t="s">
        <v>273</v>
      </c>
      <c r="C36" s="37" t="s">
        <v>274</v>
      </c>
      <c r="D36" s="37" t="s">
        <v>275</v>
      </c>
      <c r="E36" s="37" t="s">
        <v>276</v>
      </c>
      <c r="F36" s="37" t="s">
        <v>277</v>
      </c>
      <c r="G36" s="37" t="s">
        <v>278</v>
      </c>
      <c r="H36" s="37" t="s">
        <v>279</v>
      </c>
    </row>
    <row r="37" spans="1:8" x14ac:dyDescent="0.25">
      <c r="A37" s="37" t="s">
        <v>280</v>
      </c>
      <c r="B37" s="37" t="s">
        <v>281</v>
      </c>
      <c r="C37" s="37" t="s">
        <v>282</v>
      </c>
      <c r="D37" s="37" t="s">
        <v>283</v>
      </c>
      <c r="E37" s="37" t="s">
        <v>284</v>
      </c>
      <c r="F37" s="37" t="s">
        <v>285</v>
      </c>
      <c r="G37" s="37" t="s">
        <v>286</v>
      </c>
      <c r="H37" s="37" t="s">
        <v>287</v>
      </c>
    </row>
    <row r="39" spans="1:8" x14ac:dyDescent="0.25">
      <c r="A39" s="36" t="s">
        <v>288</v>
      </c>
      <c r="B39" s="36" t="s">
        <v>289</v>
      </c>
      <c r="C39" s="36" t="s">
        <v>290</v>
      </c>
      <c r="D39" s="36" t="s">
        <v>291</v>
      </c>
      <c r="E39" s="36" t="s">
        <v>292</v>
      </c>
      <c r="F39" s="36" t="s">
        <v>293</v>
      </c>
      <c r="G39" s="36" t="s">
        <v>294</v>
      </c>
      <c r="H39" s="36" t="s">
        <v>295</v>
      </c>
    </row>
    <row r="40" spans="1:8" x14ac:dyDescent="0.25">
      <c r="A40" s="37" t="s">
        <v>296</v>
      </c>
      <c r="B40" s="37" t="s">
        <v>297</v>
      </c>
      <c r="C40" s="37" t="s">
        <v>297</v>
      </c>
      <c r="D40" s="37" t="s">
        <v>298</v>
      </c>
      <c r="E40" s="37" t="s">
        <v>298</v>
      </c>
      <c r="F40" s="37" t="s">
        <v>299</v>
      </c>
      <c r="G40" s="37" t="s">
        <v>300</v>
      </c>
      <c r="H40" s="37" t="s">
        <v>300</v>
      </c>
    </row>
    <row r="41" spans="1:8" x14ac:dyDescent="0.25">
      <c r="A41" s="37" t="s">
        <v>301</v>
      </c>
      <c r="B41" s="37" t="s">
        <v>302</v>
      </c>
      <c r="C41" s="37" t="s">
        <v>302</v>
      </c>
      <c r="D41" s="37" t="s">
        <v>303</v>
      </c>
      <c r="E41" s="37" t="s">
        <v>303</v>
      </c>
      <c r="F41" s="37" t="s">
        <v>304</v>
      </c>
      <c r="G41" s="37" t="s">
        <v>305</v>
      </c>
      <c r="H41" s="37" t="s">
        <v>305</v>
      </c>
    </row>
    <row r="42" spans="1:8" x14ac:dyDescent="0.25">
      <c r="A42" s="37" t="s">
        <v>306</v>
      </c>
      <c r="B42" s="37" t="s">
        <v>307</v>
      </c>
      <c r="C42" s="37" t="s">
        <v>307</v>
      </c>
      <c r="D42" s="37" t="s">
        <v>308</v>
      </c>
      <c r="E42" s="37" t="s">
        <v>309</v>
      </c>
      <c r="F42" s="37" t="s">
        <v>310</v>
      </c>
      <c r="G42" s="37" t="s">
        <v>311</v>
      </c>
      <c r="H42" s="37" t="s">
        <v>311</v>
      </c>
    </row>
    <row r="43" spans="1:8" x14ac:dyDescent="0.25">
      <c r="A43" s="37" t="s">
        <v>312</v>
      </c>
      <c r="B43" s="37" t="s">
        <v>313</v>
      </c>
      <c r="C43" s="37" t="s">
        <v>313</v>
      </c>
      <c r="D43" s="37" t="s">
        <v>314</v>
      </c>
      <c r="E43" s="37" t="s">
        <v>315</v>
      </c>
      <c r="F43" s="37" t="s">
        <v>316</v>
      </c>
      <c r="G43" s="37" t="s">
        <v>317</v>
      </c>
      <c r="H43" s="37" t="s">
        <v>318</v>
      </c>
    </row>
    <row r="44" spans="1:8" x14ac:dyDescent="0.25">
      <c r="A44" s="37" t="s">
        <v>319</v>
      </c>
      <c r="B44" s="37" t="s">
        <v>320</v>
      </c>
      <c r="C44" s="37" t="s">
        <v>321</v>
      </c>
      <c r="D44" s="37" t="s">
        <v>322</v>
      </c>
      <c r="E44" s="37" t="s">
        <v>323</v>
      </c>
      <c r="F44" s="37" t="s">
        <v>324</v>
      </c>
      <c r="G44" s="37" t="s">
        <v>325</v>
      </c>
      <c r="H44" s="37" t="s">
        <v>326</v>
      </c>
    </row>
    <row r="45" spans="1:8" x14ac:dyDescent="0.25">
      <c r="A45" s="35"/>
      <c r="B45" s="35"/>
      <c r="C45" s="35"/>
      <c r="D45" s="35"/>
      <c r="E45" s="35"/>
      <c r="F45" s="35"/>
      <c r="G45" s="35"/>
      <c r="H45" s="35"/>
    </row>
    <row r="46" spans="1:8" x14ac:dyDescent="0.25">
      <c r="A46" s="36" t="s">
        <v>327</v>
      </c>
      <c r="B46" s="36" t="s">
        <v>328</v>
      </c>
      <c r="C46" s="36" t="s">
        <v>329</v>
      </c>
      <c r="D46" s="36" t="s">
        <v>330</v>
      </c>
      <c r="E46" s="36" t="s">
        <v>331</v>
      </c>
      <c r="F46" s="36" t="s">
        <v>332</v>
      </c>
      <c r="G46" s="36" t="s">
        <v>333</v>
      </c>
      <c r="H46" s="36" t="s">
        <v>334</v>
      </c>
    </row>
    <row r="47" spans="1:8" x14ac:dyDescent="0.25">
      <c r="A47" s="37" t="s">
        <v>335</v>
      </c>
      <c r="B47" s="37" t="s">
        <v>335</v>
      </c>
      <c r="C47" s="37" t="s">
        <v>336</v>
      </c>
      <c r="D47" s="37" t="s">
        <v>337</v>
      </c>
      <c r="E47" s="37" t="s">
        <v>337</v>
      </c>
      <c r="F47" s="37" t="s">
        <v>338</v>
      </c>
      <c r="G47" s="37" t="s">
        <v>338</v>
      </c>
      <c r="H47" s="37" t="s">
        <v>339</v>
      </c>
    </row>
    <row r="48" spans="1:8" x14ac:dyDescent="0.25">
      <c r="A48" s="37" t="s">
        <v>340</v>
      </c>
      <c r="B48" s="37" t="s">
        <v>341</v>
      </c>
      <c r="C48" s="37" t="s">
        <v>342</v>
      </c>
      <c r="D48" s="37" t="s">
        <v>343</v>
      </c>
      <c r="E48" s="37" t="s">
        <v>343</v>
      </c>
      <c r="F48" s="37" t="s">
        <v>344</v>
      </c>
      <c r="G48" s="37" t="s">
        <v>344</v>
      </c>
      <c r="H48" s="37" t="s">
        <v>345</v>
      </c>
    </row>
    <row r="49" spans="1:8" x14ac:dyDescent="0.25">
      <c r="A49" s="37" t="s">
        <v>346</v>
      </c>
      <c r="B49" s="37" t="s">
        <v>347</v>
      </c>
      <c r="C49" s="37" t="s">
        <v>348</v>
      </c>
      <c r="D49" s="37" t="s">
        <v>349</v>
      </c>
      <c r="E49" s="37" t="s">
        <v>349</v>
      </c>
      <c r="F49" s="37" t="s">
        <v>350</v>
      </c>
      <c r="G49" s="37" t="s">
        <v>351</v>
      </c>
      <c r="H49" s="37" t="s">
        <v>352</v>
      </c>
    </row>
    <row r="50" spans="1:8" x14ac:dyDescent="0.25">
      <c r="A50" s="37" t="s">
        <v>353</v>
      </c>
      <c r="B50" s="37" t="s">
        <v>354</v>
      </c>
      <c r="C50" s="37" t="s">
        <v>355</v>
      </c>
      <c r="D50" s="37" t="s">
        <v>356</v>
      </c>
      <c r="E50" s="37" t="s">
        <v>356</v>
      </c>
      <c r="F50" s="37" t="s">
        <v>357</v>
      </c>
      <c r="G50" s="37" t="s">
        <v>358</v>
      </c>
      <c r="H50" s="37" t="s">
        <v>359</v>
      </c>
    </row>
    <row r="51" spans="1:8" x14ac:dyDescent="0.25">
      <c r="A51" s="37" t="s">
        <v>360</v>
      </c>
      <c r="B51" s="37" t="s">
        <v>361</v>
      </c>
      <c r="C51" s="37" t="s">
        <v>362</v>
      </c>
      <c r="D51" s="38" t="s">
        <v>363</v>
      </c>
      <c r="E51" s="38" t="s">
        <v>364</v>
      </c>
      <c r="F51" s="38" t="s">
        <v>365</v>
      </c>
      <c r="G51" s="38" t="s">
        <v>366</v>
      </c>
      <c r="H51" s="38" t="s">
        <v>367</v>
      </c>
    </row>
    <row r="52" spans="1:8" x14ac:dyDescent="0.25">
      <c r="A52" s="39"/>
      <c r="B52" s="39"/>
      <c r="C52" s="39"/>
      <c r="D52" s="39"/>
      <c r="E52" s="39"/>
      <c r="F52" s="39"/>
      <c r="G52" s="39"/>
      <c r="H52" s="39"/>
    </row>
    <row r="53" spans="1:8" x14ac:dyDescent="0.25">
      <c r="A53" s="39"/>
      <c r="B53" s="39"/>
      <c r="C53" s="39"/>
      <c r="D53" s="39"/>
      <c r="E53" s="39"/>
      <c r="F53" s="39"/>
      <c r="G53" s="39"/>
      <c r="H53" s="39"/>
    </row>
    <row r="54" spans="1:8" x14ac:dyDescent="0.25">
      <c r="A54" s="39"/>
      <c r="B54" s="39"/>
      <c r="C54" s="39"/>
      <c r="D54" s="39"/>
      <c r="E54" s="39"/>
      <c r="F54" s="39"/>
      <c r="G54" s="39"/>
      <c r="H54" s="39"/>
    </row>
    <row r="55" spans="1:8" x14ac:dyDescent="0.25">
      <c r="A55" s="39"/>
      <c r="B55" s="39"/>
      <c r="C55" s="39"/>
      <c r="D55" s="39"/>
      <c r="E55" s="39"/>
      <c r="F55" s="39"/>
      <c r="G55" s="39"/>
      <c r="H55" s="39"/>
    </row>
    <row r="56" spans="1:8" x14ac:dyDescent="0.25">
      <c r="A56" s="71" t="s">
        <v>90</v>
      </c>
      <c r="B56" s="71"/>
      <c r="C56" s="71"/>
      <c r="D56" s="71"/>
      <c r="E56" s="71"/>
      <c r="F56" s="71"/>
      <c r="G56" s="71"/>
      <c r="H56" s="71"/>
    </row>
    <row r="57" spans="1:8" x14ac:dyDescent="0.25">
      <c r="A57" s="71" t="s">
        <v>91</v>
      </c>
      <c r="B57" s="71"/>
      <c r="C57" s="71"/>
      <c r="D57" s="71"/>
      <c r="E57" s="71"/>
      <c r="F57" s="71"/>
      <c r="G57" s="71"/>
      <c r="H57" s="71"/>
    </row>
    <row r="58" spans="1:8" x14ac:dyDescent="0.25">
      <c r="A58" s="35"/>
      <c r="B58" s="35"/>
      <c r="C58" s="35"/>
      <c r="D58" s="35"/>
      <c r="E58" s="35"/>
      <c r="F58" s="35"/>
      <c r="G58" s="35"/>
      <c r="H58" s="35"/>
    </row>
    <row r="59" spans="1:8" x14ac:dyDescent="0.25">
      <c r="A59" s="36" t="s">
        <v>368</v>
      </c>
      <c r="B59" s="36" t="s">
        <v>369</v>
      </c>
      <c r="C59" s="36" t="s">
        <v>370</v>
      </c>
      <c r="D59" s="36" t="s">
        <v>371</v>
      </c>
      <c r="E59" s="36" t="s">
        <v>372</v>
      </c>
      <c r="F59" s="36" t="s">
        <v>373</v>
      </c>
      <c r="G59" s="36" t="s">
        <v>374</v>
      </c>
      <c r="H59" s="36" t="s">
        <v>375</v>
      </c>
    </row>
    <row r="60" spans="1:8" x14ac:dyDescent="0.25">
      <c r="A60" s="37" t="s">
        <v>376</v>
      </c>
      <c r="B60" s="37" t="s">
        <v>376</v>
      </c>
      <c r="C60" s="37" t="s">
        <v>377</v>
      </c>
      <c r="D60" s="37" t="s">
        <v>377</v>
      </c>
      <c r="E60" s="37" t="s">
        <v>378</v>
      </c>
      <c r="F60" s="37" t="s">
        <v>379</v>
      </c>
      <c r="G60" s="37" t="s">
        <v>379</v>
      </c>
      <c r="H60" s="37" t="s">
        <v>380</v>
      </c>
    </row>
    <row r="61" spans="1:8" x14ac:dyDescent="0.25">
      <c r="A61" s="37" t="s">
        <v>381</v>
      </c>
      <c r="B61" s="37" t="s">
        <v>381</v>
      </c>
      <c r="C61" s="37" t="s">
        <v>382</v>
      </c>
      <c r="D61" s="37" t="s">
        <v>383</v>
      </c>
      <c r="E61" s="37" t="s">
        <v>384</v>
      </c>
      <c r="F61" s="37" t="s">
        <v>385</v>
      </c>
      <c r="G61" s="37" t="s">
        <v>385</v>
      </c>
      <c r="H61" s="37" t="s">
        <v>386</v>
      </c>
    </row>
    <row r="62" spans="1:8" x14ac:dyDescent="0.25">
      <c r="A62" s="37" t="s">
        <v>387</v>
      </c>
      <c r="B62" s="37" t="s">
        <v>387</v>
      </c>
      <c r="C62" s="37" t="s">
        <v>388</v>
      </c>
      <c r="D62" s="37" t="s">
        <v>389</v>
      </c>
      <c r="E62" s="37" t="s">
        <v>390</v>
      </c>
      <c r="F62" s="37" t="s">
        <v>391</v>
      </c>
      <c r="G62" s="37" t="s">
        <v>391</v>
      </c>
      <c r="H62" s="37" t="s">
        <v>392</v>
      </c>
    </row>
    <row r="63" spans="1:8" x14ac:dyDescent="0.25">
      <c r="A63" s="37" t="s">
        <v>393</v>
      </c>
      <c r="B63" s="37" t="s">
        <v>394</v>
      </c>
      <c r="C63" s="37" t="s">
        <v>395</v>
      </c>
      <c r="D63" s="37" t="s">
        <v>396</v>
      </c>
      <c r="E63" s="37" t="s">
        <v>397</v>
      </c>
      <c r="F63" s="37" t="s">
        <v>398</v>
      </c>
      <c r="G63" s="37" t="s">
        <v>398</v>
      </c>
      <c r="H63" s="37" t="s">
        <v>399</v>
      </c>
    </row>
    <row r="64" spans="1:8" x14ac:dyDescent="0.25">
      <c r="A64" s="38" t="s">
        <v>400</v>
      </c>
      <c r="B64" s="38" t="s">
        <v>401</v>
      </c>
      <c r="C64" s="38" t="s">
        <v>402</v>
      </c>
      <c r="D64" s="38" t="s">
        <v>403</v>
      </c>
      <c r="E64" s="38" t="s">
        <v>404</v>
      </c>
      <c r="F64" s="38" t="s">
        <v>405</v>
      </c>
      <c r="G64" s="38" t="s">
        <v>406</v>
      </c>
      <c r="H64" s="38" t="s">
        <v>407</v>
      </c>
    </row>
    <row r="65" spans="1:8" x14ac:dyDescent="0.25">
      <c r="A65" s="40"/>
      <c r="B65" s="40"/>
      <c r="C65" s="40"/>
      <c r="D65" s="40"/>
      <c r="E65" s="40"/>
      <c r="F65" s="40"/>
      <c r="G65" s="35"/>
      <c r="H65" s="35"/>
    </row>
    <row r="66" spans="1:8" x14ac:dyDescent="0.25">
      <c r="A66" s="36" t="s">
        <v>408</v>
      </c>
      <c r="B66" s="36" t="s">
        <v>409</v>
      </c>
      <c r="C66" s="36" t="s">
        <v>410</v>
      </c>
      <c r="D66" s="36" t="s">
        <v>411</v>
      </c>
      <c r="E66" s="36" t="s">
        <v>412</v>
      </c>
      <c r="F66" s="36" t="s">
        <v>413</v>
      </c>
      <c r="G66" s="36" t="s">
        <v>414</v>
      </c>
      <c r="H66" s="36" t="s">
        <v>415</v>
      </c>
    </row>
    <row r="67" spans="1:8" x14ac:dyDescent="0.25">
      <c r="A67" s="37" t="s">
        <v>380</v>
      </c>
      <c r="B67" s="37" t="s">
        <v>416</v>
      </c>
      <c r="C67" s="37" t="s">
        <v>417</v>
      </c>
      <c r="D67" s="37" t="s">
        <v>417</v>
      </c>
      <c r="E67" s="37" t="s">
        <v>417</v>
      </c>
      <c r="F67" s="37" t="s">
        <v>418</v>
      </c>
      <c r="G67" s="37" t="s">
        <v>419</v>
      </c>
      <c r="H67" s="37" t="s">
        <v>420</v>
      </c>
    </row>
    <row r="68" spans="1:8" x14ac:dyDescent="0.25">
      <c r="A68" s="37" t="s">
        <v>386</v>
      </c>
      <c r="B68" s="37" t="s">
        <v>421</v>
      </c>
      <c r="C68" s="37" t="s">
        <v>422</v>
      </c>
      <c r="D68" s="37" t="s">
        <v>422</v>
      </c>
      <c r="E68" s="37" t="s">
        <v>423</v>
      </c>
      <c r="F68" s="37" t="s">
        <v>424</v>
      </c>
      <c r="G68" s="37" t="s">
        <v>425</v>
      </c>
      <c r="H68" s="37" t="s">
        <v>426</v>
      </c>
    </row>
    <row r="69" spans="1:8" x14ac:dyDescent="0.25">
      <c r="A69" s="37" t="s">
        <v>427</v>
      </c>
      <c r="B69" s="37" t="s">
        <v>428</v>
      </c>
      <c r="C69" s="37" t="s">
        <v>429</v>
      </c>
      <c r="D69" s="37" t="s">
        <v>429</v>
      </c>
      <c r="E69" s="37" t="s">
        <v>430</v>
      </c>
      <c r="F69" s="37" t="s">
        <v>431</v>
      </c>
      <c r="G69" s="37" t="s">
        <v>432</v>
      </c>
      <c r="H69" s="37" t="s">
        <v>433</v>
      </c>
    </row>
    <row r="70" spans="1:8" x14ac:dyDescent="0.25">
      <c r="A70" s="37" t="s">
        <v>434</v>
      </c>
      <c r="B70" s="37" t="s">
        <v>435</v>
      </c>
      <c r="C70" s="37" t="s">
        <v>436</v>
      </c>
      <c r="D70" s="37" t="s">
        <v>437</v>
      </c>
      <c r="E70" s="37" t="s">
        <v>438</v>
      </c>
      <c r="F70" s="37" t="s">
        <v>439</v>
      </c>
      <c r="G70" s="37" t="s">
        <v>440</v>
      </c>
      <c r="H70" s="37" t="s">
        <v>441</v>
      </c>
    </row>
    <row r="71" spans="1:8" x14ac:dyDescent="0.25">
      <c r="A71" s="38" t="s">
        <v>442</v>
      </c>
      <c r="B71" s="38" t="s">
        <v>443</v>
      </c>
      <c r="C71" s="38" t="s">
        <v>444</v>
      </c>
      <c r="D71" s="38" t="s">
        <v>445</v>
      </c>
      <c r="E71" s="38" t="s">
        <v>446</v>
      </c>
      <c r="F71" s="38" t="s">
        <v>447</v>
      </c>
      <c r="G71" s="38" t="s">
        <v>448</v>
      </c>
      <c r="H71" s="38" t="s">
        <v>449</v>
      </c>
    </row>
    <row r="72" spans="1:8" x14ac:dyDescent="0.25">
      <c r="A72" s="40"/>
      <c r="B72" s="40"/>
      <c r="C72" s="40"/>
      <c r="D72" s="40"/>
      <c r="E72" s="40"/>
      <c r="F72" s="40"/>
      <c r="G72" s="35"/>
      <c r="H72" s="35"/>
    </row>
    <row r="73" spans="1:8" x14ac:dyDescent="0.25">
      <c r="A73" s="36" t="s">
        <v>450</v>
      </c>
      <c r="B73" s="36" t="s">
        <v>451</v>
      </c>
      <c r="C73" s="36" t="s">
        <v>452</v>
      </c>
      <c r="D73" s="36" t="s">
        <v>453</v>
      </c>
      <c r="E73" s="36" t="s">
        <v>454</v>
      </c>
      <c r="F73" s="36" t="s">
        <v>455</v>
      </c>
      <c r="G73" s="36" t="s">
        <v>456</v>
      </c>
      <c r="H73" s="36" t="s">
        <v>457</v>
      </c>
    </row>
    <row r="74" spans="1:8" x14ac:dyDescent="0.25">
      <c r="A74" s="37" t="s">
        <v>420</v>
      </c>
      <c r="B74" s="37" t="s">
        <v>458</v>
      </c>
      <c r="C74" s="37" t="s">
        <v>458</v>
      </c>
      <c r="D74" s="37" t="s">
        <v>459</v>
      </c>
      <c r="E74" s="37" t="s">
        <v>460</v>
      </c>
      <c r="F74" s="37" t="s">
        <v>460</v>
      </c>
      <c r="G74" s="37" t="s">
        <v>461</v>
      </c>
      <c r="H74" s="37" t="s">
        <v>461</v>
      </c>
    </row>
    <row r="75" spans="1:8" x14ac:dyDescent="0.25">
      <c r="A75" s="37" t="s">
        <v>426</v>
      </c>
      <c r="B75" s="37" t="s">
        <v>462</v>
      </c>
      <c r="C75" s="37" t="s">
        <v>462</v>
      </c>
      <c r="D75" s="37" t="s">
        <v>463</v>
      </c>
      <c r="E75" s="37" t="s">
        <v>464</v>
      </c>
      <c r="F75" s="37" t="s">
        <v>464</v>
      </c>
      <c r="G75" s="37" t="s">
        <v>465</v>
      </c>
      <c r="H75" s="37" t="s">
        <v>466</v>
      </c>
    </row>
    <row r="76" spans="1:8" x14ac:dyDescent="0.25">
      <c r="A76" s="37" t="s">
        <v>433</v>
      </c>
      <c r="B76" s="37" t="s">
        <v>467</v>
      </c>
      <c r="C76" s="37" t="s">
        <v>468</v>
      </c>
      <c r="D76" s="37" t="s">
        <v>469</v>
      </c>
      <c r="E76" s="37" t="s">
        <v>470</v>
      </c>
      <c r="F76" s="37" t="s">
        <v>470</v>
      </c>
      <c r="G76" s="37" t="s">
        <v>471</v>
      </c>
      <c r="H76" s="37" t="s">
        <v>472</v>
      </c>
    </row>
    <row r="77" spans="1:8" x14ac:dyDescent="0.25">
      <c r="A77" s="37" t="s">
        <v>441</v>
      </c>
      <c r="B77" s="37" t="s">
        <v>473</v>
      </c>
      <c r="C77" s="37" t="s">
        <v>474</v>
      </c>
      <c r="D77" s="37" t="s">
        <v>475</v>
      </c>
      <c r="E77" s="37" t="s">
        <v>476</v>
      </c>
      <c r="F77" s="37" t="s">
        <v>477</v>
      </c>
      <c r="G77" s="37" t="s">
        <v>478</v>
      </c>
      <c r="H77" s="37" t="s">
        <v>479</v>
      </c>
    </row>
    <row r="78" spans="1:8" x14ac:dyDescent="0.25">
      <c r="A78" s="38" t="s">
        <v>480</v>
      </c>
      <c r="B78" s="38" t="s">
        <v>481</v>
      </c>
      <c r="C78" s="38" t="s">
        <v>482</v>
      </c>
      <c r="D78" s="38" t="s">
        <v>483</v>
      </c>
      <c r="E78" s="38" t="s">
        <v>484</v>
      </c>
      <c r="F78" s="38" t="s">
        <v>485</v>
      </c>
      <c r="G78" s="38" t="s">
        <v>486</v>
      </c>
      <c r="H78" s="38" t="s">
        <v>487</v>
      </c>
    </row>
    <row r="79" spans="1:8" x14ac:dyDescent="0.25">
      <c r="A79" s="40"/>
      <c r="B79" s="40"/>
      <c r="C79" s="40"/>
      <c r="D79" s="40"/>
      <c r="E79" s="40"/>
      <c r="F79" s="40"/>
      <c r="G79" s="35"/>
      <c r="H79" s="35"/>
    </row>
    <row r="80" spans="1:8" x14ac:dyDescent="0.25">
      <c r="A80" s="36" t="s">
        <v>488</v>
      </c>
      <c r="B80" s="36" t="s">
        <v>489</v>
      </c>
      <c r="C80" s="36" t="s">
        <v>490</v>
      </c>
      <c r="D80" s="36" t="s">
        <v>491</v>
      </c>
      <c r="E80" s="36" t="s">
        <v>492</v>
      </c>
      <c r="F80" s="36" t="s">
        <v>493</v>
      </c>
      <c r="G80" s="36" t="s">
        <v>494</v>
      </c>
      <c r="H80" s="36" t="s">
        <v>495</v>
      </c>
    </row>
    <row r="81" spans="1:8" x14ac:dyDescent="0.25">
      <c r="A81" s="37" t="s">
        <v>496</v>
      </c>
      <c r="B81" s="37" t="s">
        <v>497</v>
      </c>
      <c r="C81" s="37" t="s">
        <v>497</v>
      </c>
      <c r="D81" s="37" t="s">
        <v>498</v>
      </c>
      <c r="E81" s="37" t="s">
        <v>498</v>
      </c>
      <c r="F81" s="37" t="s">
        <v>499</v>
      </c>
      <c r="G81" s="37" t="s">
        <v>500</v>
      </c>
      <c r="H81" s="37" t="s">
        <v>500</v>
      </c>
    </row>
    <row r="82" spans="1:8" x14ac:dyDescent="0.25">
      <c r="A82" s="37" t="s">
        <v>501</v>
      </c>
      <c r="B82" s="37" t="s">
        <v>502</v>
      </c>
      <c r="C82" s="37" t="s">
        <v>502</v>
      </c>
      <c r="D82" s="37" t="s">
        <v>503</v>
      </c>
      <c r="E82" s="37" t="s">
        <v>504</v>
      </c>
      <c r="F82" s="37" t="s">
        <v>505</v>
      </c>
      <c r="G82" s="37" t="s">
        <v>506</v>
      </c>
      <c r="H82" s="37" t="s">
        <v>506</v>
      </c>
    </row>
    <row r="83" spans="1:8" x14ac:dyDescent="0.25">
      <c r="A83" s="37" t="s">
        <v>507</v>
      </c>
      <c r="B83" s="37" t="s">
        <v>508</v>
      </c>
      <c r="C83" s="37" t="s">
        <v>508</v>
      </c>
      <c r="D83" s="37" t="s">
        <v>509</v>
      </c>
      <c r="E83" s="37" t="s">
        <v>510</v>
      </c>
      <c r="F83" s="37" t="s">
        <v>511</v>
      </c>
      <c r="G83" s="37" t="s">
        <v>512</v>
      </c>
      <c r="H83" s="37" t="s">
        <v>512</v>
      </c>
    </row>
    <row r="84" spans="1:8" x14ac:dyDescent="0.25">
      <c r="A84" s="37" t="s">
        <v>513</v>
      </c>
      <c r="B84" s="37" t="s">
        <v>514</v>
      </c>
      <c r="C84" s="37" t="s">
        <v>514</v>
      </c>
      <c r="D84" s="37" t="s">
        <v>515</v>
      </c>
      <c r="E84" s="37" t="s">
        <v>516</v>
      </c>
      <c r="F84" s="37" t="s">
        <v>517</v>
      </c>
      <c r="G84" s="37" t="s">
        <v>518</v>
      </c>
      <c r="H84" s="37" t="s">
        <v>519</v>
      </c>
    </row>
    <row r="85" spans="1:8" x14ac:dyDescent="0.25">
      <c r="A85" s="38" t="s">
        <v>520</v>
      </c>
      <c r="B85" s="38" t="s">
        <v>521</v>
      </c>
      <c r="C85" s="38" t="s">
        <v>522</v>
      </c>
      <c r="D85" s="38" t="s">
        <v>523</v>
      </c>
      <c r="E85" s="38" t="s">
        <v>524</v>
      </c>
      <c r="F85" s="38" t="s">
        <v>525</v>
      </c>
      <c r="G85" s="38" t="s">
        <v>526</v>
      </c>
      <c r="H85" s="38" t="s">
        <v>527</v>
      </c>
    </row>
    <row r="86" spans="1:8" x14ac:dyDescent="0.25">
      <c r="A86" s="40"/>
      <c r="B86" s="40"/>
      <c r="C86" s="40"/>
      <c r="D86" s="40"/>
      <c r="E86" s="40"/>
      <c r="F86" s="40"/>
      <c r="G86" s="35"/>
      <c r="H86" s="35"/>
    </row>
    <row r="87" spans="1:8" x14ac:dyDescent="0.25">
      <c r="A87" s="36" t="s">
        <v>528</v>
      </c>
      <c r="B87" s="36" t="s">
        <v>529</v>
      </c>
      <c r="C87" s="36" t="s">
        <v>530</v>
      </c>
      <c r="D87" s="36" t="s">
        <v>531</v>
      </c>
      <c r="E87" s="36" t="s">
        <v>532</v>
      </c>
      <c r="F87" s="36" t="s">
        <v>533</v>
      </c>
      <c r="G87" s="36" t="s">
        <v>534</v>
      </c>
      <c r="H87" s="36" t="s">
        <v>535</v>
      </c>
    </row>
    <row r="88" spans="1:8" x14ac:dyDescent="0.25">
      <c r="A88" s="37" t="s">
        <v>536</v>
      </c>
      <c r="B88" s="37" t="s">
        <v>536</v>
      </c>
      <c r="C88" s="37" t="s">
        <v>537</v>
      </c>
      <c r="D88" s="37" t="s">
        <v>538</v>
      </c>
      <c r="E88" s="37" t="s">
        <v>538</v>
      </c>
      <c r="F88" s="37" t="s">
        <v>539</v>
      </c>
      <c r="G88" s="37" t="s">
        <v>539</v>
      </c>
      <c r="H88" s="37" t="s">
        <v>540</v>
      </c>
    </row>
    <row r="89" spans="1:8" x14ac:dyDescent="0.25">
      <c r="A89" s="37" t="s">
        <v>541</v>
      </c>
      <c r="B89" s="37" t="s">
        <v>542</v>
      </c>
      <c r="C89" s="37" t="s">
        <v>543</v>
      </c>
      <c r="D89" s="37" t="s">
        <v>544</v>
      </c>
      <c r="E89" s="37" t="s">
        <v>544</v>
      </c>
      <c r="F89" s="37" t="s">
        <v>545</v>
      </c>
      <c r="G89" s="37" t="s">
        <v>545</v>
      </c>
      <c r="H89" s="37" t="s">
        <v>546</v>
      </c>
    </row>
    <row r="90" spans="1:8" x14ac:dyDescent="0.25">
      <c r="A90" s="37" t="s">
        <v>547</v>
      </c>
      <c r="B90" s="37" t="s">
        <v>548</v>
      </c>
      <c r="C90" s="37" t="s">
        <v>549</v>
      </c>
      <c r="D90" s="37" t="s">
        <v>550</v>
      </c>
      <c r="E90" s="37" t="s">
        <v>550</v>
      </c>
      <c r="F90" s="37" t="s">
        <v>551</v>
      </c>
      <c r="G90" s="37" t="s">
        <v>552</v>
      </c>
      <c r="H90" s="37" t="s">
        <v>553</v>
      </c>
    </row>
    <row r="91" spans="1:8" x14ac:dyDescent="0.25">
      <c r="A91" s="37" t="s">
        <v>554</v>
      </c>
      <c r="B91" s="37" t="s">
        <v>555</v>
      </c>
      <c r="C91" s="37" t="s">
        <v>556</v>
      </c>
      <c r="D91" s="37" t="s">
        <v>557</v>
      </c>
      <c r="E91" s="37" t="s">
        <v>557</v>
      </c>
      <c r="F91" s="37" t="s">
        <v>558</v>
      </c>
      <c r="G91" s="37" t="s">
        <v>559</v>
      </c>
      <c r="H91" s="37" t="s">
        <v>560</v>
      </c>
    </row>
    <row r="92" spans="1:8" x14ac:dyDescent="0.25">
      <c r="A92" s="38" t="s">
        <v>561</v>
      </c>
      <c r="B92" s="38" t="s">
        <v>562</v>
      </c>
      <c r="C92" s="38" t="s">
        <v>563</v>
      </c>
      <c r="D92" s="38" t="s">
        <v>564</v>
      </c>
      <c r="E92" s="38" t="s">
        <v>565</v>
      </c>
      <c r="F92" s="38" t="s">
        <v>566</v>
      </c>
      <c r="G92" s="38" t="s">
        <v>567</v>
      </c>
      <c r="H92" s="38" t="s">
        <v>568</v>
      </c>
    </row>
    <row r="93" spans="1:8" x14ac:dyDescent="0.25">
      <c r="A93" s="40"/>
      <c r="B93" s="40"/>
      <c r="C93" s="40"/>
      <c r="D93" s="40"/>
      <c r="E93" s="40"/>
      <c r="F93" s="40"/>
      <c r="G93" s="35"/>
      <c r="H93" s="35"/>
    </row>
    <row r="94" spans="1:8" x14ac:dyDescent="0.25">
      <c r="A94" s="36" t="s">
        <v>569</v>
      </c>
      <c r="B94" s="36" t="s">
        <v>570</v>
      </c>
      <c r="C94" s="36" t="s">
        <v>571</v>
      </c>
      <c r="D94" s="36" t="s">
        <v>572</v>
      </c>
      <c r="E94" s="36" t="s">
        <v>573</v>
      </c>
      <c r="F94" s="36" t="s">
        <v>574</v>
      </c>
      <c r="G94" s="36" t="s">
        <v>575</v>
      </c>
      <c r="H94" s="36" t="s">
        <v>576</v>
      </c>
    </row>
    <row r="95" spans="1:8" x14ac:dyDescent="0.25">
      <c r="A95" s="37" t="s">
        <v>577</v>
      </c>
      <c r="B95" s="37" t="s">
        <v>577</v>
      </c>
      <c r="C95" s="37" t="s">
        <v>578</v>
      </c>
      <c r="D95" s="37" t="s">
        <v>578</v>
      </c>
      <c r="E95" s="37" t="s">
        <v>579</v>
      </c>
      <c r="F95" s="37" t="s">
        <v>580</v>
      </c>
      <c r="G95" s="37" t="s">
        <v>580</v>
      </c>
      <c r="H95" s="37" t="s">
        <v>581</v>
      </c>
    </row>
    <row r="96" spans="1:8" x14ac:dyDescent="0.25">
      <c r="A96" s="37" t="s">
        <v>582</v>
      </c>
      <c r="B96" s="37" t="s">
        <v>582</v>
      </c>
      <c r="C96" s="37" t="s">
        <v>583</v>
      </c>
      <c r="D96" s="37" t="s">
        <v>584</v>
      </c>
      <c r="E96" s="37" t="s">
        <v>585</v>
      </c>
      <c r="F96" s="37" t="s">
        <v>586</v>
      </c>
      <c r="G96" s="37" t="s">
        <v>586</v>
      </c>
      <c r="H96" s="37" t="s">
        <v>587</v>
      </c>
    </row>
    <row r="97" spans="1:8" x14ac:dyDescent="0.25">
      <c r="A97" s="37" t="s">
        <v>588</v>
      </c>
      <c r="B97" s="37" t="s">
        <v>588</v>
      </c>
      <c r="C97" s="37" t="s">
        <v>589</v>
      </c>
      <c r="D97" s="37" t="s">
        <v>590</v>
      </c>
      <c r="E97" s="37" t="s">
        <v>591</v>
      </c>
      <c r="F97" s="37" t="s">
        <v>592</v>
      </c>
      <c r="G97" s="37" t="s">
        <v>592</v>
      </c>
      <c r="H97" s="37" t="s">
        <v>593</v>
      </c>
    </row>
    <row r="98" spans="1:8" x14ac:dyDescent="0.25">
      <c r="A98" s="37" t="s">
        <v>594</v>
      </c>
      <c r="B98" s="37" t="s">
        <v>595</v>
      </c>
      <c r="C98" s="37" t="s">
        <v>596</v>
      </c>
      <c r="D98" s="37" t="s">
        <v>597</v>
      </c>
      <c r="E98" s="37" t="s">
        <v>598</v>
      </c>
      <c r="F98" s="37" t="s">
        <v>599</v>
      </c>
      <c r="G98" s="37" t="s">
        <v>599</v>
      </c>
      <c r="H98" s="37" t="s">
        <v>600</v>
      </c>
    </row>
    <row r="99" spans="1:8" x14ac:dyDescent="0.25">
      <c r="A99" s="38" t="s">
        <v>601</v>
      </c>
      <c r="B99" s="38" t="s">
        <v>602</v>
      </c>
      <c r="C99" s="38" t="s">
        <v>603</v>
      </c>
      <c r="D99" s="38" t="s">
        <v>604</v>
      </c>
      <c r="E99" s="38" t="s">
        <v>605</v>
      </c>
      <c r="F99" s="38" t="s">
        <v>606</v>
      </c>
      <c r="G99" s="38" t="s">
        <v>607</v>
      </c>
      <c r="H99" s="38" t="s">
        <v>608</v>
      </c>
    </row>
    <row r="100" spans="1:8" x14ac:dyDescent="0.25">
      <c r="A100" s="40"/>
      <c r="B100" s="40"/>
      <c r="C100" s="40"/>
      <c r="D100" s="40"/>
      <c r="E100" s="40"/>
      <c r="F100" s="40"/>
      <c r="G100" s="35"/>
      <c r="H100" s="35"/>
    </row>
    <row r="101" spans="1:8" x14ac:dyDescent="0.25">
      <c r="A101" s="36" t="s">
        <v>609</v>
      </c>
      <c r="B101" s="36" t="s">
        <v>610</v>
      </c>
      <c r="C101" s="36" t="s">
        <v>611</v>
      </c>
      <c r="D101" s="36" t="s">
        <v>612</v>
      </c>
      <c r="E101" s="36" t="s">
        <v>613</v>
      </c>
      <c r="F101" s="36" t="s">
        <v>614</v>
      </c>
      <c r="G101" s="36" t="s">
        <v>615</v>
      </c>
      <c r="H101" s="36" t="s">
        <v>616</v>
      </c>
    </row>
    <row r="102" spans="1:8" x14ac:dyDescent="0.25">
      <c r="A102" s="37" t="s">
        <v>581</v>
      </c>
      <c r="B102" s="37" t="s">
        <v>617</v>
      </c>
      <c r="C102" s="37" t="s">
        <v>618</v>
      </c>
      <c r="D102" s="37" t="s">
        <v>618</v>
      </c>
      <c r="E102" s="37" t="s">
        <v>619</v>
      </c>
      <c r="F102" s="37" t="s">
        <v>619</v>
      </c>
      <c r="G102" s="37" t="s">
        <v>620</v>
      </c>
      <c r="H102" s="37" t="s">
        <v>621</v>
      </c>
    </row>
    <row r="103" spans="1:8" x14ac:dyDescent="0.25">
      <c r="A103" s="37" t="s">
        <v>587</v>
      </c>
      <c r="B103" s="37" t="s">
        <v>622</v>
      </c>
      <c r="C103" s="37" t="s">
        <v>623</v>
      </c>
      <c r="D103" s="37" t="s">
        <v>623</v>
      </c>
      <c r="E103" s="37" t="s">
        <v>624</v>
      </c>
      <c r="F103" s="37" t="s">
        <v>625</v>
      </c>
      <c r="G103" s="37" t="s">
        <v>626</v>
      </c>
      <c r="H103" s="37" t="s">
        <v>627</v>
      </c>
    </row>
    <row r="104" spans="1:8" x14ac:dyDescent="0.25">
      <c r="A104" s="37" t="s">
        <v>628</v>
      </c>
      <c r="B104" s="37" t="s">
        <v>629</v>
      </c>
      <c r="C104" s="37" t="s">
        <v>630</v>
      </c>
      <c r="D104" s="37" t="s">
        <v>630</v>
      </c>
      <c r="E104" s="37" t="s">
        <v>631</v>
      </c>
      <c r="F104" s="37" t="s">
        <v>632</v>
      </c>
      <c r="G104" s="37" t="s">
        <v>633</v>
      </c>
      <c r="H104" s="37" t="s">
        <v>634</v>
      </c>
    </row>
    <row r="105" spans="1:8" x14ac:dyDescent="0.25">
      <c r="A105" s="37" t="s">
        <v>635</v>
      </c>
      <c r="B105" s="37" t="s">
        <v>636</v>
      </c>
      <c r="C105" s="37" t="s">
        <v>637</v>
      </c>
      <c r="D105" s="37" t="s">
        <v>638</v>
      </c>
      <c r="E105" s="37" t="s">
        <v>639</v>
      </c>
      <c r="F105" s="37" t="s">
        <v>640</v>
      </c>
      <c r="G105" s="37" t="s">
        <v>641</v>
      </c>
      <c r="H105" s="37" t="s">
        <v>642</v>
      </c>
    </row>
    <row r="106" spans="1:8" x14ac:dyDescent="0.25">
      <c r="A106" s="38" t="s">
        <v>643</v>
      </c>
      <c r="B106" s="38" t="s">
        <v>644</v>
      </c>
      <c r="C106" s="38" t="s">
        <v>645</v>
      </c>
      <c r="D106" s="38" t="s">
        <v>646</v>
      </c>
      <c r="E106" s="38" t="s">
        <v>647</v>
      </c>
      <c r="F106" s="38" t="s">
        <v>648</v>
      </c>
      <c r="G106" s="38" t="s">
        <v>649</v>
      </c>
      <c r="H106" s="38" t="s">
        <v>650</v>
      </c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Temas desarrollados</vt:lpstr>
      <vt:lpstr>Asistencia</vt:lpstr>
      <vt:lpstr>Indicadores Actitudinal</vt:lpstr>
      <vt:lpstr>La persona</vt:lpstr>
      <vt:lpstr>Habitos Saludables</vt:lpstr>
      <vt:lpstr>Proceso </vt:lpstr>
      <vt:lpstr>Escala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Christhian Keim</dc:creator>
  <cp:lastModifiedBy>Christhian Keim</cp:lastModifiedBy>
  <cp:lastPrinted>2025-06-27T14:38:50Z</cp:lastPrinted>
  <dcterms:created xsi:type="dcterms:W3CDTF">2025-05-23T12:07:34Z</dcterms:created>
  <dcterms:modified xsi:type="dcterms:W3CDTF">2025-07-03T12:10:44Z</dcterms:modified>
</cp:coreProperties>
</file>