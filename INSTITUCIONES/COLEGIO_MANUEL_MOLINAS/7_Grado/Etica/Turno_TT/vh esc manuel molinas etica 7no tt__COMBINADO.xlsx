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Prinicipal" sheetId="1" state="visible" r:id="rId1"/>
    <sheet xmlns:r="http://schemas.openxmlformats.org/officeDocument/2006/relationships" name="V1_01-PLAN_ANUAL" sheetId="2" state="visible" r:id="rId2"/>
    <sheet xmlns:r="http://schemas.openxmlformats.org/officeDocument/2006/relationships" name="V1_02-REGISTRO_DE_TEMAS" sheetId="3" state="visible" r:id="rId3"/>
    <sheet xmlns:r="http://schemas.openxmlformats.org/officeDocument/2006/relationships" name="V1_03-ASISTENCIA" sheetId="4" state="visible" r:id="rId4"/>
    <sheet xmlns:r="http://schemas.openxmlformats.org/officeDocument/2006/relationships" name="V1_04-RSA" sheetId="5" state="visible" r:id="rId5"/>
    <sheet xmlns:r="http://schemas.openxmlformats.org/officeDocument/2006/relationships" name="V1_05-BD-_CUADRO_ANECDOTICO" sheetId="6" state="visible" r:id="rId6"/>
    <sheet xmlns:r="http://schemas.openxmlformats.org/officeDocument/2006/relationships" name="V1_Detalle1" sheetId="7" state="visible" r:id="rId7"/>
    <sheet xmlns:r="http://schemas.openxmlformats.org/officeDocument/2006/relationships" name="V1_05-RESUMEN_-CUADRO_ANECDOTIC" sheetId="8" state="visible" r:id="rId8"/>
    <sheet xmlns:r="http://schemas.openxmlformats.org/officeDocument/2006/relationships" name="V1_examen" sheetId="9" state="visible" r:id="rId9"/>
    <sheet xmlns:r="http://schemas.openxmlformats.org/officeDocument/2006/relationships" name="V1_06-PROCESO" sheetId="10" state="visible" r:id="rId10"/>
    <sheet xmlns:r="http://schemas.openxmlformats.org/officeDocument/2006/relationships" name="V1_07-CALENDARIO_MEC" sheetId="11" state="visible" r:id="rId11"/>
    <sheet xmlns:r="http://schemas.openxmlformats.org/officeDocument/2006/relationships" name="V1_08-_INDICADORES_AC" sheetId="12" state="visible" r:id="rId12"/>
    <sheet xmlns:r="http://schemas.openxmlformats.org/officeDocument/2006/relationships" name="V1_Hoja4" sheetId="13" state="visible" r:id="rId13"/>
    <sheet xmlns:r="http://schemas.openxmlformats.org/officeDocument/2006/relationships" name="V1_09.Diagnostico" sheetId="14" state="visible" r:id="rId14"/>
    <sheet xmlns:r="http://schemas.openxmlformats.org/officeDocument/2006/relationships" name="V1_Escala" sheetId="15" state="visible" r:id="rId15"/>
    <sheet xmlns:r="http://schemas.openxmlformats.org/officeDocument/2006/relationships" name="V1_Datos" sheetId="16" state="visible" r:id="rId16"/>
    <sheet xmlns:r="http://schemas.openxmlformats.org/officeDocument/2006/relationships" name="V2_Prinicipal" sheetId="17" state="visible" r:id="rId17"/>
    <sheet xmlns:r="http://schemas.openxmlformats.org/officeDocument/2006/relationships" name="V2_01-PLAN_ANUAL" sheetId="18" state="visible" r:id="rId18"/>
    <sheet xmlns:r="http://schemas.openxmlformats.org/officeDocument/2006/relationships" name="V2_02-REGISTRO_DE_TEMAS" sheetId="19" state="visible" r:id="rId19"/>
    <sheet xmlns:r="http://schemas.openxmlformats.org/officeDocument/2006/relationships" name="V2_03-ASISTENCIA" sheetId="20" state="visible" r:id="rId20"/>
    <sheet xmlns:r="http://schemas.openxmlformats.org/officeDocument/2006/relationships" name="V2_04-RSA" sheetId="21" state="visible" r:id="rId21"/>
    <sheet xmlns:r="http://schemas.openxmlformats.org/officeDocument/2006/relationships" name="V2_05-BD-_CUADRO_ANECDOTICO" sheetId="22" state="visible" r:id="rId22"/>
    <sheet xmlns:r="http://schemas.openxmlformats.org/officeDocument/2006/relationships" name="V2_05-RESUMEN_-CUADRO_ANECDOTIC" sheetId="23" state="visible" r:id="rId23"/>
    <sheet xmlns:r="http://schemas.openxmlformats.org/officeDocument/2006/relationships" name="V2_Hoja5" sheetId="24" state="visible" r:id="rId24"/>
    <sheet xmlns:r="http://schemas.openxmlformats.org/officeDocument/2006/relationships" name="V2_06-PROCESO" sheetId="25" state="visible" r:id="rId25"/>
    <sheet xmlns:r="http://schemas.openxmlformats.org/officeDocument/2006/relationships" name="V2_07-CALENDARIO_MEC" sheetId="26" state="visible" r:id="rId26"/>
    <sheet xmlns:r="http://schemas.openxmlformats.org/officeDocument/2006/relationships" name="V2_08-_INDICADORES_AC" sheetId="27" state="visible" r:id="rId27"/>
    <sheet xmlns:r="http://schemas.openxmlformats.org/officeDocument/2006/relationships" name="V2_Hoja4" sheetId="28" state="visible" r:id="rId28"/>
    <sheet xmlns:r="http://schemas.openxmlformats.org/officeDocument/2006/relationships" name="V2_09.Diagnostico" sheetId="29" state="visible" r:id="rId29"/>
    <sheet xmlns:r="http://schemas.openxmlformats.org/officeDocument/2006/relationships" name="V2_Escala" sheetId="30" state="visible" r:id="rId30"/>
    <sheet xmlns:r="http://schemas.openxmlformats.org/officeDocument/2006/relationships" name="V2_Datos" sheetId="31" state="visible" r:id="rId31"/>
    <sheet xmlns:r="http://schemas.openxmlformats.org/officeDocument/2006/relationships" name="V3_Prinicipal" sheetId="32" state="visible" r:id="rId32"/>
    <sheet xmlns:r="http://schemas.openxmlformats.org/officeDocument/2006/relationships" name="V3_01-PLAN_ANUAL" sheetId="33" state="visible" r:id="rId33"/>
    <sheet xmlns:r="http://schemas.openxmlformats.org/officeDocument/2006/relationships" name="V3_02-REGISTRO_DE_TEMAS" sheetId="34" state="visible" r:id="rId34"/>
    <sheet xmlns:r="http://schemas.openxmlformats.org/officeDocument/2006/relationships" name="V3_03-ASISTENCIA" sheetId="35" state="visible" r:id="rId35"/>
    <sheet xmlns:r="http://schemas.openxmlformats.org/officeDocument/2006/relationships" name="V3_04-RSA" sheetId="36" state="visible" r:id="rId36"/>
    <sheet xmlns:r="http://schemas.openxmlformats.org/officeDocument/2006/relationships" name="V3_05-BD-_CUADRO_ANECDOTICO" sheetId="37" state="visible" r:id="rId37"/>
    <sheet xmlns:r="http://schemas.openxmlformats.org/officeDocument/2006/relationships" name="V3_05-RESUMEN_-CUADRO_ANECDOTIC" sheetId="38" state="visible" r:id="rId38"/>
    <sheet xmlns:r="http://schemas.openxmlformats.org/officeDocument/2006/relationships" name="V3_06-PROCESO" sheetId="39" state="visible" r:id="rId39"/>
    <sheet xmlns:r="http://schemas.openxmlformats.org/officeDocument/2006/relationships" name="V3_07-CALENDARIO_MEC" sheetId="40" state="visible" r:id="rId40"/>
    <sheet xmlns:r="http://schemas.openxmlformats.org/officeDocument/2006/relationships" name="V3_08-_INDICADORES_AC" sheetId="41" state="visible" r:id="rId41"/>
    <sheet xmlns:r="http://schemas.openxmlformats.org/officeDocument/2006/relationships" name="V3_Hoja4" sheetId="42" state="visible" r:id="rId42"/>
    <sheet xmlns:r="http://schemas.openxmlformats.org/officeDocument/2006/relationships" name="V3_09.Diagnostico" sheetId="43" state="visible" r:id="rId43"/>
    <sheet xmlns:r="http://schemas.openxmlformats.org/officeDocument/2006/relationships" name="V3_Escala" sheetId="44" state="visible" r:id="rId44"/>
    <sheet xmlns:r="http://schemas.openxmlformats.org/officeDocument/2006/relationships" name="V3_Datos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F800]dddd"/>
    <numFmt numFmtId="165" formatCode="yyyy-mm-dd h:mm:ss"/>
    <numFmt numFmtId="166" formatCode="[$-F800]dddd\,\ mmmm\ dd\,\ yyyy"/>
  </numFmts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26"/>
      <scheme val="minor"/>
    </font>
    <font>
      <name val="Arial"/>
      <family val="2"/>
      <b val="1"/>
      <color rgb="FF1F1F1F"/>
      <sz val="11"/>
    </font>
    <font>
      <name val="Arial"/>
      <family val="2"/>
      <color rgb="FF1F1F1F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ptos Narrow"/>
      <family val="2"/>
      <b val="1"/>
      <color theme="1"/>
      <sz val="14"/>
    </font>
    <font>
      <name val="Arial"/>
      <family val="2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2"/>
      <scheme val="minor"/>
    </font>
    <font>
      <name val="Aptos Narrow"/>
      <family val="2"/>
      <i val="1"/>
      <color theme="1"/>
      <sz val="9"/>
    </font>
    <font>
      <name val="Aptos Narrow"/>
      <family val="2"/>
      <b val="1"/>
      <color theme="1"/>
      <sz val="11"/>
    </font>
    <font>
      <name val="Calibri"/>
      <family val="2"/>
      <color theme="1"/>
      <sz val="9"/>
      <scheme val="minor"/>
    </font>
    <font>
      <name val="Arial"/>
      <family val="2"/>
      <color rgb="FF1F1F1F"/>
      <sz val="8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FF0000"/>
      <sz val="12"/>
      <scheme val="minor"/>
    </font>
    <font>
      <name val="Arial"/>
      <family val="2"/>
      <color rgb="FF1F1F1F"/>
      <sz val="9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b val="1"/>
      <i val="1"/>
      <color theme="1"/>
      <sz val="10"/>
      <u val="single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1" fillId="0" borderId="3" pivotButton="0" quotePrefix="0" xfId="0"/>
    <xf numFmtId="0" fontId="0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0" fontId="0" fillId="3" borderId="5" applyAlignment="1" pivotButton="0" quotePrefix="0" xfId="0">
      <alignment horizontal="center"/>
    </xf>
    <xf numFmtId="0" fontId="0" fillId="0" borderId="6" pivotButton="0" quotePrefix="0" xfId="0"/>
    <xf numFmtId="9" fontId="3" fillId="4" borderId="0" applyAlignment="1" pivotButton="0" quotePrefix="0" xfId="0">
      <alignment horizontal="center" vertical="center"/>
    </xf>
    <xf numFmtId="0" fontId="0" fillId="0" borderId="7" pivotButton="0" quotePrefix="0" xfId="0"/>
    <xf numFmtId="20" fontId="0" fillId="0" borderId="0" pivotButton="0" quotePrefix="0" xfId="0"/>
    <xf numFmtId="0" fontId="0" fillId="0" borderId="5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4" fillId="5" borderId="0" pivotButton="0" quotePrefix="0" xfId="0"/>
    <xf numFmtId="20" fontId="4" fillId="6" borderId="0" pivotButton="0" quotePrefix="0" xfId="0"/>
    <xf numFmtId="9" fontId="5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0" fillId="0" borderId="8" applyAlignment="1" pivotButton="0" quotePrefix="0" xfId="0">
      <alignment horizontal="center"/>
    </xf>
    <xf numFmtId="0" fontId="9" fillId="6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10" pivotButton="0" quotePrefix="0" xfId="0"/>
    <xf numFmtId="0" fontId="1" fillId="0" borderId="11" pivotButton="0" quotePrefix="0" xfId="0"/>
    <xf numFmtId="0" fontId="0" fillId="0" borderId="11" pivotButton="0" quotePrefix="0" xfId="0"/>
    <xf numFmtId="0" fontId="0" fillId="0" borderId="12" pivotButton="0" quotePrefix="0" xfId="0"/>
    <xf numFmtId="0" fontId="10" fillId="7" borderId="13" applyAlignment="1" pivotButton="0" quotePrefix="0" xfId="0">
      <alignment horizontal="left" vertical="center" wrapText="1" indent="1" readingOrder="1"/>
    </xf>
    <xf numFmtId="0" fontId="10" fillId="7" borderId="13" applyAlignment="1" pivotButton="0" quotePrefix="0" xfId="0">
      <alignment vertical="center" wrapText="1" readingOrder="1"/>
    </xf>
    <xf numFmtId="0" fontId="11" fillId="8" borderId="13" applyAlignment="1" pivotButton="0" quotePrefix="0" xfId="0">
      <alignment horizontal="left" vertical="center" wrapText="1" indent="1" readingOrder="1"/>
    </xf>
    <xf numFmtId="0" fontId="11" fillId="8" borderId="13" applyAlignment="1" pivotButton="0" quotePrefix="0" xfId="0">
      <alignment vertical="center" wrapText="1" readingOrder="1"/>
    </xf>
    <xf numFmtId="0" fontId="0" fillId="8" borderId="13" pivotButton="0" quotePrefix="0" xfId="0"/>
    <xf numFmtId="0" fontId="0" fillId="8" borderId="13" applyAlignment="1" pivotButton="0" quotePrefix="0" xfId="0">
      <alignment wrapText="1"/>
    </xf>
    <xf numFmtId="0" fontId="0" fillId="7" borderId="13" pivotButton="0" quotePrefix="0" xfId="0"/>
    <xf numFmtId="0" fontId="0" fillId="7" borderId="13" applyAlignment="1" pivotButton="0" quotePrefix="0" xfId="0">
      <alignment wrapText="1"/>
    </xf>
    <xf numFmtId="0" fontId="12" fillId="0" borderId="13" applyAlignment="1" pivotButton="0" quotePrefix="0" xfId="0">
      <alignment horizontal="center" wrapText="1"/>
    </xf>
    <xf numFmtId="0" fontId="0" fillId="0" borderId="14" pivotButton="0" quotePrefix="0" xfId="0"/>
    <xf numFmtId="0" fontId="0" fillId="0" borderId="15" pivotButton="0" quotePrefix="0" xfId="0"/>
    <xf numFmtId="0" fontId="13" fillId="0" borderId="13" applyAlignment="1" pivotButton="0" quotePrefix="0" xfId="0">
      <alignment wrapText="1"/>
    </xf>
    <xf numFmtId="0" fontId="14" fillId="0" borderId="13" applyAlignment="1" pivotButton="0" quotePrefix="0" xfId="0">
      <alignment wrapText="1"/>
    </xf>
    <xf numFmtId="164" fontId="0" fillId="0" borderId="0" pivotButton="0" quotePrefix="0" xfId="0"/>
    <xf numFmtId="14" fontId="15" fillId="0" borderId="13" applyAlignment="1" pivotButton="0" quotePrefix="0" xfId="0">
      <alignment wrapText="1"/>
    </xf>
    <xf numFmtId="0" fontId="16" fillId="0" borderId="13" applyAlignment="1" pivotButton="0" quotePrefix="0" xfId="0">
      <alignment wrapText="1"/>
    </xf>
    <xf numFmtId="0" fontId="15" fillId="0" borderId="13" applyAlignment="1" pivotButton="0" quotePrefix="0" xfId="0">
      <alignment wrapText="1"/>
    </xf>
    <xf numFmtId="0" fontId="16" fillId="2" borderId="13" applyAlignment="1" pivotButton="0" quotePrefix="0" xfId="0">
      <alignment wrapText="1"/>
    </xf>
    <xf numFmtId="0" fontId="17" fillId="0" borderId="13" applyAlignment="1" pivotButton="0" quotePrefix="0" xfId="0">
      <alignment wrapText="1"/>
    </xf>
    <xf numFmtId="0" fontId="17" fillId="2" borderId="13" applyAlignment="1" pivotButton="0" quotePrefix="0" xfId="0">
      <alignment wrapText="1"/>
    </xf>
    <xf numFmtId="0" fontId="15" fillId="3" borderId="13" applyAlignment="1" pivotButton="0" quotePrefix="0" xfId="0">
      <alignment wrapText="1"/>
    </xf>
    <xf numFmtId="0" fontId="18" fillId="0" borderId="13" applyAlignment="1" pivotButton="0" quotePrefix="0" xfId="0">
      <alignment wrapText="1"/>
    </xf>
    <xf numFmtId="14" fontId="15" fillId="9" borderId="13" applyAlignment="1" pivotButton="0" quotePrefix="0" xfId="0">
      <alignment wrapText="1"/>
    </xf>
    <xf numFmtId="0" fontId="17" fillId="9" borderId="13" applyAlignment="1" pivotButton="0" quotePrefix="0" xfId="0">
      <alignment wrapText="1"/>
    </xf>
    <xf numFmtId="0" fontId="15" fillId="9" borderId="13" applyAlignment="1" pivotButton="0" quotePrefix="0" xfId="0">
      <alignment wrapText="1"/>
    </xf>
    <xf numFmtId="0" fontId="19" fillId="0" borderId="0" pivotButton="0" quotePrefix="0" xfId="0"/>
    <xf numFmtId="9" fontId="1" fillId="0" borderId="13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10" fontId="20" fillId="0" borderId="0" pivotButton="0" quotePrefix="0" xfId="0"/>
    <xf numFmtId="0" fontId="6" fillId="0" borderId="18" pivotButton="0" quotePrefix="0" xfId="0"/>
    <xf numFmtId="0" fontId="6" fillId="0" borderId="18" applyAlignment="1" pivotButton="0" quotePrefix="0" xfId="0">
      <alignment horizontal="center"/>
    </xf>
    <xf numFmtId="0" fontId="0" fillId="0" borderId="18" pivotButton="0" quotePrefix="0" xfId="0"/>
    <xf numFmtId="0" fontId="21" fillId="0" borderId="13" applyAlignment="1" pivotButton="0" quotePrefix="0" xfId="0">
      <alignment horizontal="center" vertical="center"/>
    </xf>
    <xf numFmtId="10" fontId="22" fillId="7" borderId="13" applyAlignment="1" pivotButton="0" quotePrefix="0" xfId="0">
      <alignment horizontal="center" vertical="center" wrapText="1"/>
    </xf>
    <xf numFmtId="14" fontId="23" fillId="7" borderId="13" applyAlignment="1" pivotButton="0" quotePrefix="0" xfId="0">
      <alignment horizontal="center" vertical="center" textRotation="90" wrapText="1"/>
    </xf>
    <xf numFmtId="14" fontId="17" fillId="0" borderId="13" applyAlignment="1" pivotButton="0" quotePrefix="0" xfId="0">
      <alignment textRotation="90"/>
    </xf>
    <xf numFmtId="14" fontId="0" fillId="7" borderId="0" pivotButton="0" quotePrefix="0" xfId="0"/>
    <xf numFmtId="0" fontId="21" fillId="0" borderId="13" applyAlignment="1" pivotButton="0" quotePrefix="0" xfId="0">
      <alignment horizontal="center"/>
    </xf>
    <xf numFmtId="0" fontId="21" fillId="0" borderId="13" applyAlignment="1" pivotButton="0" quotePrefix="0" xfId="0">
      <alignment horizontal="left"/>
    </xf>
    <xf numFmtId="9" fontId="21" fillId="0" borderId="13" applyAlignment="1" pivotButton="0" quotePrefix="0" xfId="0">
      <alignment horizontal="center"/>
    </xf>
    <xf numFmtId="1" fontId="21" fillId="0" borderId="13" applyAlignment="1" pivotButton="0" quotePrefix="0" xfId="0">
      <alignment horizontal="center"/>
    </xf>
    <xf numFmtId="0" fontId="0" fillId="0" borderId="13" pivotButton="0" quotePrefix="0" xfId="0"/>
    <xf numFmtId="0" fontId="7" fillId="0" borderId="13" pivotButton="0" quotePrefix="0" xfId="0"/>
    <xf numFmtId="0" fontId="0" fillId="0" borderId="19" pivotButton="0" quotePrefix="0" xfId="0"/>
    <xf numFmtId="0" fontId="10" fillId="3" borderId="13" applyAlignment="1" pivotButton="0" quotePrefix="0" xfId="0">
      <alignment horizontal="center" vertical="center" wrapText="1" readingOrder="1"/>
    </xf>
    <xf numFmtId="0" fontId="11" fillId="0" borderId="13" applyAlignment="1" pivotButton="0" quotePrefix="0" xfId="0">
      <alignment horizontal="center" vertical="center" wrapText="1" readingOrder="1"/>
    </xf>
    <xf numFmtId="0" fontId="11" fillId="3" borderId="13" applyAlignment="1" pivotButton="0" quotePrefix="0" xfId="0">
      <alignment horizontal="center" vertical="center" wrapText="1" readingOrder="1"/>
    </xf>
    <xf numFmtId="0" fontId="24" fillId="0" borderId="13" applyAlignment="1" pivotButton="0" quotePrefix="0" xfId="0">
      <alignment horizontal="left" vertical="top" wrapText="1"/>
    </xf>
    <xf numFmtId="0" fontId="25" fillId="8" borderId="13" applyAlignment="1" pivotButton="0" quotePrefix="0" xfId="0">
      <alignment horizontal="left" vertical="center" wrapText="1" indent="1" readingOrder="1"/>
    </xf>
    <xf numFmtId="0" fontId="26" fillId="8" borderId="13" applyAlignment="1" pivotButton="0" quotePrefix="0" xfId="0">
      <alignment wrapText="1"/>
    </xf>
    <xf numFmtId="0" fontId="26" fillId="7" borderId="13" applyAlignment="1" pivotButton="0" quotePrefix="0" xfId="0">
      <alignment wrapText="1"/>
    </xf>
    <xf numFmtId="0" fontId="27" fillId="0" borderId="13" applyAlignment="1" pivotButton="0" quotePrefix="0" xfId="0">
      <alignment vertical="center"/>
    </xf>
    <xf numFmtId="0" fontId="28" fillId="0" borderId="13" pivotButton="0" quotePrefix="0" xfId="0"/>
    <xf numFmtId="0" fontId="29" fillId="0" borderId="13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21" fillId="0" borderId="13" applyAlignment="1" pivotButton="0" quotePrefix="0" xfId="0">
      <alignment horizontal="center" vertical="center" textRotation="90" wrapText="1"/>
    </xf>
    <xf numFmtId="10" fontId="22" fillId="7" borderId="13" applyAlignment="1" pivotButton="0" quotePrefix="0" xfId="0">
      <alignment horizontal="left" vertical="center" wrapText="1"/>
    </xf>
    <xf numFmtId="0" fontId="26" fillId="7" borderId="13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1" fontId="30" fillId="10" borderId="13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6" fillId="0" borderId="18" applyAlignment="1" pivotButton="0" quotePrefix="0" xfId="0">
      <alignment horizontal="center" wrapText="1"/>
    </xf>
    <xf numFmtId="10" fontId="20" fillId="0" borderId="0" applyAlignment="1" pivotButton="0" quotePrefix="0" xfId="0">
      <alignment wrapText="1"/>
    </xf>
    <xf numFmtId="0" fontId="6" fillId="0" borderId="18" applyAlignment="1" pivotButton="0" quotePrefix="0" xfId="0">
      <alignment wrapText="1"/>
    </xf>
    <xf numFmtId="0" fontId="31" fillId="2" borderId="13" applyAlignment="1" pivotButton="0" quotePrefix="0" xfId="0">
      <alignment horizontal="left" vertical="top" wrapText="1" readingOrder="1"/>
    </xf>
    <xf numFmtId="0" fontId="16" fillId="7" borderId="20" applyAlignment="1" pivotButton="0" quotePrefix="0" xfId="0">
      <alignment vertical="top" wrapText="1"/>
    </xf>
    <xf numFmtId="0" fontId="0" fillId="0" borderId="13" applyAlignment="1" pivotButton="0" quotePrefix="0" xfId="0">
      <alignment wrapText="1"/>
    </xf>
    <xf numFmtId="0" fontId="10" fillId="0" borderId="13" applyAlignment="1" pivotButton="0" quotePrefix="0" xfId="0">
      <alignment horizontal="left" vertical="center" wrapText="1" indent="1" readingOrder="1"/>
    </xf>
    <xf numFmtId="0" fontId="10" fillId="0" borderId="13" applyAlignment="1" pivotButton="0" quotePrefix="0" xfId="0">
      <alignment vertical="center" wrapText="1" readingOrder="1"/>
    </xf>
    <xf numFmtId="14" fontId="11" fillId="0" borderId="13" applyAlignment="1" pivotButton="0" quotePrefix="0" xfId="0">
      <alignment horizontal="left" vertical="center" wrapText="1" indent="1" readingOrder="1"/>
    </xf>
    <xf numFmtId="0" fontId="11" fillId="0" borderId="13" applyAlignment="1" pivotButton="0" quotePrefix="0" xfId="0">
      <alignment horizontal="left" vertical="center" wrapText="1" indent="1" readingOrder="1"/>
    </xf>
    <xf numFmtId="0" fontId="11" fillId="0" borderId="13" applyAlignment="1" pivotButton="0" quotePrefix="0" xfId="0">
      <alignment vertical="center" wrapText="1" readingOrder="1"/>
    </xf>
    <xf numFmtId="14" fontId="10" fillId="0" borderId="13" applyAlignment="1" pivotButton="0" quotePrefix="0" xfId="0">
      <alignment horizontal="left" vertical="center" wrapText="1" indent="1" readingOrder="1"/>
    </xf>
    <xf numFmtId="14" fontId="32" fillId="0" borderId="13" applyAlignment="1" pivotButton="0" quotePrefix="0" xfId="0">
      <alignment horizontal="left" vertical="center" wrapText="1" indent="1" readingOrder="1"/>
    </xf>
    <xf numFmtId="0" fontId="33" fillId="0" borderId="13" applyAlignment="1" pivotButton="0" quotePrefix="0" xfId="0">
      <alignment vertical="center" wrapText="1" readingOrder="1"/>
    </xf>
    <xf numFmtId="0" fontId="10" fillId="0" borderId="13" applyAlignment="1" pivotButton="0" quotePrefix="0" xfId="0">
      <alignment horizontal="right" vertical="center" wrapText="1" indent="1" readingOrder="1"/>
    </xf>
    <xf numFmtId="0" fontId="11" fillId="10" borderId="13" applyAlignment="1" pivotButton="0" quotePrefix="0" xfId="0">
      <alignment vertical="center" wrapText="1" readingOrder="1"/>
    </xf>
    <xf numFmtId="0" fontId="11" fillId="10" borderId="13" applyAlignment="1" pivotButton="0" quotePrefix="0" xfId="0">
      <alignment horizontal="left" vertical="center" wrapText="1" readingOrder="1"/>
    </xf>
    <xf numFmtId="0" fontId="11" fillId="10" borderId="13" applyAlignment="1" pivotButton="0" quotePrefix="0" xfId="0">
      <alignment horizontal="right" vertical="center" wrapText="1" indent="1" readingOrder="1"/>
    </xf>
    <xf numFmtId="0" fontId="11" fillId="0" borderId="13" applyAlignment="1" pivotButton="0" quotePrefix="0" xfId="0">
      <alignment horizontal="right" vertical="center" wrapText="1" indent="1" readingOrder="1"/>
    </xf>
    <xf numFmtId="0" fontId="6" fillId="0" borderId="1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8" borderId="0" pivotButton="0" quotePrefix="0" xfId="0"/>
    <xf numFmtId="0" fontId="7" fillId="8" borderId="0" applyAlignment="1" pivotButton="0" quotePrefix="0" xfId="0">
      <alignment horizontal="center"/>
    </xf>
    <xf numFmtId="9" fontId="0" fillId="0" borderId="0" pivotButton="0" quotePrefix="0" xfId="0"/>
    <xf numFmtId="0" fontId="34" fillId="0" borderId="20" applyAlignment="1" pivotButton="0" quotePrefix="0" xfId="0">
      <alignment horizontal="center" wrapText="1"/>
    </xf>
    <xf numFmtId="0" fontId="0" fillId="0" borderId="21" pivotButton="0" quotePrefix="0" xfId="0"/>
    <xf numFmtId="0" fontId="0" fillId="0" borderId="22" pivotButton="0" quotePrefix="0" xfId="0"/>
    <xf numFmtId="0" fontId="16" fillId="0" borderId="20" applyAlignment="1" pivotButton="0" quotePrefix="0" xfId="0">
      <alignment wrapText="1"/>
    </xf>
    <xf numFmtId="0" fontId="16" fillId="0" borderId="23" applyAlignment="1" pivotButton="0" quotePrefix="0" xfId="0">
      <alignment wrapText="1"/>
    </xf>
    <xf numFmtId="0" fontId="35" fillId="0" borderId="24" applyAlignment="1" pivotButton="0" quotePrefix="0" xfId="0">
      <alignment horizontal="center" wrapText="1"/>
    </xf>
    <xf numFmtId="0" fontId="35" fillId="0" borderId="25" applyAlignment="1" pivotButton="0" quotePrefix="0" xfId="0">
      <alignment horizontal="center" wrapText="1"/>
    </xf>
    <xf numFmtId="0" fontId="36" fillId="0" borderId="24" applyAlignment="1" pivotButton="0" quotePrefix="0" xfId="0">
      <alignment horizontal="center" wrapText="1"/>
    </xf>
    <xf numFmtId="0" fontId="36" fillId="0" borderId="25" applyAlignment="1" pivotButton="0" quotePrefix="0" xfId="0">
      <alignment horizontal="center" wrapText="1"/>
    </xf>
    <xf numFmtId="0" fontId="16" fillId="0" borderId="2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ESC.EXC. Manuel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Molinas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>TARDE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 xml:space="preserve">FORMACIÓN ETICA 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0" t="inlineStr">
        <is>
          <t>Capacidades</t>
        </is>
      </c>
      <c r="C1" s="30" t="inlineStr">
        <is>
          <t>Contenido</t>
        </is>
      </c>
      <c r="D1" s="30" t="inlineStr">
        <is>
          <t>Estrategias Didácticas</t>
        </is>
      </c>
      <c r="E1" s="30" t="inlineStr">
        <is>
          <t>Indicadores</t>
        </is>
      </c>
      <c r="F1" s="30" t="inlineStr">
        <is>
          <t>Estrategias evaluativas</t>
        </is>
      </c>
      <c r="G1" s="31" t="inlineStr">
        <is>
          <t>Recursos Didácticos</t>
        </is>
      </c>
    </row>
    <row r="2" ht="57" customHeight="1">
      <c r="A2" s="32" t="inlineStr">
        <is>
          <t>Persona y entorno</t>
        </is>
      </c>
      <c r="B2" s="32" t="inlineStr">
        <is>
          <t>Reflexiona acerca de la práctica de los principios y valores democráticos.</t>
        </is>
      </c>
      <c r="C2" s="32" t="inlineStr">
        <is>
          <t>Ética y Moral. Diferencias y moralidad social.</t>
        </is>
      </c>
      <c r="D2" s="32" t="inlineStr">
        <is>
          <t>- Responde preguntas.</t>
        </is>
      </c>
      <c r="E2" s="32" t="inlineStr">
        <is>
          <t>- Identifica principios éticos y morales.</t>
        </is>
      </c>
      <c r="F2" s="32" t="inlineStr">
        <is>
          <t>- Portafolio de trabajo.</t>
        </is>
      </c>
      <c r="G2" s="33" t="inlineStr">
        <is>
          <t>- Cuadernillo Serie Poty.</t>
        </is>
      </c>
    </row>
    <row r="3" ht="57" customHeight="1">
      <c r="A3" s="32" t="inlineStr">
        <is>
          <t>Persona y entorno</t>
        </is>
      </c>
      <c r="B3" s="32" t="inlineStr">
        <is>
          <t>Reflexiona acerca de la práctica de los principios y valores democráticos.</t>
        </is>
      </c>
      <c r="C3" s="32" t="inlineStr">
        <is>
          <t>Ética y Moral. Diferencias y moralidad social.</t>
        </is>
      </c>
      <c r="D3" s="32" t="inlineStr">
        <is>
          <t>- Establece diferencias entre ética y moral.</t>
        </is>
      </c>
      <c r="E3" s="32" t="inlineStr">
        <is>
          <t>- Diferencia moral y moralidad.</t>
        </is>
      </c>
      <c r="F3" s="32" t="inlineStr">
        <is>
          <t>- RSA con indicadores.</t>
        </is>
      </c>
      <c r="G3" s="33" t="inlineStr">
        <is>
          <t>- Cartulinas y pinceles.</t>
        </is>
      </c>
    </row>
    <row r="4" ht="42.75" customHeight="1">
      <c r="A4" s="32" t="inlineStr">
        <is>
          <t>Persona y entorno</t>
        </is>
      </c>
      <c r="B4" s="32" t="inlineStr">
        <is>
          <t>Reflexiona acerca de la práctica de los principios y valores democráticos.</t>
        </is>
      </c>
      <c r="C4" s="32" t="inlineStr">
        <is>
          <t>Ética y Moral. Diferencias y moralidad social.</t>
        </is>
      </c>
      <c r="D4" s="32" t="inlineStr">
        <is>
          <t>- Diseña carteles de concientización.</t>
        </is>
      </c>
      <c r="E4" s="32" t="n"/>
      <c r="F4" s="32" t="n"/>
      <c r="G4" s="33" t="n"/>
    </row>
    <row r="5" ht="57" customHeight="1">
      <c r="A5" s="32" t="inlineStr">
        <is>
          <t>Persona y entorno</t>
        </is>
      </c>
      <c r="B5" s="32" t="inlineStr">
        <is>
          <t>Analiza dilemas éticos contemporáneos y su impacto social.</t>
        </is>
      </c>
      <c r="C5" s="32" t="inlineStr">
        <is>
          <t>**Escándalos éticos de nuestro tiempo:** Pobreza, hambre y mortalidad infantil.</t>
        </is>
      </c>
      <c r="D5" s="32" t="inlineStr">
        <is>
          <t>- Análisis de noticias actuales.</t>
        </is>
      </c>
      <c r="E5" s="32" t="inlineStr">
        <is>
          <t>- Reconoce problemáticas éticas globales.</t>
        </is>
      </c>
      <c r="F5" s="32" t="inlineStr">
        <is>
          <t>- Registro de observación.</t>
        </is>
      </c>
      <c r="G5" s="33" t="inlineStr">
        <is>
          <t>- Material de lectura.</t>
        </is>
      </c>
    </row>
    <row r="6" ht="57" customHeight="1">
      <c r="A6" s="32" t="inlineStr">
        <is>
          <t>Persona y entorno</t>
        </is>
      </c>
      <c r="B6" s="32" t="inlineStr">
        <is>
          <t>Analiza dilemas éticos contemporáneos y su impacto social.</t>
        </is>
      </c>
      <c r="C6" s="32" t="inlineStr">
        <is>
          <t>**Escándalos éticos de nuestro tiempo:** Pobreza, hambre y mortalidad infantil.</t>
        </is>
      </c>
      <c r="D6" s="32" t="inlineStr">
        <is>
          <t>- Debate sobre déficit de agua potable.</t>
        </is>
      </c>
      <c r="E6" s="32" t="inlineStr">
        <is>
          <t>- Analiza causas de la mortalidad infantil.</t>
        </is>
      </c>
      <c r="F6" s="32" t="inlineStr">
        <is>
          <t>- Ensayos escritos.</t>
        </is>
      </c>
      <c r="G6" s="33" t="inlineStr">
        <is>
          <t>- Artículos de prensa.</t>
        </is>
      </c>
    </row>
    <row r="7" ht="28.5" customHeight="1">
      <c r="A7" s="32" t="inlineStr">
        <is>
          <t>Persona y entorno</t>
        </is>
      </c>
      <c r="B7" s="32" t="inlineStr">
        <is>
          <t>Analiza dilemas éticos contemporáneos y su impacto social.</t>
        </is>
      </c>
      <c r="C7" s="32" t="inlineStr">
        <is>
          <t>**Escándalos éticos de nuestro tiempo:** Pobreza, hambre y mortalidad infantil.</t>
        </is>
      </c>
      <c r="D7" s="32" t="inlineStr">
        <is>
          <t>- Elaboración de ensayos breves.</t>
        </is>
      </c>
      <c r="E7" s="32" t="n"/>
      <c r="F7" s="32" t="n"/>
      <c r="G7" s="33" t="n"/>
    </row>
    <row r="8" ht="71.25" customHeight="1">
      <c r="A8" s="32" t="inlineStr">
        <is>
          <t>Persona y entorno</t>
        </is>
      </c>
      <c r="B8" s="32" t="inlineStr">
        <is>
          <t>Comprende la importancia de la convivencia armónica en el ámbito escolar.</t>
        </is>
      </c>
      <c r="C8" s="32" t="inlineStr">
        <is>
          <t>**Acuerdos de relacionamiento:** Código de convivencia docente-estudiante.</t>
        </is>
      </c>
      <c r="D8" s="32" t="inlineStr">
        <is>
          <t>- Lluvia de ideas sobre normas.</t>
        </is>
      </c>
      <c r="E8" s="32" t="inlineStr">
        <is>
          <t>- Valora el código de convivencia.</t>
        </is>
      </c>
      <c r="F8" s="32" t="inlineStr">
        <is>
          <t>- Participación activa.</t>
        </is>
      </c>
      <c r="G8" s="33" t="inlineStr">
        <is>
          <t>- Papelógrafos.</t>
        </is>
      </c>
    </row>
    <row r="9" ht="28.5" customHeight="1">
      <c r="A9" s="32" t="inlineStr">
        <is>
          <t>Persona y entorno</t>
        </is>
      </c>
      <c r="B9" s="32" t="inlineStr">
        <is>
          <t>Comprende la importancia de la convivencia armónica en el ámbito escolar.</t>
        </is>
      </c>
      <c r="C9" s="32" t="inlineStr">
        <is>
          <t>**Acuerdos de relacionamiento:** Código de convivencia docente-estudiante.</t>
        </is>
      </c>
      <c r="D9" s="32" t="inlineStr">
        <is>
          <t>- Redacción participativa de acuerdos de aula.</t>
        </is>
      </c>
      <c r="E9" s="32" t="inlineStr">
        <is>
          <t>- Propone normas de respeto mutuo.</t>
        </is>
      </c>
      <c r="F9" s="32" t="inlineStr">
        <is>
          <t>- Documento de acuerdos.</t>
        </is>
      </c>
      <c r="G9" s="33" t="inlineStr">
        <is>
          <t>- Marcadores.</t>
        </is>
      </c>
    </row>
    <row r="10" ht="57" customHeight="1">
      <c r="A10" s="32" t="inlineStr">
        <is>
          <t>Persona y entorno</t>
        </is>
      </c>
      <c r="B10" s="32" t="inlineStr">
        <is>
          <t>Identifica situaciones de acoso escolar y propone medidas de prevención.</t>
        </is>
      </c>
      <c r="C10" s="32" t="inlineStr">
        <is>
          <t>Bullying: Concepto, tipos, causas y consecuencias.</t>
        </is>
      </c>
      <c r="D10" s="32" t="inlineStr">
        <is>
          <t>(Abordaje &gt; 2 horas)</t>
        </is>
      </c>
      <c r="E10" s="32" t="inlineStr">
        <is>
          <t>- Define tipos de bullying.</t>
        </is>
      </c>
      <c r="F10" s="32" t="inlineStr">
        <is>
          <t>- Guía de trabajo grupal.</t>
        </is>
      </c>
      <c r="G10" s="33" t="inlineStr">
        <is>
          <t>- Proyector / Videos.</t>
        </is>
      </c>
    </row>
    <row r="11" ht="60" customHeight="1">
      <c r="A11" s="34" t="inlineStr">
        <is>
          <t>Persona y entorno</t>
        </is>
      </c>
      <c r="B11" s="35" t="inlineStr">
        <is>
          <t>Identifica situaciones de acoso escolar y propone medidas de prevención.</t>
        </is>
      </c>
      <c r="C11" s="35" t="inlineStr">
        <is>
          <t>Bullying: Concepto, tipos, causas y consecuencias.</t>
        </is>
      </c>
      <c r="D11" s="35" t="inlineStr">
        <is>
          <t>- Cine debate sobre casos reales.</t>
        </is>
      </c>
      <c r="E11" s="35" t="inlineStr">
        <is>
          <t>- Identifica consecuencias psicológicas.</t>
        </is>
      </c>
      <c r="F11" s="35" t="n"/>
      <c r="G11" s="35" t="n"/>
    </row>
    <row r="12" ht="60" customHeight="1">
      <c r="A12" s="34" t="inlineStr">
        <is>
          <t>Persona y entorno</t>
        </is>
      </c>
      <c r="B12" s="35" t="inlineStr">
        <is>
          <t>Identifica situaciones de acoso escolar y propone medidas de prevención.</t>
        </is>
      </c>
      <c r="C12" s="35" t="inlineStr">
        <is>
          <t>Bullying: Concepto, tipos, causas y consecuencias.</t>
        </is>
      </c>
      <c r="D12" s="35" t="inlineStr">
        <is>
          <t>- Talleres de rol (agresor/víctima).</t>
        </is>
      </c>
      <c r="E12" s="35" t="inlineStr">
        <is>
          <t>- Propone acciones de prevención.</t>
        </is>
      </c>
      <c r="F12" s="35" t="inlineStr">
        <is>
          <t>- RSA.</t>
        </is>
      </c>
      <c r="G12" s="35" t="inlineStr">
        <is>
          <t>- Fichas de casos.</t>
        </is>
      </c>
    </row>
    <row r="13" ht="60" customHeight="1">
      <c r="A13" s="34" t="inlineStr">
        <is>
          <t>Persona y entorno</t>
        </is>
      </c>
      <c r="B13" s="35" t="inlineStr">
        <is>
          <t>Identifica situaciones de acoso escolar y propone medidas de prevención.</t>
        </is>
      </c>
      <c r="C13" s="35" t="inlineStr">
        <is>
          <t>Bullying: Concepto, tipos, causas y consecuencias.</t>
        </is>
      </c>
      <c r="D13" s="35" t="inlineStr">
        <is>
          <t>- Elaboración de protocolos de ayuda.</t>
        </is>
      </c>
      <c r="E13" s="35" t="n"/>
      <c r="F13" s="35" t="n"/>
      <c r="G13" s="35" t="n"/>
    </row>
    <row r="14" ht="60" customHeight="1">
      <c r="A14" s="34" t="inlineStr">
        <is>
          <t>Persona y entorno</t>
        </is>
      </c>
      <c r="B14" s="35" t="inlineStr">
        <is>
          <t>Aplica técnicas básicas de resolución de conflictos en situaciones cotidianas.</t>
        </is>
      </c>
      <c r="C14" s="35" t="inlineStr">
        <is>
          <t>Mediación, Negociación y Confrontación.</t>
        </is>
      </c>
      <c r="D14" s="35" t="inlineStr">
        <is>
          <t>(Abordaje &gt; 2 horas)</t>
        </is>
      </c>
      <c r="E14" s="35" t="inlineStr">
        <is>
          <t>- Diferencia mediación de negociación.</t>
        </is>
      </c>
      <c r="F14" s="35" t="inlineStr">
        <is>
          <t>- Evaluación de desempeño (Role-play).</t>
        </is>
      </c>
      <c r="G14" s="35" t="inlineStr">
        <is>
          <t>- Guiones de casos.</t>
        </is>
      </c>
    </row>
    <row r="15" ht="60" customHeight="1">
      <c r="A15" s="34" t="inlineStr">
        <is>
          <t>Persona y entorno</t>
        </is>
      </c>
      <c r="B15" s="35" t="inlineStr">
        <is>
          <t>Aplica técnicas básicas de resolución de conflictos en situaciones cotidianas.</t>
        </is>
      </c>
      <c r="C15" s="35" t="inlineStr">
        <is>
          <t>Mediación, Negociación y Confrontación.</t>
        </is>
      </c>
      <c r="D15" s="35" t="inlineStr">
        <is>
          <t>- Simulacros de mediación escolar.</t>
        </is>
      </c>
      <c r="E15" s="35" t="n"/>
      <c r="F15" s="35" t="n"/>
      <c r="G15" s="35" t="n"/>
    </row>
    <row r="16" ht="60" customHeight="1">
      <c r="A16" s="34" t="inlineStr">
        <is>
          <t>Persona y entorno</t>
        </is>
      </c>
      <c r="B16" s="35" t="inlineStr">
        <is>
          <t>Aplica técnicas básicas de resolución de conflictos en situaciones cotidianas.</t>
        </is>
      </c>
      <c r="C16" s="35" t="inlineStr">
        <is>
          <t>Mediación, Negociación y Confrontación.</t>
        </is>
      </c>
      <c r="D16" s="35" t="inlineStr">
        <is>
          <t>- Ejercicios de comunicación asertiva.</t>
        </is>
      </c>
      <c r="E16" s="35" t="inlineStr">
        <is>
          <t>- Aplica pasos de la negociación asertiva.</t>
        </is>
      </c>
      <c r="F16" s="35" t="n"/>
      <c r="G16" s="35" t="inlineStr">
        <is>
          <t>- Pizarra.</t>
        </is>
      </c>
    </row>
    <row r="17" ht="60" customHeight="1">
      <c r="A17" s="34" t="inlineStr">
        <is>
          <t>Persona y entorno</t>
        </is>
      </c>
      <c r="B17" s="35" t="inlineStr">
        <is>
          <t>Aplica técnicas básicas de resolución de conflictos en situaciones cotidianas.</t>
        </is>
      </c>
      <c r="C17" s="35" t="inlineStr">
        <is>
          <t>Mediación, Negociación y Confrontación.</t>
        </is>
      </c>
      <c r="D17" s="35" t="inlineStr">
        <is>
          <t>- Análisis de casos de conflicto.</t>
        </is>
      </c>
      <c r="E17" s="35" t="n"/>
      <c r="F17" s="35" t="n"/>
      <c r="G17" s="35" t="n"/>
    </row>
    <row r="18" ht="45" customHeight="1">
      <c r="A18" s="36" t="inlineStr">
        <is>
          <t>La Familia</t>
        </is>
      </c>
      <c r="B18" s="37" t="inlineStr">
        <is>
          <t>Analiza la situación socioeconómica de las familias paraguayas.</t>
        </is>
      </c>
      <c r="C18" s="37" t="inlineStr">
        <is>
          <t>Pobreza y Canasta Básica Familiar.</t>
        </is>
      </c>
      <c r="D18" s="37" t="inlineStr">
        <is>
          <t>- Investigación de precios actuales.</t>
        </is>
      </c>
      <c r="E18" s="37" t="inlineStr">
        <is>
          <t>- Define el concepto de canasta básica.</t>
        </is>
      </c>
      <c r="F18" s="37" t="inlineStr">
        <is>
          <t>- Informe de investigación.</t>
        </is>
      </c>
      <c r="G18" s="37" t="inlineStr">
        <is>
          <t>- Datos estadísticos.</t>
        </is>
      </c>
    </row>
    <row r="19" ht="45" customHeight="1">
      <c r="A19" s="36" t="inlineStr">
        <is>
          <t>La Familia</t>
        </is>
      </c>
      <c r="B19" s="37" t="inlineStr">
        <is>
          <t>Analiza la situación socioeconómica de las familias paraguayas.</t>
        </is>
      </c>
      <c r="C19" s="37" t="inlineStr">
        <is>
          <t>Pobreza y Canasta Básica Familiar.</t>
        </is>
      </c>
      <c r="D19" s="37" t="inlineStr">
        <is>
          <t>- Comparación de ingresos y costos básicos.</t>
        </is>
      </c>
      <c r="E19" s="37" t="inlineStr">
        <is>
          <t>- Analiza el impacto de la pobreza.</t>
        </is>
      </c>
      <c r="F19" s="37" t="inlineStr">
        <is>
          <t>- Cuadro comparativo.</t>
        </is>
      </c>
      <c r="G19" s="37" t="inlineStr">
        <is>
          <t>- Calculadora.</t>
        </is>
      </c>
    </row>
    <row r="20" ht="45" customHeight="1">
      <c r="A20" s="36" t="inlineStr">
        <is>
          <t>La Familia</t>
        </is>
      </c>
      <c r="B20" s="37" t="inlineStr">
        <is>
          <t>Reconoce factores que inciden en la violencia intrafamiliar.</t>
        </is>
      </c>
      <c r="C20" s="37" t="inlineStr">
        <is>
          <t>Violencia Intrafamiliar: Causas y prevención.</t>
        </is>
      </c>
      <c r="D20" s="37" t="inlineStr">
        <is>
          <t>(Abordaje &gt; 2 horas)</t>
        </is>
      </c>
      <c r="E20" s="37" t="inlineStr">
        <is>
          <t>- Identifica tipos de violencia familiar.</t>
        </is>
      </c>
      <c r="F20" s="37" t="inlineStr">
        <is>
          <t>- Cuestionario reflexivo.</t>
        </is>
      </c>
      <c r="G20" s="37" t="inlineStr">
        <is>
          <t>- Trípticos informativos.</t>
        </is>
      </c>
    </row>
    <row r="21" ht="45" customHeight="1">
      <c r="A21" s="36" t="inlineStr">
        <is>
          <t>La Familia</t>
        </is>
      </c>
      <c r="B21" s="37" t="inlineStr">
        <is>
          <t>Reconoce factores que inciden en la violencia intrafamiliar.</t>
        </is>
      </c>
      <c r="C21" s="37" t="inlineStr">
        <is>
          <t>Violencia Intrafamiliar: Causas y prevención.</t>
        </is>
      </c>
      <c r="D21" s="37" t="inlineStr">
        <is>
          <t>- Charla con especialistas o videos informativos.</t>
        </is>
      </c>
      <c r="E21" s="37" t="inlineStr">
        <is>
          <t>- Conoce rutas de denuncia en Paraguay.</t>
        </is>
      </c>
      <c r="F21" s="37" t="inlineStr">
        <is>
          <t>- RSA.</t>
        </is>
      </c>
      <c r="G21" s="37" t="inlineStr">
        <is>
          <t>- Proyector.</t>
        </is>
      </c>
    </row>
    <row r="22" ht="45" customHeight="1">
      <c r="A22" s="36" t="inlineStr">
        <is>
          <t>La Familia</t>
        </is>
      </c>
      <c r="B22" s="37" t="inlineStr">
        <is>
          <t>Reconoce factores que inciden en la violencia intrafamiliar.</t>
        </is>
      </c>
      <c r="C22" s="37" t="inlineStr">
        <is>
          <t>Violencia Intrafamiliar: Causas y prevención.</t>
        </is>
      </c>
      <c r="D22" s="37" t="inlineStr">
        <is>
          <t>- Análisis de la Ley contra violencia doméstica.</t>
        </is>
      </c>
      <c r="E22" s="37" t="n"/>
      <c r="F22" s="37" t="n"/>
      <c r="G22" s="37" t="n"/>
    </row>
    <row r="23" ht="45" customHeight="1">
      <c r="A23" s="36" t="inlineStr">
        <is>
          <t>La Familia</t>
        </is>
      </c>
      <c r="B23" s="37" t="inlineStr">
        <is>
          <t>Reconoce factores que inciden en la violencia intrafamiliar.</t>
        </is>
      </c>
      <c r="C23" s="37" t="inlineStr">
        <is>
          <t>Violencia Intrafamiliar: Causas y prevención.</t>
        </is>
      </c>
      <c r="D23" s="37" t="inlineStr">
        <is>
          <t>- Mapa de instituciones de denuncia.</t>
        </is>
      </c>
      <c r="E23" s="37" t="n"/>
      <c r="F23" s="37" t="n"/>
      <c r="G23" s="37" t="n"/>
    </row>
    <row r="24" ht="60" customHeight="1">
      <c r="A24" s="34" t="inlineStr">
        <is>
          <t>Derechos Humanos</t>
        </is>
      </c>
      <c r="B24" s="35" t="inlineStr">
        <is>
          <t>Reconoce los principios básicos que rigen los Derechos Humanos.</t>
        </is>
      </c>
      <c r="C24" s="35" t="inlineStr">
        <is>
          <t>Principios de los DD.HH.: Universalidad, progresividad e irreversibilidad.</t>
        </is>
      </c>
      <c r="D24" s="35" t="inlineStr">
        <is>
          <t>(Abordaje &gt; 2 horas)</t>
        </is>
      </c>
      <c r="E24" s="35" t="inlineStr">
        <is>
          <t>- Explica la universalidad de los derechos.</t>
        </is>
      </c>
      <c r="F24" s="35" t="inlineStr">
        <is>
          <t>- Mapa conceptual.</t>
        </is>
      </c>
      <c r="G24" s="35" t="inlineStr">
        <is>
          <t>- Constitución Nacional.</t>
        </is>
      </c>
    </row>
    <row r="25" ht="60" customHeight="1">
      <c r="A25" s="34" t="inlineStr">
        <is>
          <t>Derechos Humanos</t>
        </is>
      </c>
      <c r="B25" s="35" t="inlineStr">
        <is>
          <t>Reconoce los principios básicos que rigen los Derechos Humanos.</t>
        </is>
      </c>
      <c r="C25" s="35" t="inlineStr">
        <is>
          <t>Principios de los DD.HH.: Universalidad, progresividad e irreversibilidad.</t>
        </is>
      </c>
      <c r="D25" s="35" t="inlineStr">
        <is>
          <t>- Lectura comprensiva de la Declaración Universal.</t>
        </is>
      </c>
      <c r="E25" s="35" t="n"/>
      <c r="F25" s="35" t="n"/>
      <c r="G25" s="35" t="n"/>
    </row>
    <row r="26" ht="60" customHeight="1">
      <c r="A26" s="34" t="inlineStr">
        <is>
          <t>Derechos Humanos</t>
        </is>
      </c>
      <c r="B26" s="35" t="inlineStr">
        <is>
          <t>Reconoce los principios básicos que rigen los Derechos Humanos.</t>
        </is>
      </c>
      <c r="C26" s="35" t="inlineStr">
        <is>
          <t>Principios de los DD.HH.: Universalidad, progresividad e irreversibilidad.</t>
        </is>
      </c>
      <c r="D26" s="35" t="inlineStr">
        <is>
          <t>- Análisis de casos históricos.</t>
        </is>
      </c>
      <c r="E26" s="35" t="inlineStr">
        <is>
          <t>- Distingue progresividad de irreversibilidad.</t>
        </is>
      </c>
      <c r="F26" s="35" t="inlineStr">
        <is>
          <t>- Prueba escrita formativa.</t>
        </is>
      </c>
      <c r="G26" s="35" t="inlineStr">
        <is>
          <t>- Textos guía.</t>
        </is>
      </c>
    </row>
    <row r="27" ht="60" customHeight="1">
      <c r="A27" s="34" t="inlineStr">
        <is>
          <t>Derechos Humanos</t>
        </is>
      </c>
      <c r="B27" s="35" t="inlineStr">
        <is>
          <t>Reconoce los principios básicos que rigen los Derechos Humanos.</t>
        </is>
      </c>
      <c r="C27" s="35" t="inlineStr">
        <is>
          <t>Principios de los DD.HH.: Universalidad, progresividad e irreversibilidad.</t>
        </is>
      </c>
      <c r="D27" s="35" t="inlineStr">
        <is>
          <t>- Debate sobre la temporalidad de los derechos.</t>
        </is>
      </c>
      <c r="E27" s="35" t="n"/>
      <c r="F27" s="35" t="n"/>
      <c r="G27" s="35" t="n"/>
    </row>
    <row r="28" ht="60" customHeight="1">
      <c r="A28" s="34" t="inlineStr">
        <is>
          <t>Derechos Humanos</t>
        </is>
      </c>
      <c r="B28" s="35" t="inlineStr">
        <is>
          <t>Analiza situaciones de vulneración de derechos en la niñez y adolescencia.</t>
        </is>
      </c>
      <c r="C28" s="35" t="inlineStr">
        <is>
          <t>**Causas de explotación:** Sexual, laboral y trabajos forzados.</t>
        </is>
      </c>
      <c r="D28" s="35" t="inlineStr">
        <is>
          <t>- Análisis de estadísticas nacionales.</t>
        </is>
      </c>
      <c r="E28" s="35" t="inlineStr">
        <is>
          <t>- Reconoce formas de explotación infantil.</t>
        </is>
      </c>
      <c r="F28" s="35" t="inlineStr">
        <is>
          <t>- Murales preventivos.</t>
        </is>
      </c>
      <c r="G28" s="35" t="inlineStr">
        <is>
          <t>- Afiches.</t>
        </is>
      </c>
    </row>
    <row r="29" ht="60" customHeight="1">
      <c r="A29" s="34" t="inlineStr">
        <is>
          <t>Derechos Humanos</t>
        </is>
      </c>
      <c r="B29" s="35" t="inlineStr">
        <is>
          <t>Analiza situaciones de vulneración de derechos en la niñez y adolescencia.</t>
        </is>
      </c>
      <c r="C29" s="35" t="inlineStr">
        <is>
          <t>**Causas de explotación:** Sexual, laboral y trabajos forzados.</t>
        </is>
      </c>
      <c r="D29" s="35" t="inlineStr">
        <is>
          <t>- Identificación de señales de riesgo.</t>
        </is>
      </c>
      <c r="E29" s="35" t="inlineStr">
        <is>
          <t>- Valora la protección contra el trabajo forzado.</t>
        </is>
      </c>
      <c r="F29" s="35" t="inlineStr">
        <is>
          <t>- Portafolio.</t>
        </is>
      </c>
      <c r="G29" s="35" t="inlineStr">
        <is>
          <t>- Material audiovisual.</t>
        </is>
      </c>
    </row>
    <row r="30" ht="60" customHeight="1">
      <c r="A30" s="34" t="inlineStr">
        <is>
          <t>Derechos Humanos</t>
        </is>
      </c>
      <c r="B30" s="35" t="inlineStr">
        <is>
          <t>Analiza situaciones de vulneración de derechos en la niñez y adolescencia.</t>
        </is>
      </c>
      <c r="C30" s="35" t="inlineStr">
        <is>
          <t>**Causas de explotación:** Sexual, laboral y trabajos forzados.</t>
        </is>
      </c>
      <c r="D30" s="35" t="inlineStr">
        <is>
          <t>- Elaboración de campañas preventivas.</t>
        </is>
      </c>
      <c r="E30" s="35" t="n"/>
      <c r="F30" s="35" t="n"/>
      <c r="G30" s="35" t="n"/>
    </row>
    <row r="31" ht="45" customHeight="1">
      <c r="A31" s="36" t="inlineStr">
        <is>
          <t>Democracia y Estado</t>
        </is>
      </c>
      <c r="B31" s="37" t="inlineStr">
        <is>
          <t>Analiza la situación de la mujer en la estructura social actual.</t>
        </is>
      </c>
      <c r="C31" s="37" t="inlineStr">
        <is>
          <t>**Pobreza, desigualdad y exclusión a la mujer.**</t>
        </is>
      </c>
      <c r="D31" s="37" t="inlineStr">
        <is>
          <t>- Debate sobre brecha salarial y acceso a educación.</t>
        </is>
      </c>
      <c r="E31" s="37" t="inlineStr">
        <is>
          <t>- Identifica factores de exclusión femenina.</t>
        </is>
      </c>
      <c r="F31" s="37" t="inlineStr">
        <is>
          <t>- RSA.</t>
        </is>
      </c>
      <c r="G31" s="37" t="inlineStr">
        <is>
          <t>- Material de lectura.</t>
        </is>
      </c>
    </row>
    <row r="32" ht="45" customHeight="1">
      <c r="A32" s="36" t="inlineStr">
        <is>
          <t>Democracia y Estado</t>
        </is>
      </c>
      <c r="B32" s="37" t="inlineStr">
        <is>
          <t>Analiza la situación de la mujer en la estructura social actual.</t>
        </is>
      </c>
      <c r="C32" s="37" t="inlineStr">
        <is>
          <t>**Pobreza, desigualdad y exclusión a la mujer.**</t>
        </is>
      </c>
      <c r="D32" s="37" t="inlineStr">
        <is>
          <t>- Biografías de mujeres líderes en Paraguay.</t>
        </is>
      </c>
      <c r="E32" s="37" t="inlineStr">
        <is>
          <t>- Propone acciones para la igualdad.</t>
        </is>
      </c>
      <c r="F32" s="37" t="inlineStr">
        <is>
          <t>- Debate dirigido.</t>
        </is>
      </c>
      <c r="G32" s="37" t="inlineStr">
        <is>
          <t>- Artículos de género.</t>
        </is>
      </c>
    </row>
    <row r="33" ht="60" customHeight="1">
      <c r="A33" s="36" t="inlineStr">
        <is>
          <t>Democracia y Estado</t>
        </is>
      </c>
      <c r="B33" s="37" t="inlineStr">
        <is>
          <t>Analiza el Sistema Tributario en función al fortalecimiento institucional.</t>
        </is>
      </c>
      <c r="C33" s="37" t="inlineStr">
        <is>
          <t>Sistema Tributario y funciones de la S.E.T.</t>
        </is>
      </c>
      <c r="D33" s="37" t="inlineStr">
        <is>
          <t>(Abordaje &gt; 2 horas)</t>
        </is>
      </c>
      <c r="E33" s="37" t="inlineStr">
        <is>
          <t>- Identifica la función tributaria.</t>
        </is>
      </c>
      <c r="F33" s="37" t="inlineStr">
        <is>
          <t>- Ejercicios prácticos.</t>
        </is>
      </c>
      <c r="G33" s="37" t="inlineStr">
        <is>
          <t>- Formularios de práctica.</t>
        </is>
      </c>
    </row>
    <row r="34" ht="60" customHeight="1">
      <c r="A34" s="36" t="inlineStr">
        <is>
          <t>Democracia y Estado</t>
        </is>
      </c>
      <c r="B34" s="37" t="inlineStr">
        <is>
          <t>Analiza el Sistema Tributario en función al fortalecimiento institucional.</t>
        </is>
      </c>
      <c r="C34" s="37" t="inlineStr">
        <is>
          <t>Sistema Tributario y funciones de la S.E.T.</t>
        </is>
      </c>
      <c r="D34" s="37" t="inlineStr">
        <is>
          <t>- Taller sobre el IVA y su importancia social.</t>
        </is>
      </c>
      <c r="E34" s="37" t="n"/>
      <c r="F34" s="37" t="n"/>
      <c r="G34" s="37" t="n"/>
    </row>
    <row r="35" ht="60" customHeight="1">
      <c r="A35" s="36" t="inlineStr">
        <is>
          <t>Democracia y Estado</t>
        </is>
      </c>
      <c r="B35" s="37" t="inlineStr">
        <is>
          <t>Analiza el Sistema Tributario en función al fortalecimiento institucional.</t>
        </is>
      </c>
      <c r="C35" s="37" t="inlineStr">
        <is>
          <t>Sistema Tributario y funciones de la S.E.T.</t>
        </is>
      </c>
      <c r="D35" s="37" t="inlineStr">
        <is>
          <t>- Visita virtual o análisis de la página de la SET.</t>
        </is>
      </c>
      <c r="E35" s="37" t="inlineStr">
        <is>
          <t>- Valora la función social de los tributos.</t>
        </is>
      </c>
      <c r="F35" s="37" t="inlineStr">
        <is>
          <t>- Portafolio.</t>
        </is>
      </c>
      <c r="G35" s="37" t="inlineStr">
        <is>
          <t>- Internet.</t>
        </is>
      </c>
    </row>
    <row r="36" ht="60" customHeight="1">
      <c r="A36" s="36" t="inlineStr">
        <is>
          <t>Democracia y Estado</t>
        </is>
      </c>
      <c r="B36" s="37" t="inlineStr">
        <is>
          <t>Analiza el Sistema Tributario en función al fortalecimiento institucional.</t>
        </is>
      </c>
      <c r="C36" s="37" t="inlineStr">
        <is>
          <t>Sistema Tributario y funciones de la S.E.T.</t>
        </is>
      </c>
      <c r="D36" s="37" t="inlineStr">
        <is>
          <t>- Ejercicios de cálculo básico de impuestos.</t>
        </is>
      </c>
      <c r="E36" s="37" t="n"/>
      <c r="F36" s="37" t="n"/>
      <c r="G36" s="37" t="n"/>
    </row>
    <row r="37" ht="60" customHeight="1">
      <c r="A37" s="36" t="inlineStr">
        <is>
          <t>Democracia y Estado</t>
        </is>
      </c>
      <c r="B37" s="37" t="inlineStr">
        <is>
          <t>Analiza la estructura y funciones de los organismos del Estado.</t>
        </is>
      </c>
      <c r="C37" s="37" t="inlineStr">
        <is>
          <t>Ministerio de Hacienda y Autoridades Locales (Intendencias/Gobernaciones).</t>
        </is>
      </c>
      <c r="D37" s="37" t="inlineStr">
        <is>
          <t>- Elaboración de organigrama del Estado.</t>
        </is>
      </c>
      <c r="E37" s="37" t="inlineStr">
        <is>
          <t>- Reconoce funciones del Ministerio de Hacienda.</t>
        </is>
      </c>
      <c r="F37" s="37" t="inlineStr">
        <is>
          <t>- Mapa conceptual.</t>
        </is>
      </c>
      <c r="G37" s="37" t="inlineStr">
        <is>
          <t>- Organigrama estatal.</t>
        </is>
      </c>
    </row>
    <row r="38" ht="60" customHeight="1">
      <c r="A38" s="36" t="inlineStr">
        <is>
          <t>Democracia y Estado</t>
        </is>
      </c>
      <c r="B38" s="37" t="inlineStr">
        <is>
          <t>Analiza la estructura y funciones de los organismos del Estado.</t>
        </is>
      </c>
      <c r="C38" s="37" t="inlineStr">
        <is>
          <t>Ministerio de Hacienda y Autoridades Locales (Intendencias/Gobernaciones).</t>
        </is>
      </c>
      <c r="D38" s="37" t="inlineStr">
        <is>
          <t>- Investigación sobre funciones municipales.</t>
        </is>
      </c>
      <c r="E38" s="37" t="inlineStr">
        <is>
          <t>- Diferencia roles de Intendentes y Gobernadores.</t>
        </is>
      </c>
      <c r="F38" s="37" t="inlineStr">
        <is>
          <t>- RSA.</t>
        </is>
      </c>
      <c r="G38" s="37" t="inlineStr">
        <is>
          <t>- Páginas web oficiales.</t>
        </is>
      </c>
    </row>
    <row r="39" ht="60" customHeight="1">
      <c r="A39" s="36" t="inlineStr">
        <is>
          <t>Democracia y Estado</t>
        </is>
      </c>
      <c r="B39" s="37" t="inlineStr">
        <is>
          <t>Analiza la estructura y funciones de los organismos del Estado.</t>
        </is>
      </c>
      <c r="C39" s="37" t="inlineStr">
        <is>
          <t>Ministerio de Hacienda y Autoridades Locales (Intendencias/Gobernaciones).</t>
        </is>
      </c>
      <c r="D39" s="37" t="inlineStr">
        <is>
          <t>- Entrevista a autoridades o análisis de gestión.</t>
        </is>
      </c>
      <c r="E39" s="37" t="n"/>
      <c r="F39" s="37" t="n"/>
      <c r="G39" s="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0.85546875" customWidth="1" min="1" max="1"/>
    <col width="14.28515625" customWidth="1" min="2" max="2"/>
    <col width="35.140625" customWidth="1" min="3" max="3"/>
    <col width="21.42578125" customWidth="1" min="4" max="4"/>
    <col width="29.140625" customWidth="1" min="5" max="5"/>
    <col width="26.7109375" customWidth="1" min="7" max="7"/>
    <col width="11.28515625" customWidth="1" min="8" max="8"/>
  </cols>
  <sheetData>
    <row r="1" ht="18" customHeight="1">
      <c r="B1" s="38" t="inlineStr">
        <is>
          <t>PLANILLA DE EJECUCIÓN DE CLASES</t>
        </is>
      </c>
      <c r="C1" s="39" t="n"/>
      <c r="D1" s="40" t="n"/>
      <c r="E1" t="n">
        <v>2026</v>
      </c>
    </row>
    <row r="2" ht="18.75" customHeight="1">
      <c r="B2" s="41" t="n"/>
      <c r="C2" s="42" t="inlineStr">
        <is>
          <t>Plan de Clases</t>
        </is>
      </c>
      <c r="D2" s="41" t="inlineStr">
        <is>
          <t>ESTADO</t>
        </is>
      </c>
      <c r="E2" s="41" t="inlineStr">
        <is>
          <t xml:space="preserve">Ejecutado </t>
        </is>
      </c>
    </row>
    <row r="3" ht="29.25" customHeight="1">
      <c r="A3" s="43">
        <f>+B3</f>
        <v/>
      </c>
      <c r="B3" s="44" t="n">
        <v>46079</v>
      </c>
      <c r="C3" s="45" t="n"/>
      <c r="D3" s="46">
        <f>IFERROR(VLOOKUP(B3, fechaMEC, 3, FALSE), "Clase Normal")</f>
        <v/>
      </c>
      <c r="E3" s="46">
        <f>IFERROR(VLOOKUP(B3, fechaMEC, 2, FALSE), "Ejecutado")</f>
        <v/>
      </c>
    </row>
    <row r="4">
      <c r="A4" s="43">
        <f>+B4</f>
        <v/>
      </c>
      <c r="B4" s="44" t="n">
        <v>46086</v>
      </c>
      <c r="C4" s="45" t="inlineStr">
        <is>
          <t xml:space="preserve">Dinamica -concepto de etica y moral </t>
        </is>
      </c>
      <c r="D4" s="46">
        <f>IFERROR(VLOOKUP(B4, fechaMEC, 3, FALSE), "Clase Normal")</f>
        <v/>
      </c>
      <c r="E4" s="46">
        <f>IFERROR(VLOOKUP(B4, fechaMEC, 2, FALSE), "Ejecutado")</f>
        <v/>
      </c>
    </row>
    <row r="5">
      <c r="A5" s="43">
        <f>+B5</f>
        <v/>
      </c>
      <c r="B5" s="44" t="n">
        <v>46093</v>
      </c>
      <c r="C5" s="45" t="inlineStr">
        <is>
          <t xml:space="preserve">concepto de etica y moral </t>
        </is>
      </c>
      <c r="D5" s="46">
        <f>IFERROR(VLOOKUP(B5, fechaMEC, 3, FALSE), "Clase Normal")</f>
        <v/>
      </c>
      <c r="E5" s="46">
        <f>IFERROR(VLOOKUP(B5, fechaMEC, 2, FALSE), "Ejecutado")</f>
        <v/>
      </c>
    </row>
    <row r="6">
      <c r="A6" s="43">
        <f>+B6</f>
        <v/>
      </c>
      <c r="B6" s="44" t="n">
        <v>46100</v>
      </c>
      <c r="C6" s="45" t="inlineStr">
        <is>
          <t xml:space="preserve">concepto de etica y moral </t>
        </is>
      </c>
      <c r="D6" s="46">
        <f>IFERROR(VLOOKUP(B6, fechaMEC, 3, FALSE), "Clase Normal")</f>
        <v/>
      </c>
      <c r="E6" s="46">
        <f>IFERROR(VLOOKUP(B6, fechaMEC, 2, FALSE), "Ejecutado")</f>
        <v/>
      </c>
    </row>
    <row r="7">
      <c r="A7" s="43">
        <f>+B7</f>
        <v/>
      </c>
      <c r="B7" s="44" t="n">
        <v>46107</v>
      </c>
      <c r="C7" s="45" t="inlineStr">
        <is>
          <t>Moralidad y normas morales</t>
        </is>
      </c>
      <c r="D7" s="46">
        <f>IFERROR(VLOOKUP(B7, fechaMEC, 3, FALSE), "Clase Normal")</f>
        <v/>
      </c>
      <c r="E7" s="46">
        <f>IFERROR(VLOOKUP(B7, fechaMEC, 2, FALSE), "Ejecutado")</f>
        <v/>
      </c>
    </row>
    <row r="8">
      <c r="A8" s="43">
        <f>+B8</f>
        <v/>
      </c>
      <c r="B8" s="44" t="n">
        <v>46114</v>
      </c>
      <c r="C8" s="47" t="n"/>
      <c r="D8" s="46">
        <f>IFERROR(VLOOKUP(B8, fechaMEC, 3, FALSE), "Clase Normal")</f>
        <v/>
      </c>
      <c r="E8" s="46">
        <f>IFERROR(VLOOKUP(B8, fechaMEC, 2, FALSE), "Ejecutado")</f>
        <v/>
      </c>
    </row>
    <row r="9">
      <c r="A9" s="43">
        <f>+B9</f>
        <v/>
      </c>
      <c r="B9" s="44" t="n">
        <v>46121</v>
      </c>
      <c r="C9" s="48" t="inlineStr">
        <is>
          <t>Moralidad y normas morales</t>
        </is>
      </c>
      <c r="D9" s="46">
        <f>IFERROR(VLOOKUP(B9, fechaMEC, 3, FALSE), "Clase Normal")</f>
        <v/>
      </c>
      <c r="E9" s="46">
        <f>IFERROR(VLOOKUP(B9, fechaMEC, 2, FALSE), "Ejecutado")</f>
        <v/>
      </c>
    </row>
    <row r="10">
      <c r="A10" s="43">
        <f>+B10</f>
        <v/>
      </c>
      <c r="B10" s="44" t="n">
        <v>46128</v>
      </c>
      <c r="C10" s="48" t="n"/>
      <c r="D10" s="46">
        <f>IFERROR(VLOOKUP(B10, fechaMEC, 3, FALSE), "Clase Normal")</f>
        <v/>
      </c>
      <c r="E10" s="46">
        <f>IFERROR(VLOOKUP(B10, fechaMEC, 2, FALSE), "Ejecutado")</f>
        <v/>
      </c>
    </row>
    <row r="11">
      <c r="A11" s="43">
        <f>+B11</f>
        <v/>
      </c>
      <c r="B11" s="44" t="n">
        <v>46135</v>
      </c>
      <c r="C11" s="48" t="n"/>
      <c r="D11" s="46">
        <f>IFERROR(VLOOKUP(B11, fechaMEC, 3, FALSE), "Clase Normal")</f>
        <v/>
      </c>
      <c r="E11" s="46" t="n"/>
    </row>
    <row r="12" ht="29.25" customHeight="1">
      <c r="A12" s="43">
        <f>+B12</f>
        <v/>
      </c>
      <c r="B12" s="44" t="n">
        <v>46142</v>
      </c>
      <c r="C12" s="49" t="n"/>
      <c r="D12" s="46">
        <f>IFERROR(VLOOKUP(B12, fechaMEC, 3, FALSE), "Clase Normal")</f>
        <v/>
      </c>
      <c r="E12" s="50">
        <f>IFERROR(VLOOKUP(B12, fechaMEC, 2, FALSE), "Ejecutado")</f>
        <v/>
      </c>
    </row>
    <row r="13">
      <c r="A13" s="43">
        <f>+B13</f>
        <v/>
      </c>
      <c r="B13" s="44" t="n">
        <v>46149</v>
      </c>
      <c r="C13" s="48" t="n"/>
      <c r="D13" s="46">
        <f>IFERROR(VLOOKUP(B13, fechaMEC, 3, FALSE), "Clase Normal")</f>
        <v/>
      </c>
      <c r="E13" s="46" t="n"/>
    </row>
    <row r="14" ht="29.25" customHeight="1">
      <c r="A14" s="43">
        <f>+B14</f>
        <v/>
      </c>
      <c r="B14" s="44" t="n">
        <v>46156</v>
      </c>
      <c r="C14" s="49" t="n"/>
      <c r="D14" s="46">
        <f>IFERROR(VLOOKUP(B14, fechaMEC, 3, FALSE), "Clase Normal")</f>
        <v/>
      </c>
      <c r="E14" s="50">
        <f>IFERROR(VLOOKUP(B14, fechaMEC, 2, FALSE), "Ejecutado")</f>
        <v/>
      </c>
    </row>
    <row r="15">
      <c r="A15" s="43">
        <f>+B15</f>
        <v/>
      </c>
      <c r="B15" s="44" t="n">
        <v>46163</v>
      </c>
      <c r="C15" s="48" t="n"/>
      <c r="D15" s="46">
        <f>IFERROR(VLOOKUP(B15, fechaMEC, 3, FALSE), "Clase Normal")</f>
        <v/>
      </c>
      <c r="E15" s="46" t="n"/>
    </row>
    <row r="16">
      <c r="A16" s="43">
        <f>+B16</f>
        <v/>
      </c>
      <c r="B16" s="44" t="n">
        <v>46170</v>
      </c>
      <c r="C16" s="48" t="inlineStr">
        <is>
          <t>Evaluacion</t>
        </is>
      </c>
      <c r="D16" s="46">
        <f>IFERROR(VLOOKUP(B16, fechaMEC, 3, FALSE), "Clase Normal")</f>
        <v/>
      </c>
      <c r="E16" s="46" t="inlineStr">
        <is>
          <t>Evaluación</t>
        </is>
      </c>
    </row>
    <row r="17">
      <c r="A17" s="43">
        <f>+B17</f>
        <v/>
      </c>
      <c r="B17" s="44" t="n">
        <v>46177</v>
      </c>
      <c r="C17" s="48" t="n"/>
      <c r="D17" s="46">
        <f>IFERROR(VLOOKUP(B17, fechaMEC, 3, FALSE), "Clase Normal")</f>
        <v/>
      </c>
      <c r="E17" s="46" t="n"/>
    </row>
    <row r="18" ht="43.5" customHeight="1">
      <c r="A18" s="43">
        <f>+B18</f>
        <v/>
      </c>
      <c r="B18" s="44" t="n">
        <v>46184</v>
      </c>
      <c r="C18" s="49" t="n"/>
      <c r="D18" s="46">
        <f>IFERROR(VLOOKUP(B18, fechaMEC, 3, FALSE), "Clase Normal")</f>
        <v/>
      </c>
      <c r="E18" s="50">
        <f>IFERROR(VLOOKUP(B18, fechaMEC, 2, FALSE), "Ejecutado")</f>
        <v/>
      </c>
      <c r="H18" s="44" t="inlineStr">
        <is>
          <t>Fecha (DD/MM/YYYY)</t>
        </is>
      </c>
      <c r="I18" t="inlineStr">
        <is>
          <t>Evento / Conmemoración</t>
        </is>
      </c>
      <c r="J18" t="inlineStr">
        <is>
          <t>Tipo</t>
        </is>
      </c>
    </row>
    <row r="19">
      <c r="A19" s="43">
        <f>+B19</f>
        <v/>
      </c>
      <c r="B19" s="44" t="n">
        <v>46191</v>
      </c>
      <c r="C19" s="48" t="n"/>
      <c r="D19" s="46">
        <f>IFERROR(VLOOKUP(B19, fechaMEC, 3, FALSE), "Clase Normal")</f>
        <v/>
      </c>
      <c r="E19" s="46">
        <f>IFERROR(VLOOKUP(B19, fechaMEC, 2, FALSE), "Ejecutado")</f>
        <v/>
      </c>
      <c r="H19" s="44" t="n">
        <v>46023</v>
      </c>
      <c r="I19" t="inlineStr">
        <is>
          <t>Año Nuevo</t>
        </is>
      </c>
      <c r="J19" t="inlineStr">
        <is>
          <t>Feriado Nacional</t>
        </is>
      </c>
    </row>
    <row r="20">
      <c r="A20" s="43">
        <f>+B20</f>
        <v/>
      </c>
      <c r="B20" s="44" t="n">
        <v>46198</v>
      </c>
      <c r="C20" s="48" t="n"/>
      <c r="D20" s="46">
        <f>IFERROR(VLOOKUP(B20, fechaMEC, 3, FALSE), "Clase Normal")</f>
        <v/>
      </c>
      <c r="E20" s="46" t="n"/>
      <c r="H20" s="44" t="n">
        <v>46063</v>
      </c>
      <c r="I20" t="inlineStr">
        <is>
          <t>Apertura Institucional y Retorno Docente</t>
        </is>
      </c>
      <c r="J20" t="inlineStr">
        <is>
          <t>MEC - INSTITUCIONAL</t>
        </is>
      </c>
    </row>
    <row r="21">
      <c r="A21" s="43">
        <f>+B21</f>
        <v/>
      </c>
      <c r="B21" s="44" t="n">
        <v>46205</v>
      </c>
      <c r="C21" s="51" t="inlineStr">
        <is>
          <t>Examen Primera Etapa</t>
        </is>
      </c>
      <c r="D21" s="46">
        <f>IFERROR(VLOOKUP(B21, fechaMEC, 3, FALSE), "Clase Normal")</f>
        <v/>
      </c>
      <c r="E21" s="46" t="n"/>
      <c r="H21" s="44" t="n">
        <v>46076</v>
      </c>
      <c r="I21" t="inlineStr">
        <is>
          <t>Inicio de Clases (Sector Oficial)</t>
        </is>
      </c>
      <c r="J21" t="inlineStr">
        <is>
          <t>MEC - INSTITUCIONAL</t>
        </is>
      </c>
    </row>
    <row r="22">
      <c r="A22" s="43">
        <f>+B22</f>
        <v/>
      </c>
      <c r="B22" s="44" t="n">
        <v>46212</v>
      </c>
      <c r="C22" s="48" t="n"/>
      <c r="D22" s="46">
        <f>IFERROR(VLOOKUP(B22, fechaMEC, 3, FALSE), "Clase Normal")</f>
        <v/>
      </c>
      <c r="E22" s="46" t="n"/>
      <c r="H22" s="44" t="n">
        <v>46077</v>
      </c>
      <c r="I22" t="inlineStr">
        <is>
          <t>Día de la Mujer Paraguaya (Homenaje a las Residentas)</t>
        </is>
      </c>
      <c r="J22" t="inlineStr">
        <is>
          <t>Dia para conmemorar</t>
        </is>
      </c>
    </row>
    <row r="23">
      <c r="A23" s="43">
        <f>+B23</f>
        <v/>
      </c>
      <c r="B23" s="44" t="n">
        <v>46219</v>
      </c>
      <c r="C23" s="49" t="inlineStr">
        <is>
          <t>Vacaciones de Invierno</t>
        </is>
      </c>
      <c r="D23" s="46">
        <f>IFERROR(VLOOKUP(B23, fechaMEC, 3, FALSE), "Clase Normal")</f>
        <v/>
      </c>
      <c r="E23" s="50">
        <f>IFERROR(VLOOKUP(B23, fechaMEC, 2, FALSE), "Ejecutado")</f>
        <v/>
      </c>
      <c r="H23" s="44" t="n">
        <v>46082</v>
      </c>
      <c r="I23" t="inlineStr">
        <is>
          <t>Día de los Héroes</t>
        </is>
      </c>
      <c r="J23" t="inlineStr">
        <is>
          <t>Feriado Nacional</t>
        </is>
      </c>
    </row>
    <row r="24">
      <c r="A24" s="43">
        <f>+B24</f>
        <v/>
      </c>
      <c r="B24" s="44" t="n">
        <v>46226</v>
      </c>
      <c r="C24" s="49" t="inlineStr">
        <is>
          <t>Vacaciones de Invierno</t>
        </is>
      </c>
      <c r="D24" s="46">
        <f>IFERROR(VLOOKUP(B24, fechaMEC, 3, FALSE), "Clase Normal")</f>
        <v/>
      </c>
      <c r="E24" s="50">
        <f>IFERROR(VLOOKUP(B24, fechaMEC, 2, FALSE), "Ejecutado")</f>
        <v/>
      </c>
      <c r="H24" s="44" t="n">
        <v>46082</v>
      </c>
      <c r="I24" t="inlineStr">
        <is>
          <t>Día de los Héroes (Muerte del Mcal. López en Cerro Corá)</t>
        </is>
      </c>
      <c r="J24" t="inlineStr">
        <is>
          <t>Dia para conmemorar</t>
        </is>
      </c>
    </row>
    <row r="25" ht="29.25" customHeight="1">
      <c r="A25" s="43">
        <f>+B25</f>
        <v/>
      </c>
      <c r="B25" s="44" t="n">
        <v>46233</v>
      </c>
      <c r="C25" s="48" t="n"/>
      <c r="D25" s="46">
        <f>IFERROR(VLOOKUP(B25, fechaMEC, 3, FALSE), "Clase Normal")</f>
        <v/>
      </c>
      <c r="E25" s="46" t="n"/>
      <c r="H25" s="44" t="n">
        <v>46102</v>
      </c>
      <c r="I25" t="inlineStr">
        <is>
          <t>Día Mundial de la Poesía y Día del Síndrome de Down</t>
        </is>
      </c>
      <c r="J25" t="inlineStr">
        <is>
          <t>Dia para conmemorar</t>
        </is>
      </c>
    </row>
    <row r="26">
      <c r="A26" s="43">
        <f>+B26</f>
        <v/>
      </c>
      <c r="B26" s="44" t="n">
        <v>46240</v>
      </c>
      <c r="C26" s="48" t="n"/>
      <c r="D26" s="46">
        <f>IFERROR(VLOOKUP(B26, fechaMEC, 3, FALSE), "Clase Normal")</f>
        <v/>
      </c>
      <c r="E26" s="46" t="n"/>
      <c r="H26" s="44" t="n">
        <v>46114</v>
      </c>
      <c r="I26" t="inlineStr">
        <is>
          <t>Jueves Santo (Receso)</t>
        </is>
      </c>
      <c r="J26" t="inlineStr">
        <is>
          <t>Feriado Nacional</t>
        </is>
      </c>
    </row>
    <row r="27">
      <c r="A27" s="43">
        <f>+B27</f>
        <v/>
      </c>
      <c r="B27" s="44" t="n">
        <v>46247</v>
      </c>
      <c r="C27" s="48" t="n"/>
      <c r="D27" s="46">
        <f>IFERROR(VLOOKUP(B27, fechaMEC, 3, FALSE), "Clase Normal")</f>
        <v/>
      </c>
      <c r="E27" s="46">
        <f>IFERROR(VLOOKUP(B27, fechaMEC, 2, FALSE), "Ejecutado")</f>
        <v/>
      </c>
      <c r="H27" s="44" t="n">
        <v>46115</v>
      </c>
      <c r="I27" t="inlineStr">
        <is>
          <t>Viernes Santo (Receso)</t>
        </is>
      </c>
      <c r="J27" t="inlineStr">
        <is>
          <t>Feriado Nacional</t>
        </is>
      </c>
    </row>
    <row r="28">
      <c r="A28" s="43">
        <f>+B28</f>
        <v/>
      </c>
      <c r="B28" s="44" t="n">
        <v>46254</v>
      </c>
      <c r="C28" s="48" t="n"/>
      <c r="D28" s="46">
        <f>IFERROR(VLOOKUP(B28, fechaMEC, 3, FALSE), "Clase Normal")</f>
        <v/>
      </c>
      <c r="E28" s="46" t="n"/>
      <c r="H28" s="44" t="n">
        <v>46135</v>
      </c>
      <c r="I28" t="inlineStr">
        <is>
          <t>Día del Libro y del Derecho de Autor</t>
        </is>
      </c>
      <c r="J28" t="inlineStr">
        <is>
          <t>Dia para conmemorar</t>
        </is>
      </c>
    </row>
    <row r="29">
      <c r="A29" s="43">
        <f>+B29</f>
        <v/>
      </c>
      <c r="B29" s="44" t="n">
        <v>46261</v>
      </c>
      <c r="C29" s="48" t="n"/>
      <c r="D29" s="46">
        <f>IFERROR(VLOOKUP(B29, fechaMEC, 3, FALSE), "Clase Normal")</f>
        <v/>
      </c>
      <c r="E29" s="46" t="n"/>
      <c r="H29" s="44" t="n">
        <v>46138</v>
      </c>
      <c r="I29" t="inlineStr">
        <is>
          <t>Día del Periodista (Muerte de Santiago Leguizamón)</t>
        </is>
      </c>
      <c r="J29" t="inlineStr">
        <is>
          <t>Dia para conmemorar</t>
        </is>
      </c>
    </row>
    <row r="30">
      <c r="A30" s="43">
        <f>+B30</f>
        <v/>
      </c>
      <c r="B30" s="44" t="n">
        <v>46268</v>
      </c>
      <c r="C30" s="48" t="n"/>
      <c r="D30" s="46">
        <f>IFERROR(VLOOKUP(B30, fechaMEC, 3, FALSE), "Clase Normal")</f>
        <v/>
      </c>
      <c r="E30" s="46" t="n"/>
      <c r="H30" s="44" t="n">
        <v>46142</v>
      </c>
      <c r="I30" t="inlineStr">
        <is>
          <t>Día del Maestro (En Paraguay)</t>
        </is>
      </c>
      <c r="J30" t="inlineStr">
        <is>
          <t>Dia para conmemorar</t>
        </is>
      </c>
    </row>
    <row r="31">
      <c r="A31" s="43">
        <f>+B31</f>
        <v/>
      </c>
      <c r="B31" s="44" t="n">
        <v>46275</v>
      </c>
      <c r="C31" s="48" t="n"/>
      <c r="D31" s="46">
        <f>IFERROR(VLOOKUP(B31, fechaMEC, 3, FALSE), "Clase Normal")</f>
        <v/>
      </c>
      <c r="E31" s="46" t="n"/>
      <c r="H31" s="44" t="n">
        <v>46143</v>
      </c>
      <c r="I31" t="inlineStr">
        <is>
          <t>Día de los Trabajadores</t>
        </is>
      </c>
      <c r="J31" t="inlineStr">
        <is>
          <t>Feriado Nacional</t>
        </is>
      </c>
    </row>
    <row r="32">
      <c r="A32" s="43">
        <f>+B32</f>
        <v/>
      </c>
      <c r="B32" s="44" t="n">
        <v>46282</v>
      </c>
      <c r="C32" s="48" t="n"/>
      <c r="D32" s="46">
        <f>IFERROR(VLOOKUP(B32, fechaMEC, 3, FALSE), "Clase Normal")</f>
        <v/>
      </c>
      <c r="E32" s="46" t="n"/>
      <c r="H32" s="44" t="n">
        <v>46156</v>
      </c>
      <c r="I32" t="inlineStr">
        <is>
          <t>Día de la Independencia Nacional</t>
        </is>
      </c>
      <c r="J32" t="inlineStr">
        <is>
          <t>Feriado Nacional</t>
        </is>
      </c>
    </row>
    <row r="33">
      <c r="A33" s="43">
        <f>+B33</f>
        <v/>
      </c>
      <c r="B33" s="44" t="n">
        <v>46289</v>
      </c>
      <c r="C33" s="48" t="n"/>
      <c r="D33" s="46">
        <f>IFERROR(VLOOKUP(B33, fechaMEC, 3, FALSE), "Clase Normal")</f>
        <v/>
      </c>
      <c r="E33" s="46" t="n"/>
      <c r="H33" s="44" t="n">
        <v>46156</v>
      </c>
      <c r="I33" t="inlineStr">
        <is>
          <t>Día de la Madre</t>
        </is>
      </c>
      <c r="J33" t="inlineStr">
        <is>
          <t>Dia para conmemorar</t>
        </is>
      </c>
    </row>
    <row r="34">
      <c r="A34" s="43">
        <f>+B34</f>
        <v/>
      </c>
      <c r="B34" s="44" t="n">
        <v>46296</v>
      </c>
      <c r="C34" s="48" t="n"/>
      <c r="D34" s="46">
        <f>IFERROR(VLOOKUP(B34, fechaMEC, 3, FALSE), "Clase Normal")</f>
        <v/>
      </c>
      <c r="E34" s="46" t="n"/>
      <c r="H34" s="44" t="n">
        <v>46157</v>
      </c>
      <c r="I34" t="inlineStr">
        <is>
          <t>Día de la Independencia Nacional</t>
        </is>
      </c>
      <c r="J34" t="inlineStr">
        <is>
          <t>Feriado Nacional</t>
        </is>
      </c>
    </row>
    <row r="35">
      <c r="A35" s="43">
        <f>+B35</f>
        <v/>
      </c>
      <c r="B35" s="44" t="n">
        <v>46303</v>
      </c>
      <c r="C35" s="51" t="inlineStr">
        <is>
          <t>Examen Segunda Etapa</t>
        </is>
      </c>
      <c r="D35" s="46">
        <f>IFERROR(VLOOKUP(B35, fechaMEC, 3, FALSE), "Clase Normal")</f>
        <v/>
      </c>
      <c r="E35" s="46" t="n"/>
      <c r="H35" s="44" t="n">
        <v>46157</v>
      </c>
      <c r="I35" t="inlineStr">
        <is>
          <t>Día de la Independencia Nacional</t>
        </is>
      </c>
      <c r="J35" t="inlineStr">
        <is>
          <t>Dia para conmemorar</t>
        </is>
      </c>
    </row>
    <row r="36">
      <c r="A36" s="43">
        <f>+B36</f>
        <v/>
      </c>
      <c r="B36" s="44" t="n">
        <v>46310</v>
      </c>
      <c r="C36" s="48" t="n"/>
      <c r="D36" s="46">
        <f>IFERROR(VLOOKUP(B36, fechaMEC, 3, FALSE), "Clase Normal")</f>
        <v/>
      </c>
      <c r="E36" s="46" t="n"/>
      <c r="H36" s="44" t="n">
        <v>46171</v>
      </c>
      <c r="I36" t="inlineStr">
        <is>
          <t>Día del Ejército Paraguayo</t>
        </is>
      </c>
      <c r="J36" t="inlineStr">
        <is>
          <t>Dia para conmemorar</t>
        </is>
      </c>
    </row>
    <row r="37">
      <c r="A37" s="43">
        <f>+B37</f>
        <v/>
      </c>
      <c r="B37" s="44" t="n">
        <v>46317</v>
      </c>
      <c r="C37" s="48" t="n"/>
      <c r="D37" s="46">
        <f>IFERROR(VLOOKUP(B37, fechaMEC, 3, FALSE), "Clase Normal")</f>
        <v/>
      </c>
      <c r="E37" s="46">
        <f>IFERROR(VLOOKUP(B37, fechaMEC, 2, FALSE), "Ejecutado")</f>
        <v/>
      </c>
      <c r="H37" s="44" t="n">
        <v>46185</v>
      </c>
      <c r="I37" t="inlineStr">
        <is>
          <t>Paz del Chaco</t>
        </is>
      </c>
      <c r="J37" t="inlineStr">
        <is>
          <t>Feriado Nacional</t>
        </is>
      </c>
    </row>
    <row r="38">
      <c r="A38" s="43">
        <f>+B38</f>
        <v/>
      </c>
      <c r="B38" s="44" t="n">
        <v>46324</v>
      </c>
      <c r="C38" s="48" t="n"/>
      <c r="D38" s="46">
        <f>IFERROR(VLOOKUP(B38, fechaMEC, 3, FALSE), "Clase Normal")</f>
        <v/>
      </c>
      <c r="E38" s="46" t="n"/>
      <c r="H38" s="44" t="n">
        <v>46185</v>
      </c>
      <c r="I38" t="inlineStr">
        <is>
          <t>Paz del Chaco (Firma del Protocolo de Paz, 1935)</t>
        </is>
      </c>
      <c r="J38" t="inlineStr">
        <is>
          <t>Asueto - Departamental / Desfile</t>
        </is>
      </c>
    </row>
    <row r="39">
      <c r="A39" s="43">
        <f>+B39</f>
        <v/>
      </c>
      <c r="B39" s="44" t="n">
        <v>46331</v>
      </c>
      <c r="C39" s="48" t="n"/>
      <c r="D39" s="46">
        <f>IFERROR(VLOOKUP(B39, fechaMEC, 3, FALSE), "Clase Normal")</f>
        <v/>
      </c>
      <c r="E39" s="46" t="n"/>
      <c r="H39" s="44" t="n">
        <v>46192</v>
      </c>
      <c r="I39" t="inlineStr">
        <is>
          <t>Día del Árbol (En Paraguay)</t>
        </is>
      </c>
      <c r="J39" t="inlineStr">
        <is>
          <t>Clase Normal</t>
        </is>
      </c>
    </row>
    <row r="40">
      <c r="A40" s="43">
        <f>+B40</f>
        <v/>
      </c>
      <c r="B40" s="44" t="n">
        <v>46338</v>
      </c>
      <c r="C40" s="48" t="n"/>
      <c r="D40" s="46">
        <f>IFERROR(VLOOKUP(B40, fechaMEC, 3, FALSE), "Clase Normal")</f>
        <v/>
      </c>
      <c r="E40" s="46" t="n"/>
      <c r="H40" s="44" t="n">
        <v>46216</v>
      </c>
      <c r="I40" t="inlineStr">
        <is>
          <t>Inicio Vacaciones de Invierno</t>
        </is>
      </c>
      <c r="J40" t="inlineStr">
        <is>
          <t>MEC - VACACIONES</t>
        </is>
      </c>
    </row>
    <row r="41">
      <c r="A41" s="43">
        <f>+B41</f>
        <v/>
      </c>
      <c r="B41" s="44" t="n">
        <v>46345</v>
      </c>
      <c r="C41" s="48" t="n"/>
      <c r="D41" s="46">
        <f>IFERROR(VLOOKUP(B41, fechaMEC, 3, FALSE), "Clase Normal")</f>
        <v/>
      </c>
      <c r="E41" s="46" t="n"/>
      <c r="G41" s="18" t="n"/>
      <c r="H41" s="44" t="n">
        <v>46217</v>
      </c>
      <c r="I41" t="inlineStr">
        <is>
          <t>Inicio Vacaciones de Invierno</t>
        </is>
      </c>
      <c r="J41" t="inlineStr">
        <is>
          <t>MEC - VACACIONES</t>
        </is>
      </c>
    </row>
    <row r="42">
      <c r="A42" s="43">
        <f>+B42</f>
        <v/>
      </c>
      <c r="B42" s="44" t="n">
        <v>46352</v>
      </c>
      <c r="C42" s="48" t="n"/>
      <c r="D42" s="46">
        <f>IFERROR(VLOOKUP(B42, fechaMEC, 3, FALSE), "Clase Normal")</f>
        <v/>
      </c>
      <c r="E42" s="46" t="n"/>
      <c r="H42" s="44" t="n">
        <v>46218</v>
      </c>
      <c r="I42" t="inlineStr">
        <is>
          <t>Inicio Vacaciones de Invierno</t>
        </is>
      </c>
      <c r="J42" t="inlineStr">
        <is>
          <t>MEC - VACACIONES</t>
        </is>
      </c>
    </row>
    <row r="43" ht="4.5" customHeight="1">
      <c r="B43" s="52" t="n"/>
      <c r="C43" s="53" t="n"/>
      <c r="D43" s="54" t="n"/>
      <c r="E43" s="54" t="n"/>
      <c r="H43" s="44" t="n">
        <v>46219</v>
      </c>
      <c r="I43" t="inlineStr">
        <is>
          <t>Inicio Vacaciones de Invierno</t>
        </is>
      </c>
      <c r="J43" t="inlineStr">
        <is>
          <t>MEC - VACACIONES</t>
        </is>
      </c>
    </row>
    <row r="44">
      <c r="H44" s="44" t="n">
        <v>46220</v>
      </c>
      <c r="I44" t="inlineStr">
        <is>
          <t>Inicio Vacaciones de Invierno</t>
        </is>
      </c>
      <c r="J44" t="inlineStr">
        <is>
          <t>MEC - VACACIONES</t>
        </is>
      </c>
    </row>
    <row r="45">
      <c r="H45" s="44" t="n">
        <v>46221</v>
      </c>
      <c r="I45" t="inlineStr">
        <is>
          <t>Inicio Vacaciones de Invierno</t>
        </is>
      </c>
      <c r="J45" t="inlineStr">
        <is>
          <t>MEC - VACACIONES</t>
        </is>
      </c>
    </row>
    <row r="46">
      <c r="H46" s="44" t="n">
        <v>46222</v>
      </c>
      <c r="I46" t="inlineStr">
        <is>
          <t>Inicio Vacaciones de Invierno</t>
        </is>
      </c>
      <c r="J46" t="inlineStr">
        <is>
          <t>MEC - VACACIONES</t>
        </is>
      </c>
    </row>
    <row r="47">
      <c r="H47" s="44" t="n">
        <v>46223</v>
      </c>
      <c r="I47" t="inlineStr">
        <is>
          <t>Inicio Vacaciones de Invierno</t>
        </is>
      </c>
      <c r="J47" t="inlineStr">
        <is>
          <t>MEC - VACACIONES</t>
        </is>
      </c>
    </row>
    <row r="48">
      <c r="H48" s="44" t="n">
        <v>46224</v>
      </c>
      <c r="I48" t="inlineStr">
        <is>
          <t>Inicio Vacaciones de Invierno</t>
        </is>
      </c>
      <c r="J48" t="inlineStr">
        <is>
          <t>MEC - VACACIONES</t>
        </is>
      </c>
    </row>
    <row r="49">
      <c r="H49" s="44" t="n">
        <v>46225</v>
      </c>
      <c r="I49" t="inlineStr">
        <is>
          <t>Inicio Vacaciones de Invierno</t>
        </is>
      </c>
      <c r="J49" t="inlineStr">
        <is>
          <t>MEC - VACACIONES</t>
        </is>
      </c>
    </row>
    <row r="50">
      <c r="H50" s="44" t="n">
        <v>46226</v>
      </c>
      <c r="I50" t="inlineStr">
        <is>
          <t>Inicio Vacaciones de Invierno</t>
        </is>
      </c>
      <c r="J50" t="inlineStr">
        <is>
          <t>MEC - VACACIONES</t>
        </is>
      </c>
    </row>
    <row r="51">
      <c r="H51" s="44" t="n">
        <v>46227</v>
      </c>
      <c r="I51" t="inlineStr">
        <is>
          <t>Fin Vacaciones de Invierno</t>
        </is>
      </c>
      <c r="J51" t="inlineStr">
        <is>
          <t>MEC - VACACIONES</t>
        </is>
      </c>
    </row>
    <row r="52">
      <c r="H52" s="44" t="n">
        <v>46227</v>
      </c>
      <c r="I52" t="inlineStr">
        <is>
          <t>Natalicio del Mcal. Francisco Solano López</t>
        </is>
      </c>
      <c r="J52" t="inlineStr">
        <is>
          <t>Dia para conmemorar</t>
        </is>
      </c>
    </row>
    <row r="53">
      <c r="H53" s="44" t="n">
        <v>46233</v>
      </c>
      <c r="I53" t="inlineStr">
        <is>
          <t>Día de la Amistad (Cruzada Mundial de la Amistad)</t>
        </is>
      </c>
      <c r="J53" t="inlineStr">
        <is>
          <t>Dia para conmemorar</t>
        </is>
      </c>
    </row>
    <row r="54">
      <c r="H54" s="44" t="n">
        <v>46248</v>
      </c>
      <c r="I54" t="inlineStr">
        <is>
          <t>Día de la Bandera</t>
        </is>
      </c>
      <c r="J54" t="inlineStr">
        <is>
          <t>Dia para conmemorar</t>
        </is>
      </c>
    </row>
    <row r="55">
      <c r="H55" s="44" t="n">
        <v>46249</v>
      </c>
      <c r="I55" t="inlineStr">
        <is>
          <t>Fundación de Asunción</t>
        </is>
      </c>
      <c r="J55" t="inlineStr">
        <is>
          <t>Feriado Nacional</t>
        </is>
      </c>
    </row>
    <row r="56">
      <c r="H56" s="44" t="n">
        <v>46249</v>
      </c>
      <c r="I56" t="inlineStr">
        <is>
          <t>Fundación de Asunción y Día del Niño (En Paraguay)</t>
        </is>
      </c>
      <c r="J56" t="inlineStr">
        <is>
          <t>Dia para conmemorar</t>
        </is>
      </c>
    </row>
    <row r="57">
      <c r="H57" s="44" t="n">
        <v>46250</v>
      </c>
      <c r="I57" t="inlineStr">
        <is>
          <t>Día de los Niños Mártires de Acosta Ñu</t>
        </is>
      </c>
      <c r="J57" t="inlineStr">
        <is>
          <t>Dia para conmemorar</t>
        </is>
      </c>
    </row>
    <row r="58">
      <c r="H58" s="44" t="n">
        <v>46256</v>
      </c>
      <c r="I58" t="inlineStr">
        <is>
          <t>Día del Folklore Paraguayo</t>
        </is>
      </c>
      <c r="J58" t="inlineStr">
        <is>
          <t>Dia para conmemorar</t>
        </is>
      </c>
    </row>
    <row r="59">
      <c r="H59" s="44" t="n">
        <v>46259</v>
      </c>
      <c r="I59" t="inlineStr">
        <is>
          <t>Día del Idioma Guaraní</t>
        </is>
      </c>
      <c r="J59" t="inlineStr">
        <is>
          <t>Dia para conmemorar</t>
        </is>
      </c>
    </row>
    <row r="60">
      <c r="H60" s="44" t="n">
        <v>46286</v>
      </c>
      <c r="I60" t="inlineStr">
        <is>
          <t>Día de la Juventud y de la Primavera</t>
        </is>
      </c>
      <c r="J60" t="inlineStr">
        <is>
          <t>Clase Normal</t>
        </is>
      </c>
    </row>
    <row r="61">
      <c r="H61" s="44" t="n">
        <v>46294</v>
      </c>
      <c r="I61" t="inlineStr">
        <is>
          <t>Victoria de Boquerón</t>
        </is>
      </c>
      <c r="J61" t="inlineStr">
        <is>
          <t>Feriado Nacional</t>
        </is>
      </c>
    </row>
    <row r="62">
      <c r="H62" s="44" t="n">
        <v>46294</v>
      </c>
      <c r="I62" t="inlineStr">
        <is>
          <t>Batalla de Boquerón (Victoria paraguaya, 1932)</t>
        </is>
      </c>
      <c r="J62" t="inlineStr">
        <is>
          <t>Dia para conmemorar</t>
        </is>
      </c>
    </row>
    <row r="63">
      <c r="H63" s="44" t="n">
        <v>46307</v>
      </c>
      <c r="I63" t="inlineStr">
        <is>
          <t>Día de la Raza (Descubrimiento de América)</t>
        </is>
      </c>
      <c r="J63" t="inlineStr">
        <is>
          <t>Dia para conmemorar</t>
        </is>
      </c>
    </row>
    <row r="64">
      <c r="H64" s="44" t="n">
        <v>46318</v>
      </c>
      <c r="I64" t="inlineStr">
        <is>
          <t>Día del Diseñador Gráfico y del Radiooperador</t>
        </is>
      </c>
      <c r="J64" t="inlineStr">
        <is>
          <t>Dia para conmemorar</t>
        </is>
      </c>
    </row>
    <row r="65">
      <c r="H65" s="44" t="n">
        <v>46351</v>
      </c>
      <c r="I65" t="inlineStr">
        <is>
          <t>Día Internacional de la Eliminación de la Violencia contra la Mujer</t>
        </is>
      </c>
      <c r="J65" t="inlineStr">
        <is>
          <t>Dia para conmemorar</t>
        </is>
      </c>
    </row>
    <row r="66">
      <c r="H66" s="44" t="n">
        <v>46356</v>
      </c>
      <c r="I66" t="inlineStr">
        <is>
          <t>Finalización de Clases</t>
        </is>
      </c>
      <c r="J66" t="inlineStr">
        <is>
          <t>MEC - CIERRE PEDAGOGICAS</t>
        </is>
      </c>
    </row>
    <row r="67">
      <c r="H67" s="44" t="n">
        <v>46364</v>
      </c>
      <c r="I67" t="inlineStr">
        <is>
          <t>Día de la Virgen de Caacupé</t>
        </is>
      </c>
      <c r="J67" t="inlineStr">
        <is>
          <t>Feriado Nacional</t>
        </is>
      </c>
    </row>
    <row r="68">
      <c r="H68" s="44" t="n">
        <v>46367</v>
      </c>
      <c r="I68" t="inlineStr">
        <is>
          <t>Cierre de Actividades Administrativas</t>
        </is>
      </c>
      <c r="J68" t="inlineStr">
        <is>
          <t>MEC - CIERRE ADM.</t>
        </is>
      </c>
    </row>
    <row r="69">
      <c r="H69" s="44" t="n">
        <v>46381</v>
      </c>
      <c r="I69" t="inlineStr">
        <is>
          <t>Navidad</t>
        </is>
      </c>
      <c r="J69" t="inlineStr">
        <is>
          <t>Feriado Nacional</t>
        </is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18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3.7109375" customWidth="1" min="6" max="6"/>
    <col width="10.7109375" customWidth="1" min="144" max="144"/>
  </cols>
  <sheetData>
    <row r="1" ht="6" customHeight="1"/>
    <row r="2" ht="21" customHeight="1">
      <c r="C2" s="55" t="inlineStr">
        <is>
          <t>PLANILLA DE ASISTENCIA</t>
        </is>
      </c>
      <c r="D2" s="56">
        <f>+AVERAGE(D4:D17)</f>
        <v/>
      </c>
      <c r="E2" s="57" t="n"/>
      <c r="I2" s="21" t="inlineStr">
        <is>
          <t>CIENCIAS NATURALES</t>
        </is>
      </c>
      <c r="O2" s="58" t="inlineStr">
        <is>
          <t>SEPTIMO</t>
        </is>
      </c>
      <c r="R2" s="59" t="n"/>
      <c r="S2" s="59" t="inlineStr">
        <is>
          <t>TT</t>
        </is>
      </c>
      <c r="T2" s="60" t="n">
        <v>2026</v>
      </c>
      <c r="U2" s="61" t="n"/>
      <c r="V2" s="61" t="n"/>
    </row>
    <row r="3" ht="61.5" customHeight="1">
      <c r="A3" s="62" t="inlineStr">
        <is>
          <t>N° Orden</t>
        </is>
      </c>
      <c r="B3" s="62" t="n"/>
      <c r="C3" s="62" t="inlineStr">
        <is>
          <t>Apellido/s Nombre/s</t>
        </is>
      </c>
      <c r="D3" s="63" t="inlineStr">
        <is>
          <t>% DE ASISTENCIA</t>
        </is>
      </c>
      <c r="E3" s="64" t="inlineStr">
        <is>
          <t>FIRMAS</t>
        </is>
      </c>
      <c r="F3" s="65" t="n">
        <v>46079</v>
      </c>
      <c r="G3" s="65" t="n">
        <v>46086</v>
      </c>
      <c r="H3" s="65" t="n">
        <v>46093</v>
      </c>
      <c r="I3" s="65" t="n">
        <v>46100</v>
      </c>
      <c r="J3" s="65" t="n">
        <v>46107</v>
      </c>
      <c r="K3" s="65" t="n">
        <v>46114</v>
      </c>
      <c r="L3" s="65" t="n">
        <v>46121</v>
      </c>
      <c r="M3" s="65" t="n">
        <v>46128</v>
      </c>
      <c r="N3" s="65" t="n">
        <v>46135</v>
      </c>
      <c r="O3" s="65" t="n">
        <v>46142</v>
      </c>
      <c r="P3" s="65" t="n">
        <v>46149</v>
      </c>
      <c r="Q3" s="65" t="n">
        <v>46156</v>
      </c>
      <c r="R3" s="65" t="n">
        <v>46163</v>
      </c>
      <c r="S3" s="65" t="n">
        <v>46170</v>
      </c>
      <c r="T3" s="65" t="n">
        <v>46177</v>
      </c>
      <c r="U3" s="65" t="n">
        <v>46184</v>
      </c>
      <c r="V3" s="65" t="n">
        <v>46191</v>
      </c>
      <c r="W3" s="65" t="n">
        <v>46198</v>
      </c>
      <c r="X3" s="65" t="n">
        <v>46205</v>
      </c>
      <c r="Y3" s="65" t="n">
        <v>46212</v>
      </c>
      <c r="Z3" s="65" t="n">
        <v>46219</v>
      </c>
      <c r="AA3" s="65" t="n">
        <v>46226</v>
      </c>
      <c r="AB3" s="65" t="n">
        <v>46233</v>
      </c>
      <c r="AC3" s="65" t="n">
        <v>46240</v>
      </c>
      <c r="AD3" s="65" t="n">
        <v>46247</v>
      </c>
      <c r="AE3" s="65" t="n">
        <v>46254</v>
      </c>
      <c r="AF3" s="65" t="n">
        <v>46261</v>
      </c>
      <c r="AG3" s="65" t="n">
        <v>46268</v>
      </c>
      <c r="AH3" s="65" t="n">
        <v>46275</v>
      </c>
      <c r="AI3" s="65" t="n">
        <v>46282</v>
      </c>
      <c r="AJ3" s="65" t="n">
        <v>46289</v>
      </c>
      <c r="AK3" s="65" t="n">
        <v>46296</v>
      </c>
      <c r="AL3" s="65" t="n">
        <v>46303</v>
      </c>
      <c r="AM3" s="65" t="n">
        <v>46310</v>
      </c>
      <c r="AN3" s="65" t="n">
        <v>46317</v>
      </c>
      <c r="AO3" s="65" t="n">
        <v>46324</v>
      </c>
      <c r="AP3" s="65" t="n">
        <v>46331</v>
      </c>
      <c r="AQ3" s="65" t="n">
        <v>46338</v>
      </c>
      <c r="AR3" s="65" t="n">
        <v>46345</v>
      </c>
      <c r="AS3" s="65" t="n">
        <v>46352</v>
      </c>
      <c r="EN3" s="66">
        <f>+TODAY()</f>
        <v/>
      </c>
    </row>
    <row r="4" ht="15.75" customHeight="1">
      <c r="A4" s="67" t="n">
        <v>1</v>
      </c>
      <c r="B4" s="67" t="n"/>
      <c r="C4" s="68">
        <f>+'Datos '!H1</f>
        <v/>
      </c>
      <c r="D4" s="69">
        <f>_xlfn.LET(_xlpm.rango, F4:AJ4, (COUNTIF(_xlpm.rango, "P") + COUNTIF(_xlpm.rango, "PF")) / (COUNTIF(_xlpm.rango, "P") + COUNTIF(_xlpm.rango, "A") + COUNTIF(_xlpm.rango, "PF")))</f>
        <v/>
      </c>
      <c r="E4" s="70">
        <f>COUNTIF(F4:W4,"PF")</f>
        <v/>
      </c>
      <c r="F4" s="71" t="inlineStr">
        <is>
          <t>P</t>
        </is>
      </c>
      <c r="G4" s="71" t="inlineStr">
        <is>
          <t>PF</t>
        </is>
      </c>
      <c r="H4" s="71" t="inlineStr">
        <is>
          <t>P</t>
        </is>
      </c>
      <c r="I4" s="71" t="inlineStr">
        <is>
          <t>PF</t>
        </is>
      </c>
      <c r="J4" s="71" t="inlineStr">
        <is>
          <t>P</t>
        </is>
      </c>
      <c r="K4" s="71" t="inlineStr">
        <is>
          <t>F</t>
        </is>
      </c>
      <c r="L4" s="71" t="inlineStr">
        <is>
          <t>PF</t>
        </is>
      </c>
      <c r="M4" s="71" t="inlineStr">
        <is>
          <t>PF</t>
        </is>
      </c>
      <c r="N4" s="71" t="n"/>
      <c r="O4" s="71" t="n"/>
      <c r="P4" s="71" t="n"/>
      <c r="Q4" s="71" t="inlineStr">
        <is>
          <t>F</t>
        </is>
      </c>
      <c r="R4" s="71" t="n"/>
      <c r="S4" s="71" t="inlineStr">
        <is>
          <t>P</t>
        </is>
      </c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  <c r="AG4" s="71" t="n"/>
      <c r="AH4" s="71" t="n"/>
      <c r="AI4" s="71" t="n"/>
      <c r="AJ4" s="71" t="n"/>
    </row>
    <row r="5" ht="15.75" customHeight="1">
      <c r="A5" s="67" t="n">
        <v>2</v>
      </c>
      <c r="B5" s="67" t="n"/>
      <c r="C5" s="68">
        <f>+'Datos '!H2</f>
        <v/>
      </c>
      <c r="D5" s="69">
        <f>_xlfn.LET(_xlpm.rango, F5:AJ5, (COUNTIF(_xlpm.rango, "P") + COUNTIF(_xlpm.rango, "PF")) / (COUNTIF(_xlpm.rango, "P") + COUNTIF(_xlpm.rango, "A") + COUNTIF(_xlpm.rango, "PF")))</f>
        <v/>
      </c>
      <c r="E5" s="70">
        <f>COUNTIF(F5:W5,"PF")</f>
        <v/>
      </c>
      <c r="F5" s="71" t="inlineStr">
        <is>
          <t>P</t>
        </is>
      </c>
      <c r="G5" s="71" t="inlineStr">
        <is>
          <t>PF</t>
        </is>
      </c>
      <c r="H5" s="71" t="inlineStr">
        <is>
          <t>P</t>
        </is>
      </c>
      <c r="I5" s="71" t="inlineStr">
        <is>
          <t>PF</t>
        </is>
      </c>
      <c r="J5" s="71" t="inlineStr">
        <is>
          <t>P</t>
        </is>
      </c>
      <c r="K5" s="71" t="inlineStr">
        <is>
          <t>F</t>
        </is>
      </c>
      <c r="L5" s="71" t="inlineStr">
        <is>
          <t>PF</t>
        </is>
      </c>
      <c r="M5" s="71" t="inlineStr">
        <is>
          <t>P</t>
        </is>
      </c>
      <c r="N5" s="71" t="n"/>
      <c r="O5" s="71" t="n"/>
      <c r="P5" s="71" t="n"/>
      <c r="Q5" s="71" t="inlineStr">
        <is>
          <t>F</t>
        </is>
      </c>
      <c r="R5" s="71" t="n"/>
      <c r="S5" s="71" t="inlineStr">
        <is>
          <t>P</t>
        </is>
      </c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  <c r="AI5" s="71" t="n"/>
      <c r="AJ5" s="71" t="n"/>
    </row>
    <row r="6" ht="15.75" customHeight="1">
      <c r="A6" s="67" t="n">
        <v>3</v>
      </c>
      <c r="B6" s="67" t="n"/>
      <c r="C6" s="68">
        <f>+'Datos '!H3</f>
        <v/>
      </c>
      <c r="D6" s="69">
        <f>_xlfn.LET(_xlpm.rango, F6:AJ6, (COUNTIF(_xlpm.rango, "P") + COUNTIF(_xlpm.rango, "PF")) / (COUNTIF(_xlpm.rango, "P") + COUNTIF(_xlpm.rango, "A") + COUNTIF(_xlpm.rango, "PF")))</f>
        <v/>
      </c>
      <c r="E6" s="70">
        <f>COUNTIF(F6:W6,"PF")</f>
        <v/>
      </c>
      <c r="F6" s="71" t="inlineStr">
        <is>
          <t>P</t>
        </is>
      </c>
      <c r="G6" s="71" t="inlineStr">
        <is>
          <t>PF</t>
        </is>
      </c>
      <c r="H6" s="71" t="inlineStr">
        <is>
          <t>P</t>
        </is>
      </c>
      <c r="I6" s="71" t="inlineStr">
        <is>
          <t>PF</t>
        </is>
      </c>
      <c r="J6" s="71" t="inlineStr">
        <is>
          <t>P</t>
        </is>
      </c>
      <c r="K6" s="71" t="inlineStr">
        <is>
          <t>F</t>
        </is>
      </c>
      <c r="L6" s="71" t="inlineStr">
        <is>
          <t>PF</t>
        </is>
      </c>
      <c r="M6" s="71" t="inlineStr">
        <is>
          <t>P</t>
        </is>
      </c>
      <c r="N6" s="71" t="n"/>
      <c r="O6" s="71" t="n"/>
      <c r="P6" s="71" t="n"/>
      <c r="Q6" s="71" t="inlineStr">
        <is>
          <t>F</t>
        </is>
      </c>
      <c r="R6" s="71" t="n"/>
      <c r="S6" s="71" t="inlineStr">
        <is>
          <t>P</t>
        </is>
      </c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  <c r="AI6" s="71" t="n"/>
      <c r="AJ6" s="71" t="n"/>
    </row>
    <row r="7" ht="15.75" customHeight="1">
      <c r="A7" s="67" t="n">
        <v>4</v>
      </c>
      <c r="B7" s="67" t="n"/>
      <c r="C7" s="68">
        <f>+'Datos '!H4</f>
        <v/>
      </c>
      <c r="D7" s="69">
        <f>_xlfn.LET(_xlpm.rango, F7:AJ7, (COUNTIF(_xlpm.rango, "P") + COUNTIF(_xlpm.rango, "PF")) / (COUNTIF(_xlpm.rango, "P") + COUNTIF(_xlpm.rango, "A") + COUNTIF(_xlpm.rango, "PF")))</f>
        <v/>
      </c>
      <c r="E7" s="70">
        <f>COUNTIF(F7:W7,"PF")</f>
        <v/>
      </c>
      <c r="F7" s="71" t="inlineStr">
        <is>
          <t>P</t>
        </is>
      </c>
      <c r="G7" s="71" t="inlineStr">
        <is>
          <t>PF</t>
        </is>
      </c>
      <c r="H7" s="71" t="inlineStr">
        <is>
          <t>P</t>
        </is>
      </c>
      <c r="I7" s="71" t="inlineStr">
        <is>
          <t>PF</t>
        </is>
      </c>
      <c r="J7" s="71" t="inlineStr">
        <is>
          <t>P</t>
        </is>
      </c>
      <c r="K7" s="71" t="inlineStr">
        <is>
          <t>F</t>
        </is>
      </c>
      <c r="L7" s="71" t="inlineStr">
        <is>
          <t>PF</t>
        </is>
      </c>
      <c r="M7" s="71" t="inlineStr">
        <is>
          <t>PF</t>
        </is>
      </c>
      <c r="N7" s="71" t="n"/>
      <c r="O7" s="71" t="n"/>
      <c r="P7" s="71" t="n"/>
      <c r="Q7" s="71" t="inlineStr">
        <is>
          <t>F</t>
        </is>
      </c>
      <c r="R7" s="71" t="n"/>
      <c r="S7" s="71" t="inlineStr">
        <is>
          <t>P</t>
        </is>
      </c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  <c r="AI7" s="71" t="n"/>
      <c r="AJ7" s="71" t="n"/>
    </row>
    <row r="8" ht="15.75" customHeight="1">
      <c r="A8" s="67" t="n">
        <v>5</v>
      </c>
      <c r="B8" s="67" t="n"/>
      <c r="C8" s="68">
        <f>+'Datos '!H5</f>
        <v/>
      </c>
      <c r="D8" s="69">
        <f>_xlfn.LET(_xlpm.rango, F8:AJ8, (COUNTIF(_xlpm.rango, "P") + COUNTIF(_xlpm.rango, "PF")) / (COUNTIF(_xlpm.rango, "P") + COUNTIF(_xlpm.rango, "A") + COUNTIF(_xlpm.rango, "PF")))</f>
        <v/>
      </c>
      <c r="E8" s="70">
        <f>COUNTIF(F8:W8,"PF")</f>
        <v/>
      </c>
      <c r="F8" s="71" t="inlineStr">
        <is>
          <t>P</t>
        </is>
      </c>
      <c r="G8" s="71" t="inlineStr">
        <is>
          <t>PF</t>
        </is>
      </c>
      <c r="H8" s="71" t="inlineStr">
        <is>
          <t>P</t>
        </is>
      </c>
      <c r="I8" s="71" t="inlineStr">
        <is>
          <t>PF</t>
        </is>
      </c>
      <c r="J8" s="71" t="inlineStr">
        <is>
          <t>P</t>
        </is>
      </c>
      <c r="K8" s="71" t="inlineStr">
        <is>
          <t>F</t>
        </is>
      </c>
      <c r="L8" s="71" t="inlineStr">
        <is>
          <t>PF</t>
        </is>
      </c>
      <c r="M8" s="71" t="inlineStr">
        <is>
          <t>PF</t>
        </is>
      </c>
      <c r="N8" s="71" t="n"/>
      <c r="O8" s="71" t="n"/>
      <c r="P8" s="71" t="n"/>
      <c r="Q8" s="71" t="inlineStr">
        <is>
          <t>F</t>
        </is>
      </c>
      <c r="R8" s="71" t="n"/>
      <c r="S8" s="71" t="inlineStr">
        <is>
          <t>P</t>
        </is>
      </c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</row>
    <row r="9" ht="15.75" customHeight="1">
      <c r="A9" s="67" t="n">
        <v>6</v>
      </c>
      <c r="B9" s="67" t="n"/>
      <c r="C9" s="68">
        <f>+'Datos '!H6</f>
        <v/>
      </c>
      <c r="D9" s="69">
        <f>_xlfn.LET(_xlpm.rango, F9:AJ9, (COUNTIF(_xlpm.rango, "P") + COUNTIF(_xlpm.rango, "PF")) / (COUNTIF(_xlpm.rango, "P") + COUNTIF(_xlpm.rango, "A") + COUNTIF(_xlpm.rango, "PF")))</f>
        <v/>
      </c>
      <c r="E9" s="70">
        <f>COUNTIF(F9:W9,"PF")</f>
        <v/>
      </c>
      <c r="F9" s="71" t="inlineStr">
        <is>
          <t>P</t>
        </is>
      </c>
      <c r="G9" s="71" t="inlineStr">
        <is>
          <t>PF</t>
        </is>
      </c>
      <c r="H9" s="71" t="inlineStr">
        <is>
          <t>P</t>
        </is>
      </c>
      <c r="I9" s="71" t="inlineStr">
        <is>
          <t>PF</t>
        </is>
      </c>
      <c r="J9" s="71" t="inlineStr">
        <is>
          <t>P</t>
        </is>
      </c>
      <c r="K9" s="71" t="inlineStr">
        <is>
          <t>F</t>
        </is>
      </c>
      <c r="L9" s="71" t="inlineStr">
        <is>
          <t>PF</t>
        </is>
      </c>
      <c r="M9" s="71" t="inlineStr">
        <is>
          <t>P</t>
        </is>
      </c>
      <c r="N9" s="71" t="n"/>
      <c r="O9" s="71" t="n"/>
      <c r="P9" s="71" t="n"/>
      <c r="Q9" s="71" t="inlineStr">
        <is>
          <t>F</t>
        </is>
      </c>
      <c r="R9" s="71" t="n"/>
      <c r="S9" s="71" t="inlineStr">
        <is>
          <t>P</t>
        </is>
      </c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</row>
    <row r="10" ht="15.75" customHeight="1">
      <c r="A10" s="67" t="n">
        <v>7</v>
      </c>
      <c r="B10" s="67" t="n"/>
      <c r="C10" s="68">
        <f>+'Datos '!H7</f>
        <v/>
      </c>
      <c r="D10" s="69">
        <f>_xlfn.LET(_xlpm.rango, F10:AJ10, (COUNTIF(_xlpm.rango, "P") + COUNTIF(_xlpm.rango, "PF")) / (COUNTIF(_xlpm.rango, "P") + COUNTIF(_xlpm.rango, "A") + COUNTIF(_xlpm.rango, "PF")))</f>
        <v/>
      </c>
      <c r="E10" s="70">
        <f>COUNTIF(F10:W10,"PF")</f>
        <v/>
      </c>
      <c r="F10" s="71" t="inlineStr">
        <is>
          <t>P</t>
        </is>
      </c>
      <c r="G10" s="71" t="inlineStr">
        <is>
          <t>PF</t>
        </is>
      </c>
      <c r="H10" s="71" t="inlineStr">
        <is>
          <t>P</t>
        </is>
      </c>
      <c r="I10" s="71" t="inlineStr">
        <is>
          <t>PF</t>
        </is>
      </c>
      <c r="J10" s="71" t="inlineStr">
        <is>
          <t>P</t>
        </is>
      </c>
      <c r="K10" s="71" t="inlineStr">
        <is>
          <t>F</t>
        </is>
      </c>
      <c r="L10" s="71" t="inlineStr">
        <is>
          <t>PF</t>
        </is>
      </c>
      <c r="M10" s="71" t="inlineStr">
        <is>
          <t>PF</t>
        </is>
      </c>
      <c r="N10" s="71" t="n"/>
      <c r="O10" s="71" t="n"/>
      <c r="P10" s="71" t="n"/>
      <c r="Q10" s="71" t="inlineStr">
        <is>
          <t>F</t>
        </is>
      </c>
      <c r="R10" s="71" t="n"/>
      <c r="S10" s="71" t="inlineStr">
        <is>
          <t>a</t>
        </is>
      </c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  <c r="AJ10" s="71" t="n"/>
    </row>
    <row r="11" ht="15.75" customHeight="1">
      <c r="A11" s="67" t="n">
        <v>8</v>
      </c>
      <c r="B11" s="67" t="n"/>
      <c r="C11" s="68">
        <f>+'Datos '!H8</f>
        <v/>
      </c>
      <c r="D11" s="69">
        <f>_xlfn.LET(_xlpm.rango, F11:AJ11, (COUNTIF(_xlpm.rango, "P") + COUNTIF(_xlpm.rango, "PF")) / (COUNTIF(_xlpm.rango, "P") + COUNTIF(_xlpm.rango, "A") + COUNTIF(_xlpm.rango, "PF")))</f>
        <v/>
      </c>
      <c r="E11" s="70">
        <f>COUNTIF(F11:W11,"PF")</f>
        <v/>
      </c>
      <c r="F11" s="71" t="inlineStr">
        <is>
          <t>P</t>
        </is>
      </c>
      <c r="G11" s="71" t="inlineStr">
        <is>
          <t>PF</t>
        </is>
      </c>
      <c r="H11" s="71" t="inlineStr">
        <is>
          <t>P</t>
        </is>
      </c>
      <c r="I11" s="71" t="inlineStr">
        <is>
          <t>PF</t>
        </is>
      </c>
      <c r="J11" s="71" t="inlineStr">
        <is>
          <t>P</t>
        </is>
      </c>
      <c r="K11" s="71" t="inlineStr">
        <is>
          <t>F</t>
        </is>
      </c>
      <c r="L11" s="71" t="inlineStr">
        <is>
          <t>PF</t>
        </is>
      </c>
      <c r="M11" s="71" t="inlineStr">
        <is>
          <t>P</t>
        </is>
      </c>
      <c r="N11" s="71" t="n"/>
      <c r="O11" s="71" t="n"/>
      <c r="P11" s="71" t="n"/>
      <c r="Q11" s="71" t="inlineStr">
        <is>
          <t>F</t>
        </is>
      </c>
      <c r="R11" s="71" t="n"/>
      <c r="S11" s="72" t="inlineStr">
        <is>
          <t>aj</t>
        </is>
      </c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  <c r="AI11" s="71" t="n"/>
      <c r="AJ11" s="71" t="n"/>
    </row>
    <row r="12" ht="15.75" customHeight="1">
      <c r="A12" s="67" t="n">
        <v>9</v>
      </c>
      <c r="B12" s="67" t="inlineStr">
        <is>
          <t>D</t>
        </is>
      </c>
      <c r="C12" s="68">
        <f>+'Datos '!H9</f>
        <v/>
      </c>
      <c r="D12" s="69">
        <f>_xlfn.LET(_xlpm.rango, F12:AJ12, (COUNTIF(_xlpm.rango, "P") + COUNTIF(_xlpm.rango, "PF")) / (COUNTIF(_xlpm.rango, "P") + COUNTIF(_xlpm.rango, "A") + COUNTIF(_xlpm.rango, "PF")))</f>
        <v/>
      </c>
      <c r="E12" s="70">
        <f>COUNTIF(F12:W12,"PF")</f>
        <v/>
      </c>
      <c r="F12" s="71" t="inlineStr">
        <is>
          <t>P</t>
        </is>
      </c>
      <c r="G12" s="71" t="inlineStr">
        <is>
          <t>PF</t>
        </is>
      </c>
      <c r="H12" s="71" t="inlineStr">
        <is>
          <t>P</t>
        </is>
      </c>
      <c r="I12" s="71" t="inlineStr">
        <is>
          <t>PF</t>
        </is>
      </c>
      <c r="J12" s="71" t="inlineStr">
        <is>
          <t>P</t>
        </is>
      </c>
      <c r="K12" s="71" t="inlineStr">
        <is>
          <t>F</t>
        </is>
      </c>
      <c r="L12" s="71" t="inlineStr">
        <is>
          <t>PF</t>
        </is>
      </c>
      <c r="M12" s="71" t="inlineStr">
        <is>
          <t>PF</t>
        </is>
      </c>
      <c r="N12" s="71" t="n"/>
      <c r="O12" s="71" t="n"/>
      <c r="P12" s="71" t="n"/>
      <c r="Q12" s="71" t="inlineStr">
        <is>
          <t>F</t>
        </is>
      </c>
      <c r="R12" s="71" t="n"/>
      <c r="S12" s="71" t="inlineStr">
        <is>
          <t>P</t>
        </is>
      </c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</row>
    <row r="13" ht="15.75" customHeight="1">
      <c r="A13" s="67" t="n">
        <v>10</v>
      </c>
      <c r="B13" s="67" t="n"/>
      <c r="C13" s="68">
        <f>+'Datos '!H10</f>
        <v/>
      </c>
      <c r="D13" s="69">
        <f>_xlfn.LET(_xlpm.rango, F13:AJ13, (COUNTIF(_xlpm.rango, "P") + COUNTIF(_xlpm.rango, "PF")) / (COUNTIF(_xlpm.rango, "P") + COUNTIF(_xlpm.rango, "A") + COUNTIF(_xlpm.rango, "PF")))</f>
        <v/>
      </c>
      <c r="E13" s="70">
        <f>COUNTIF(F13:W13,"PF")</f>
        <v/>
      </c>
      <c r="F13" s="71" t="inlineStr">
        <is>
          <t>P</t>
        </is>
      </c>
      <c r="G13" s="71" t="inlineStr">
        <is>
          <t>PF</t>
        </is>
      </c>
      <c r="H13" s="71" t="inlineStr">
        <is>
          <t>P</t>
        </is>
      </c>
      <c r="I13" s="71" t="inlineStr">
        <is>
          <t>PF</t>
        </is>
      </c>
      <c r="J13" s="71" t="inlineStr">
        <is>
          <t>P</t>
        </is>
      </c>
      <c r="K13" s="71" t="inlineStr">
        <is>
          <t>F</t>
        </is>
      </c>
      <c r="L13" s="71" t="inlineStr">
        <is>
          <t>PF</t>
        </is>
      </c>
      <c r="M13" s="71" t="inlineStr">
        <is>
          <t>PF</t>
        </is>
      </c>
      <c r="N13" s="71" t="n"/>
      <c r="O13" s="71" t="n"/>
      <c r="P13" s="71" t="n"/>
      <c r="Q13" s="71" t="inlineStr">
        <is>
          <t>F</t>
        </is>
      </c>
      <c r="R13" s="71" t="n"/>
      <c r="S13" s="71" t="inlineStr">
        <is>
          <t>P</t>
        </is>
      </c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</row>
    <row r="14" ht="15.75" customHeight="1">
      <c r="A14" s="67" t="n">
        <v>11</v>
      </c>
      <c r="B14" s="67" t="n"/>
      <c r="C14" s="68">
        <f>+'Datos '!H11</f>
        <v/>
      </c>
      <c r="D14" s="69">
        <f>_xlfn.LET(_xlpm.rango, F14:AJ14, (COUNTIF(_xlpm.rango, "P") + COUNTIF(_xlpm.rango, "PF")) / (COUNTIF(_xlpm.rango, "P") + COUNTIF(_xlpm.rango, "A") + COUNTIF(_xlpm.rango, "PF")))</f>
        <v/>
      </c>
      <c r="E14" s="70">
        <f>COUNTIF(F14:W14,"PF")</f>
        <v/>
      </c>
      <c r="F14" s="71" t="inlineStr">
        <is>
          <t>P</t>
        </is>
      </c>
      <c r="G14" s="71" t="inlineStr">
        <is>
          <t>PF</t>
        </is>
      </c>
      <c r="H14" s="71" t="inlineStr">
        <is>
          <t>P</t>
        </is>
      </c>
      <c r="I14" s="71" t="inlineStr">
        <is>
          <t>PF</t>
        </is>
      </c>
      <c r="J14" s="71" t="inlineStr">
        <is>
          <t>P</t>
        </is>
      </c>
      <c r="K14" s="71" t="inlineStr">
        <is>
          <t>F</t>
        </is>
      </c>
      <c r="L14" s="71" t="inlineStr">
        <is>
          <t>PF</t>
        </is>
      </c>
      <c r="M14" s="71" t="inlineStr">
        <is>
          <t>PF</t>
        </is>
      </c>
      <c r="N14" s="71" t="n"/>
      <c r="O14" s="71" t="n"/>
      <c r="P14" s="71" t="n"/>
      <c r="Q14" s="71" t="inlineStr">
        <is>
          <t>F</t>
        </is>
      </c>
      <c r="R14" s="71" t="n"/>
      <c r="S14" s="71" t="inlineStr">
        <is>
          <t>P</t>
        </is>
      </c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</row>
    <row r="15" ht="15.75" customHeight="1">
      <c r="A15" s="67" t="n">
        <v>12</v>
      </c>
      <c r="B15" s="67" t="n"/>
      <c r="C15" s="68">
        <f>+'Datos '!H12</f>
        <v/>
      </c>
      <c r="D15" s="69">
        <f>_xlfn.LET(_xlpm.rango, F15:AJ15, (COUNTIF(_xlpm.rango, "P") + COUNTIF(_xlpm.rango, "PF")) / (COUNTIF(_xlpm.rango, "P") + COUNTIF(_xlpm.rango, "A") + COUNTIF(_xlpm.rango, "PF")))</f>
        <v/>
      </c>
      <c r="E15" s="70">
        <f>COUNTIF(F15:W15,"PF")</f>
        <v/>
      </c>
      <c r="F15" s="71" t="inlineStr">
        <is>
          <t>P</t>
        </is>
      </c>
      <c r="G15" s="71" t="inlineStr">
        <is>
          <t>PF</t>
        </is>
      </c>
      <c r="H15" s="71" t="inlineStr">
        <is>
          <t>P</t>
        </is>
      </c>
      <c r="I15" s="71" t="inlineStr">
        <is>
          <t>PF</t>
        </is>
      </c>
      <c r="J15" s="71" t="inlineStr">
        <is>
          <t>P</t>
        </is>
      </c>
      <c r="K15" s="71" t="inlineStr">
        <is>
          <t>F</t>
        </is>
      </c>
      <c r="L15" s="71" t="inlineStr">
        <is>
          <t>PF</t>
        </is>
      </c>
      <c r="M15" s="71" t="inlineStr">
        <is>
          <t>PF</t>
        </is>
      </c>
      <c r="N15" s="71" t="n"/>
      <c r="O15" s="71" t="n"/>
      <c r="P15" s="71" t="n"/>
      <c r="Q15" s="71" t="inlineStr">
        <is>
          <t>F</t>
        </is>
      </c>
      <c r="R15" s="71" t="n"/>
      <c r="S15" s="71" t="inlineStr">
        <is>
          <t>P</t>
        </is>
      </c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</row>
    <row r="16" ht="15.75" customHeight="1">
      <c r="A16" s="67" t="n">
        <v>13</v>
      </c>
      <c r="B16" s="67" t="n"/>
      <c r="C16" s="68">
        <f>+'Datos '!H13</f>
        <v/>
      </c>
      <c r="D16" s="69">
        <f>_xlfn.LET(_xlpm.rango, F16:AJ16, (COUNTIF(_xlpm.rango, "P") + COUNTIF(_xlpm.rango, "PF")) / (COUNTIF(_xlpm.rango, "P") + COUNTIF(_xlpm.rango, "A") + COUNTIF(_xlpm.rango, "PF")))</f>
        <v/>
      </c>
      <c r="E16" s="70">
        <f>COUNTIF(F16:W16,"PF")</f>
        <v/>
      </c>
      <c r="F16" s="71" t="inlineStr">
        <is>
          <t>P</t>
        </is>
      </c>
      <c r="G16" s="71" t="inlineStr">
        <is>
          <t>PF</t>
        </is>
      </c>
      <c r="H16" s="71" t="inlineStr">
        <is>
          <t>P</t>
        </is>
      </c>
      <c r="I16" s="71" t="inlineStr">
        <is>
          <t>PF</t>
        </is>
      </c>
      <c r="J16" s="71" t="inlineStr">
        <is>
          <t>P</t>
        </is>
      </c>
      <c r="K16" s="71" t="inlineStr">
        <is>
          <t>F</t>
        </is>
      </c>
      <c r="L16" s="71" t="inlineStr">
        <is>
          <t>PF</t>
        </is>
      </c>
      <c r="M16" s="71" t="inlineStr">
        <is>
          <t>P</t>
        </is>
      </c>
      <c r="N16" s="71" t="n"/>
      <c r="O16" s="71" t="n"/>
      <c r="P16" s="71" t="n"/>
      <c r="Q16" s="71" t="inlineStr">
        <is>
          <t>F</t>
        </is>
      </c>
      <c r="R16" s="71" t="n"/>
      <c r="S16" s="71" t="inlineStr">
        <is>
          <t>P</t>
        </is>
      </c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</row>
    <row r="17" ht="15.75" customHeight="1">
      <c r="A17" s="67" t="n">
        <v>14</v>
      </c>
      <c r="B17" s="67" t="n"/>
      <c r="C17" s="68">
        <f>+'Datos '!H14</f>
        <v/>
      </c>
      <c r="D17" s="69">
        <f>_xlfn.LET(_xlpm.rango, F17:AJ17, (COUNTIF(_xlpm.rango, "P") + COUNTIF(_xlpm.rango, "PF")) / (COUNTIF(_xlpm.rango, "P") + COUNTIF(_xlpm.rango, "A") + COUNTIF(_xlpm.rango, "PF")))</f>
        <v/>
      </c>
      <c r="E17" s="70">
        <f>COUNTIF(F17:W17,"PF")</f>
        <v/>
      </c>
      <c r="F17" s="71" t="inlineStr">
        <is>
          <t>P</t>
        </is>
      </c>
      <c r="G17" s="71" t="inlineStr">
        <is>
          <t>PF</t>
        </is>
      </c>
      <c r="H17" s="71" t="inlineStr">
        <is>
          <t>P</t>
        </is>
      </c>
      <c r="I17" s="71" t="inlineStr">
        <is>
          <t>PF</t>
        </is>
      </c>
      <c r="J17" s="71" t="inlineStr">
        <is>
          <t>P</t>
        </is>
      </c>
      <c r="K17" s="71" t="inlineStr">
        <is>
          <t>F</t>
        </is>
      </c>
      <c r="L17" s="71" t="inlineStr">
        <is>
          <t>PF</t>
        </is>
      </c>
      <c r="M17" s="71" t="inlineStr">
        <is>
          <t>PFP</t>
        </is>
      </c>
      <c r="N17" s="71" t="n"/>
      <c r="O17" s="71" t="n"/>
      <c r="P17" s="71" t="n"/>
      <c r="Q17" s="71" t="inlineStr">
        <is>
          <t>F</t>
        </is>
      </c>
      <c r="R17" s="71" t="n"/>
      <c r="S17" s="71" t="inlineStr">
        <is>
          <t>P</t>
        </is>
      </c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</row>
    <row r="18" ht="15.75" customHeight="1">
      <c r="A18" s="67" t="n">
        <v>15</v>
      </c>
      <c r="B18" s="67" t="n"/>
      <c r="C18" s="68" t="inlineStr">
        <is>
          <t>ESTIGARRIBIA, ALISON</t>
        </is>
      </c>
      <c r="S18" s="73" t="inlineStr">
        <is>
          <t>a</t>
        </is>
      </c>
    </row>
  </sheetData>
  <mergeCells count="1">
    <mergeCell ref="T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3" customWidth="1" min="1" max="1"/>
    <col width="39.85546875" customWidth="1" min="2" max="2"/>
    <col width="11.7109375" customWidth="1" min="3" max="3"/>
    <col width="12" customWidth="1" min="4" max="4"/>
    <col width="13.140625" customWidth="1" min="5" max="5"/>
    <col width="14.140625" customWidth="1" min="6" max="6"/>
    <col width="11.5703125" customWidth="1" min="7" max="7"/>
    <col width="12.140625" customWidth="1" min="8" max="8"/>
    <col width="9.7109375" customWidth="1" min="9" max="9"/>
    <col width="12.140625" customWidth="1" min="10" max="10"/>
    <col width="11.28515625" customWidth="1" min="11" max="11"/>
    <col width="12.140625" customWidth="1" min="12" max="12"/>
    <col width="10.7109375" customWidth="1" min="13" max="13"/>
    <col width="10.28515625" customWidth="1" min="14" max="14"/>
    <col width="10.5703125" customWidth="1" min="16" max="16"/>
    <col width="11.85546875" customWidth="1" min="17" max="17"/>
    <col width="10.28515625" customWidth="1" min="18" max="18"/>
    <col width="15.140625" customWidth="1" min="19" max="19"/>
    <col width="10.7109375" customWidth="1" min="20" max="20"/>
    <col width="15" customWidth="1" min="21" max="21"/>
    <col width="10.85546875" customWidth="1" min="22" max="22"/>
    <col width="9.7109375" customWidth="1" min="23" max="23"/>
    <col width="9.85546875" customWidth="1" min="24" max="24"/>
    <col width="11.5703125" customWidth="1" min="25" max="25"/>
    <col width="13" customWidth="1" min="26" max="26"/>
    <col width="14.140625" customWidth="1" min="27" max="27"/>
  </cols>
  <sheetData>
    <row r="1" ht="15.75" customHeight="1">
      <c r="C1" s="74" t="n"/>
      <c r="D1" s="39" t="n"/>
      <c r="E1" s="39" t="n"/>
      <c r="F1" s="40" t="n"/>
      <c r="G1" s="74" t="n"/>
      <c r="H1" s="75" t="n"/>
      <c r="I1" s="39" t="n"/>
      <c r="J1" s="39" t="n"/>
      <c r="K1" s="40" t="n"/>
      <c r="L1" s="76" t="n"/>
      <c r="M1" s="40" t="n"/>
      <c r="N1" s="75" t="n"/>
      <c r="O1" s="75" t="inlineStr">
        <is>
          <t>Promoción de la Salud</t>
        </is>
      </c>
      <c r="P1" s="40" t="n"/>
    </row>
    <row r="2" ht="69" customHeight="1">
      <c r="A2" s="77" t="inlineStr">
        <is>
          <t>ID</t>
        </is>
      </c>
      <c r="B2" s="77" t="inlineStr">
        <is>
          <t>Nombre del Alumno</t>
        </is>
      </c>
      <c r="C2" s="78" t="inlineStr">
        <is>
          <t>- Identifica principios éticos y morales.</t>
        </is>
      </c>
      <c r="D2" s="78" t="inlineStr">
        <is>
          <t>- Diferencia moral y moralidad.</t>
        </is>
      </c>
      <c r="E2" s="78" t="inlineStr">
        <is>
          <t>- Reconoce problemáticas éticas globales.</t>
        </is>
      </c>
      <c r="F2" s="78" t="inlineStr">
        <is>
          <t>- Analiza causas de la mortalidad infantil.</t>
        </is>
      </c>
      <c r="G2" s="78" t="inlineStr">
        <is>
          <t>- Valora el código de convivencia.</t>
        </is>
      </c>
      <c r="H2" s="78" t="inlineStr">
        <is>
          <t>- Propone normas de respeto mutuo.</t>
        </is>
      </c>
      <c r="I2" s="78" t="inlineStr">
        <is>
          <t>- Define tipos de bullying.</t>
        </is>
      </c>
      <c r="J2" s="79" t="inlineStr">
        <is>
          <t>- Identifica consecuencias psicológicas.</t>
        </is>
      </c>
      <c r="K2" s="79" t="inlineStr">
        <is>
          <t>- Propone acciones de prevención.</t>
        </is>
      </c>
      <c r="L2" s="79" t="inlineStr">
        <is>
          <t>- Diferencia mediación de negociación.</t>
        </is>
      </c>
      <c r="M2" s="79" t="inlineStr">
        <is>
          <t>- Aplica pasos de la negociación asertiva.</t>
        </is>
      </c>
      <c r="N2" s="80" t="inlineStr">
        <is>
          <t>- Define el concepto de canasta básica.</t>
        </is>
      </c>
      <c r="O2" s="80" t="inlineStr">
        <is>
          <t>- Analiza el impacto de la pobreza.</t>
        </is>
      </c>
      <c r="P2" s="80" t="inlineStr">
        <is>
          <t>- Identifica tipos de violencia familiar.</t>
        </is>
      </c>
      <c r="Q2" s="80" t="inlineStr">
        <is>
          <t>- Conoce rutas de denuncia en Paraguay.</t>
        </is>
      </c>
      <c r="R2" s="79" t="inlineStr">
        <is>
          <t>- Explica la universalidad de los derechos.</t>
        </is>
      </c>
      <c r="S2" s="79" t="inlineStr">
        <is>
          <t>- Distingue progresividad de irreversibilidad.</t>
        </is>
      </c>
      <c r="T2" s="79" t="inlineStr">
        <is>
          <t>- Reconoce formas de explotación infantil.</t>
        </is>
      </c>
      <c r="U2" s="79" t="inlineStr">
        <is>
          <t>- Valora la protección contra el trabajo forzado.</t>
        </is>
      </c>
      <c r="V2" s="80" t="inlineStr">
        <is>
          <t>- Identifica factores de exclusión femenina.</t>
        </is>
      </c>
      <c r="W2" s="80" t="inlineStr">
        <is>
          <t>- Propone acciones para la igualdad.</t>
        </is>
      </c>
      <c r="X2" s="80" t="inlineStr">
        <is>
          <t>- Identifica la función tributaria.</t>
        </is>
      </c>
      <c r="Y2" s="80" t="inlineStr">
        <is>
          <t>- Valora la función social de los tributos.</t>
        </is>
      </c>
      <c r="Z2" s="80" t="inlineStr">
        <is>
          <t>- Reconoce funciones del Ministerio de Hacienda.</t>
        </is>
      </c>
      <c r="AA2" s="80" t="inlineStr">
        <is>
          <t>- Diferencia roles de Intendentes y Gobernadores.</t>
        </is>
      </c>
    </row>
    <row r="3">
      <c r="A3" s="81" t="n">
        <v>1</v>
      </c>
      <c r="B3" s="81">
        <f>+'03-ASISTENCIA'!C3</f>
        <v/>
      </c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82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</row>
    <row r="4">
      <c r="A4" s="81" t="n">
        <v>2</v>
      </c>
      <c r="B4" s="81">
        <f>+'03-ASISTENCIA'!C4</f>
        <v/>
      </c>
      <c r="C4" s="82" t="n">
        <v>1</v>
      </c>
      <c r="D4" s="82" t="n">
        <v>1</v>
      </c>
      <c r="E4" s="82" t="n">
        <v>1</v>
      </c>
      <c r="F4" s="82" t="n"/>
      <c r="G4" s="82" t="n"/>
      <c r="H4" s="82" t="n">
        <v>1</v>
      </c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</row>
    <row r="5">
      <c r="A5" s="81" t="n">
        <v>3</v>
      </c>
      <c r="B5" s="81">
        <f>+'03-ASISTENCIA'!C5</f>
        <v/>
      </c>
      <c r="C5" s="82" t="n">
        <v>1</v>
      </c>
      <c r="D5" s="82" t="n">
        <v>1</v>
      </c>
      <c r="E5" s="82" t="n">
        <v>1</v>
      </c>
      <c r="F5" s="82" t="n"/>
      <c r="G5" s="82" t="n"/>
      <c r="H5" s="82" t="n">
        <v>1</v>
      </c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</row>
    <row r="6">
      <c r="A6" s="81" t="n">
        <v>4</v>
      </c>
      <c r="B6" s="81">
        <f>+'03-ASISTENCIA'!C6</f>
        <v/>
      </c>
      <c r="C6" s="82" t="n">
        <v>1</v>
      </c>
      <c r="D6" s="82" t="n">
        <v>1</v>
      </c>
      <c r="E6" s="82" t="n">
        <v>1</v>
      </c>
      <c r="F6" s="82" t="n"/>
      <c r="G6" s="82" t="n"/>
      <c r="H6" s="82" t="n">
        <v>1</v>
      </c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</row>
    <row r="7">
      <c r="A7" s="81" t="n">
        <v>5</v>
      </c>
      <c r="B7" s="81">
        <f>+'03-ASISTENCIA'!C7</f>
        <v/>
      </c>
      <c r="C7" s="82" t="n">
        <v>1</v>
      </c>
      <c r="D7" s="82" t="n">
        <v>1</v>
      </c>
      <c r="E7" s="82" t="n">
        <v>1</v>
      </c>
      <c r="F7" s="82" t="n"/>
      <c r="G7" s="82" t="n"/>
      <c r="H7" s="82" t="n">
        <v>1</v>
      </c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</row>
    <row r="8">
      <c r="A8" s="81" t="n">
        <v>6</v>
      </c>
      <c r="B8" s="81">
        <f>+'03-ASISTENCIA'!C8</f>
        <v/>
      </c>
      <c r="C8" s="82" t="n">
        <v>1</v>
      </c>
      <c r="D8" s="82" t="n">
        <v>1</v>
      </c>
      <c r="E8" s="82" t="n">
        <v>1</v>
      </c>
      <c r="F8" s="82" t="n"/>
      <c r="G8" s="82" t="n"/>
      <c r="H8" s="82" t="n">
        <v>1</v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</row>
    <row r="9">
      <c r="A9" s="81" t="n">
        <v>7</v>
      </c>
      <c r="B9" s="83">
        <f>+'03-ASISTENCIA'!C9</f>
        <v/>
      </c>
      <c r="C9" s="82" t="n">
        <v>1</v>
      </c>
      <c r="D9" s="82" t="n">
        <v>1</v>
      </c>
      <c r="E9" s="82" t="n">
        <v>1</v>
      </c>
      <c r="F9" s="82" t="n"/>
      <c r="G9" s="82" t="n"/>
      <c r="H9" s="82" t="n">
        <v>1</v>
      </c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</row>
    <row r="10">
      <c r="A10" s="81" t="n">
        <v>8</v>
      </c>
      <c r="B10" s="81">
        <f>+'03-ASISTENCIA'!C10</f>
        <v/>
      </c>
      <c r="C10" s="82" t="n">
        <v>1</v>
      </c>
      <c r="D10" s="82" t="n">
        <v>1</v>
      </c>
      <c r="E10" s="82" t="n">
        <v>1</v>
      </c>
      <c r="F10" s="82" t="n"/>
      <c r="G10" s="82" t="n"/>
      <c r="H10" s="82" t="n">
        <v>1</v>
      </c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</row>
    <row r="11">
      <c r="A11" s="81" t="n">
        <v>9</v>
      </c>
      <c r="B11" s="81">
        <f>+'03-ASISTENCIA'!C11</f>
        <v/>
      </c>
      <c r="C11" s="82" t="n">
        <v>1</v>
      </c>
      <c r="D11" s="82" t="n">
        <v>1</v>
      </c>
      <c r="E11" s="82" t="n">
        <v>1</v>
      </c>
      <c r="F11" s="82" t="n"/>
      <c r="G11" s="82" t="n"/>
      <c r="H11" s="82" t="n">
        <v>1</v>
      </c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</row>
    <row r="12">
      <c r="A12" s="81" t="n">
        <v>10</v>
      </c>
      <c r="B12" s="81">
        <f>+'03-ASISTENCIA'!C12</f>
        <v/>
      </c>
      <c r="C12" s="82" t="n">
        <v>1</v>
      </c>
      <c r="D12" s="82" t="n">
        <v>1</v>
      </c>
      <c r="E12" s="82" t="n">
        <v>1</v>
      </c>
      <c r="F12" s="82" t="n"/>
      <c r="G12" s="82" t="n"/>
      <c r="H12" s="82" t="n">
        <v>1</v>
      </c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</row>
    <row r="13">
      <c r="A13" s="81" t="n">
        <v>11</v>
      </c>
      <c r="B13" s="81">
        <f>+'03-ASISTENCIA'!C13</f>
        <v/>
      </c>
      <c r="C13" s="82" t="n">
        <v>1</v>
      </c>
      <c r="D13" s="82" t="n">
        <v>1</v>
      </c>
      <c r="E13" s="82" t="n">
        <v>1</v>
      </c>
      <c r="F13" s="82" t="n"/>
      <c r="G13" s="82" t="n"/>
      <c r="H13" s="82" t="n">
        <v>1</v>
      </c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2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</row>
    <row r="14">
      <c r="A14" s="81" t="n">
        <v>12</v>
      </c>
      <c r="B14" s="81">
        <f>+'03-ASISTENCIA'!C14</f>
        <v/>
      </c>
      <c r="C14" s="82" t="n">
        <v>1</v>
      </c>
      <c r="D14" s="82" t="n">
        <v>1</v>
      </c>
      <c r="E14" s="82" t="n">
        <v>1</v>
      </c>
      <c r="F14" s="82" t="n"/>
      <c r="G14" s="82" t="n"/>
      <c r="H14" s="82" t="n">
        <v>1</v>
      </c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2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</row>
    <row r="15">
      <c r="A15" s="81" t="n">
        <v>13</v>
      </c>
      <c r="B15" s="81">
        <f>+'03-ASISTENCIA'!C15</f>
        <v/>
      </c>
      <c r="C15" s="82" t="n">
        <v>1</v>
      </c>
      <c r="D15" s="82" t="n">
        <v>1</v>
      </c>
      <c r="E15" s="82" t="n">
        <v>1</v>
      </c>
      <c r="F15" s="82" t="n"/>
      <c r="G15" s="82" t="n"/>
      <c r="H15" s="82" t="n">
        <v>1</v>
      </c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2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</row>
    <row r="16">
      <c r="A16" s="81" t="n">
        <v>14</v>
      </c>
      <c r="B16" s="81">
        <f>+'03-ASISTENCIA'!C16</f>
        <v/>
      </c>
      <c r="C16" s="82" t="n">
        <v>1</v>
      </c>
      <c r="D16" s="82" t="n">
        <v>1</v>
      </c>
      <c r="E16" s="82" t="n">
        <v>1</v>
      </c>
      <c r="F16" s="82" t="n"/>
      <c r="G16" s="82" t="n"/>
      <c r="H16" s="82" t="n">
        <v>1</v>
      </c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</row>
    <row r="17">
      <c r="A17" s="81" t="n">
        <v>15</v>
      </c>
      <c r="B17" s="81">
        <f>+'03-ASISTENCIA'!C17</f>
        <v/>
      </c>
      <c r="C17" s="82" t="n">
        <v>1</v>
      </c>
      <c r="D17" s="82" t="n">
        <v>1</v>
      </c>
      <c r="E17" s="82" t="n">
        <v>1</v>
      </c>
      <c r="F17" s="82" t="n"/>
      <c r="G17" s="82" t="n"/>
      <c r="H17" s="82" t="n">
        <v>1</v>
      </c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</row>
  </sheetData>
  <mergeCells count="4">
    <mergeCell ref="L1:M1"/>
    <mergeCell ref="H1:K1"/>
    <mergeCell ref="O1:P1"/>
    <mergeCell ref="C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</cols>
  <sheetData>
    <row r="1">
      <c r="A1" s="84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85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.5703125" customWidth="1" min="1" max="1"/>
    <col width="17.85546875" customWidth="1" min="2" max="2"/>
    <col width="45.85546875" customWidth="1" min="3" max="3"/>
    <col width="13.5703125" customWidth="1" min="4" max="4"/>
    <col width="18.7109375" customWidth="1" min="5" max="5"/>
  </cols>
  <sheetData>
    <row r="1">
      <c r="A1" s="21" t="inlineStr">
        <is>
          <t>Detalles de . - Alumno : Nombre y Apellido, Categoria: Alerta/Mejora</t>
        </is>
      </c>
    </row>
    <row r="2"/>
    <row r="3">
      <c r="A3" t="inlineStr">
        <is>
          <t xml:space="preserve">Fecha </t>
        </is>
      </c>
      <c r="B3" t="inlineStr">
        <is>
          <t xml:space="preserve">Alumno </t>
        </is>
      </c>
      <c r="C3" t="inlineStr">
        <is>
          <t>Situación</t>
        </is>
      </c>
      <c r="D3" t="inlineStr">
        <is>
          <t>Categoria</t>
        </is>
      </c>
      <c r="E3" t="inlineStr">
        <is>
          <t>Tipo de Indicador</t>
        </is>
      </c>
    </row>
    <row r="4">
      <c r="A4" s="86" t="n">
        <v>46131</v>
      </c>
      <c r="B4" t="inlineStr">
        <is>
          <t>Nombre y Apellido</t>
        </is>
      </c>
      <c r="C4" t="inlineStr">
        <is>
          <t>Ale-06. Entrega tareas incompletas o descuidadas.</t>
        </is>
      </c>
      <c r="D4" t="inlineStr">
        <is>
          <t>Alerta/Mejora</t>
        </is>
      </c>
      <c r="E4" t="inlineStr">
        <is>
          <t>Académica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87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87" t="inlineStr">
        <is>
          <t>Total general</t>
        </is>
      </c>
      <c r="C5" t="n">
        <v>1</v>
      </c>
      <c r="E5" s="87" t="inlineStr">
        <is>
          <t>Nombre y Apellido</t>
        </is>
      </c>
      <c r="F5" t="n">
        <v>1</v>
      </c>
      <c r="G5" t="n">
        <v>1</v>
      </c>
    </row>
    <row r="6">
      <c r="E6" s="87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87" t="inlineStr">
        <is>
          <t>Total general</t>
        </is>
      </c>
    </row>
    <row r="10"/>
    <row r="11"/>
    <row r="12">
      <c r="I12" s="86" t="n">
        <v>46136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5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6.85546875" customWidth="1" min="4" max="4"/>
    <col width="9.7109375" customWidth="1" min="5" max="5"/>
    <col width="9.7109375" customWidth="1" min="6" max="6"/>
    <col width="11.28515625" customWidth="1" min="13" max="13"/>
    <col width="11.85546875" customWidth="1" min="18" max="18"/>
    <col width="12.28515625" customWidth="1" min="19" max="19"/>
    <col width="10.42578125" customWidth="1" min="21" max="21"/>
    <col width="10.7109375" customWidth="1" min="101" max="101"/>
  </cols>
  <sheetData>
    <row r="1" ht="61.5" customHeight="1">
      <c r="A1" s="62" t="inlineStr">
        <is>
          <t>N° Orden</t>
        </is>
      </c>
      <c r="B1" s="62" t="n"/>
      <c r="C1" s="62" t="inlineStr">
        <is>
          <t>Apellido/s Nombre/s</t>
        </is>
      </c>
      <c r="D1" s="88" t="inlineStr">
        <is>
          <t>GrupoS</t>
        </is>
      </c>
      <c r="E1" s="63" t="inlineStr">
        <is>
          <t>Suma</t>
        </is>
      </c>
      <c r="F1" s="89" t="inlineStr">
        <is>
          <t>Carpeta</t>
        </is>
      </c>
      <c r="G1" s="90" t="inlineStr">
        <is>
          <t>1| El grupo se organizó adecuadamente..</t>
        </is>
      </c>
      <c r="H1" s="91" t="inlineStr">
        <is>
          <t>2| Los roles estuvieron claramente distribuidos..</t>
        </is>
      </c>
      <c r="I1" s="91" t="inlineStr">
        <is>
          <t>3| Todos asumieron responsabilidades..</t>
        </is>
      </c>
      <c r="J1" s="91" t="inlineStr">
        <is>
          <t>4| Todos los integrantes participaron..</t>
        </is>
      </c>
      <c r="K1" s="91" t="inlineStr">
        <is>
          <t>5| Existió respeto entre compañeros..</t>
        </is>
      </c>
      <c r="L1" s="91" t="inlineStr">
        <is>
          <t>6| Se observó compromiso grupal..</t>
        </is>
      </c>
      <c r="M1" s="91" t="inlineStr">
        <is>
          <t>7| El tema ético fue comprendido correctamente..</t>
        </is>
      </c>
      <c r="N1" s="91" t="inlineStr">
        <is>
          <t>8| La dramatización representó una situación ética clara..</t>
        </is>
      </c>
      <c r="O1" s="91" t="inlineStr">
        <is>
          <t>9| El contenido estuvo relacionado con valores y ciudadanía..</t>
        </is>
      </c>
      <c r="P1" s="91" t="inlineStr">
        <is>
          <t>10| La presentación fue creativa..</t>
        </is>
      </c>
      <c r="Q1" s="91" t="inlineStr">
        <is>
          <t>11| Utilizaron ambientación adecuada..</t>
        </is>
      </c>
      <c r="R1" s="91" t="inlineStr">
        <is>
          <t>12| El vestuario ayudó a representar la dramatización..</t>
        </is>
      </c>
      <c r="S1" s="91" t="inlineStr">
        <is>
          <t>13| Los estudiantes se expresaron con claridad..</t>
        </is>
      </c>
      <c r="T1" s="91" t="inlineStr">
        <is>
          <t>14| Respetaron el tiempo asignado..</t>
        </is>
      </c>
      <c r="U1" s="91" t="inlineStr">
        <is>
          <t>15| La reflexión final dejó una enseñanza ética..</t>
        </is>
      </c>
      <c r="CW1" s="66">
        <f>+TODAY()</f>
        <v/>
      </c>
    </row>
    <row r="2" ht="15.75" customHeight="1">
      <c r="A2" s="67" t="n">
        <v>1</v>
      </c>
      <c r="B2" s="67" t="n"/>
      <c r="C2" s="68">
        <f>+'Datos '!H1</f>
        <v/>
      </c>
      <c r="D2" s="67" t="inlineStr">
        <is>
          <t>G3</t>
        </is>
      </c>
      <c r="E2" s="70">
        <f>+SUM(F2:U2)</f>
        <v/>
      </c>
      <c r="F2" s="70" t="n">
        <v>1</v>
      </c>
      <c r="G2" s="70" t="n">
        <v>1</v>
      </c>
      <c r="H2" s="70" t="n">
        <v>1</v>
      </c>
      <c r="I2" s="70" t="n">
        <v>1</v>
      </c>
      <c r="J2" s="70" t="n">
        <v>1</v>
      </c>
      <c r="K2" s="70" t="n">
        <v>1</v>
      </c>
      <c r="L2" s="70" t="n">
        <v>1</v>
      </c>
      <c r="M2" s="70" t="n">
        <v>1</v>
      </c>
      <c r="N2" s="70" t="n">
        <v>1</v>
      </c>
      <c r="O2" s="70" t="n">
        <v>1</v>
      </c>
      <c r="P2" s="70" t="n">
        <v>1</v>
      </c>
      <c r="Q2" s="70" t="n">
        <v>1</v>
      </c>
      <c r="R2" s="70" t="n">
        <v>0</v>
      </c>
      <c r="S2" s="70" t="n">
        <v>1</v>
      </c>
      <c r="T2" s="70" t="n">
        <v>0</v>
      </c>
      <c r="U2" s="70" t="n">
        <v>1</v>
      </c>
    </row>
    <row r="3" ht="15.75" customHeight="1">
      <c r="A3" s="67" t="n">
        <v>2</v>
      </c>
      <c r="B3" s="67" t="n"/>
      <c r="C3" s="68">
        <f>+'Datos '!H2</f>
        <v/>
      </c>
      <c r="D3" s="68" t="inlineStr">
        <is>
          <t>G1</t>
        </is>
      </c>
      <c r="E3" s="70">
        <f>+SUM(F3:U3)</f>
        <v/>
      </c>
      <c r="F3" s="70" t="n">
        <v>1</v>
      </c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</row>
    <row r="4" ht="15.75" customHeight="1">
      <c r="A4" s="67" t="n">
        <v>3</v>
      </c>
      <c r="B4" s="67" t="n"/>
      <c r="C4" s="68">
        <f>+'Datos '!H3</f>
        <v/>
      </c>
      <c r="D4" s="68" t="inlineStr">
        <is>
          <t>G2</t>
        </is>
      </c>
      <c r="E4" s="70">
        <f>+SUM(F4:U4)</f>
        <v/>
      </c>
      <c r="F4" s="70" t="n">
        <v>1</v>
      </c>
      <c r="G4" s="70" t="n">
        <v>1</v>
      </c>
      <c r="H4" s="70" t="n">
        <v>1</v>
      </c>
      <c r="I4" s="70" t="n">
        <v>1</v>
      </c>
      <c r="J4" s="70" t="n">
        <v>1</v>
      </c>
      <c r="K4" s="70" t="n">
        <v>1</v>
      </c>
      <c r="L4" s="70" t="n">
        <v>1</v>
      </c>
      <c r="M4" s="70" t="n">
        <v>1</v>
      </c>
      <c r="N4" s="70" t="n">
        <v>1</v>
      </c>
      <c r="O4" s="70" t="n">
        <v>1</v>
      </c>
      <c r="P4" s="70" t="n">
        <v>1</v>
      </c>
      <c r="Q4" s="70" t="n">
        <v>1</v>
      </c>
      <c r="R4" s="70" t="n">
        <v>1</v>
      </c>
      <c r="S4" s="70" t="n">
        <v>1</v>
      </c>
      <c r="T4" s="70" t="n">
        <v>1</v>
      </c>
      <c r="U4" s="70" t="n">
        <v>1</v>
      </c>
    </row>
    <row r="5" ht="15.75" customHeight="1">
      <c r="A5" s="67" t="n">
        <v>4</v>
      </c>
      <c r="B5" s="67" t="n"/>
      <c r="C5" s="68">
        <f>+'Datos '!H4</f>
        <v/>
      </c>
      <c r="D5" s="68" t="inlineStr">
        <is>
          <t>G2</t>
        </is>
      </c>
      <c r="E5" s="70">
        <f>+SUM(F5:U5)</f>
        <v/>
      </c>
      <c r="F5" s="70" t="n">
        <v>1</v>
      </c>
      <c r="G5" s="70" t="n">
        <v>1</v>
      </c>
      <c r="H5" s="70" t="n">
        <v>1</v>
      </c>
      <c r="I5" s="70" t="n">
        <v>1</v>
      </c>
      <c r="J5" s="70" t="n">
        <v>1</v>
      </c>
      <c r="K5" s="70" t="n">
        <v>1</v>
      </c>
      <c r="L5" s="70" t="n">
        <v>1</v>
      </c>
      <c r="M5" s="70" t="n">
        <v>1</v>
      </c>
      <c r="N5" s="70" t="n">
        <v>1</v>
      </c>
      <c r="O5" s="70" t="n">
        <v>1</v>
      </c>
      <c r="P5" s="70" t="n">
        <v>1</v>
      </c>
      <c r="Q5" s="70" t="n">
        <v>1</v>
      </c>
      <c r="R5" s="70" t="n">
        <v>1</v>
      </c>
      <c r="S5" s="70" t="n">
        <v>1</v>
      </c>
      <c r="T5" s="70" t="n">
        <v>1</v>
      </c>
      <c r="U5" s="70" t="n">
        <v>1</v>
      </c>
    </row>
    <row r="6" ht="15.75" customHeight="1">
      <c r="A6" s="67" t="n">
        <v>5</v>
      </c>
      <c r="B6" s="67" t="n"/>
      <c r="C6" s="68">
        <f>+'Datos '!H5</f>
        <v/>
      </c>
      <c r="D6" s="67" t="inlineStr">
        <is>
          <t>G3</t>
        </is>
      </c>
      <c r="E6" s="70">
        <f>+SUM(F6:U6)</f>
        <v/>
      </c>
      <c r="F6" s="70" t="n">
        <v>1</v>
      </c>
      <c r="G6" s="70" t="n">
        <v>1</v>
      </c>
      <c r="H6" s="70" t="n">
        <v>1</v>
      </c>
      <c r="I6" s="70" t="n">
        <v>1</v>
      </c>
      <c r="J6" s="70" t="n">
        <v>1</v>
      </c>
      <c r="K6" s="70" t="n">
        <v>1</v>
      </c>
      <c r="L6" s="70" t="n">
        <v>1</v>
      </c>
      <c r="M6" s="70" t="n">
        <v>1</v>
      </c>
      <c r="N6" s="70" t="n">
        <v>1</v>
      </c>
      <c r="O6" s="70" t="n">
        <v>1</v>
      </c>
      <c r="P6" s="70" t="n">
        <v>1</v>
      </c>
      <c r="Q6" s="70" t="n">
        <v>1</v>
      </c>
      <c r="R6" s="70" t="n">
        <v>0</v>
      </c>
      <c r="S6" s="70" t="n">
        <v>1</v>
      </c>
      <c r="T6" s="70" t="n">
        <v>0</v>
      </c>
      <c r="U6" s="70" t="n">
        <v>1</v>
      </c>
    </row>
    <row r="7" ht="15.75" customHeight="1">
      <c r="A7" s="67" t="n">
        <v>6</v>
      </c>
      <c r="B7" s="67" t="n"/>
      <c r="C7" s="68">
        <f>+'Datos '!H6</f>
        <v/>
      </c>
      <c r="D7" s="68" t="inlineStr">
        <is>
          <t>NO EXISTE</t>
        </is>
      </c>
      <c r="E7" s="70">
        <f>+SUM(F7:U7)</f>
        <v/>
      </c>
      <c r="F7" s="70" t="n">
        <v>0</v>
      </c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</row>
    <row r="8" ht="15.75" customHeight="1">
      <c r="A8" s="67" t="n">
        <v>7</v>
      </c>
      <c r="B8" s="67" t="n"/>
      <c r="C8" s="68">
        <f>+'Datos '!H7</f>
        <v/>
      </c>
      <c r="D8" s="67" t="inlineStr">
        <is>
          <t>G3</t>
        </is>
      </c>
      <c r="E8" s="70">
        <f>+SUM(F8:U8)</f>
        <v/>
      </c>
      <c r="F8" s="70" t="n">
        <v>1</v>
      </c>
      <c r="G8" s="92" t="inlineStr">
        <is>
          <t>A</t>
        </is>
      </c>
      <c r="H8" s="70" t="n">
        <v>1</v>
      </c>
      <c r="I8" s="70" t="n">
        <v>1</v>
      </c>
      <c r="J8" s="70" t="n"/>
      <c r="K8" s="70" t="n"/>
      <c r="L8" s="70" t="n"/>
      <c r="M8" s="70" t="inlineStr">
        <is>
          <t xml:space="preserve">n </t>
        </is>
      </c>
      <c r="N8" s="70" t="n"/>
      <c r="O8" s="70" t="n"/>
      <c r="P8" s="70" t="n"/>
      <c r="Q8" s="70" t="n"/>
      <c r="R8" s="70" t="n"/>
      <c r="S8" s="70" t="n"/>
      <c r="T8" s="70" t="n"/>
      <c r="U8" s="70" t="n"/>
    </row>
    <row r="9" ht="15.75" customHeight="1">
      <c r="A9" s="67" t="n">
        <v>8</v>
      </c>
      <c r="B9" s="67" t="n"/>
      <c r="C9" s="68">
        <f>+'Datos '!H8</f>
        <v/>
      </c>
      <c r="D9" s="68" t="inlineStr">
        <is>
          <t>G1</t>
        </is>
      </c>
      <c r="E9" s="70">
        <f>+SUM(F9:U9)</f>
        <v/>
      </c>
      <c r="F9" s="70" t="n">
        <v>1</v>
      </c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</row>
    <row r="10" ht="15.75" customHeight="1">
      <c r="A10" s="67" t="n">
        <v>9</v>
      </c>
      <c r="B10" s="67" t="inlineStr">
        <is>
          <t>D</t>
        </is>
      </c>
      <c r="C10" s="68">
        <f>+'Datos '!H9</f>
        <v/>
      </c>
      <c r="D10" s="67" t="inlineStr">
        <is>
          <t>G3</t>
        </is>
      </c>
      <c r="E10" s="70">
        <f>+SUM(F10:U10)</f>
        <v/>
      </c>
      <c r="F10" s="70" t="n">
        <v>1</v>
      </c>
      <c r="G10" s="70" t="n">
        <v>1</v>
      </c>
      <c r="H10" s="70" t="n">
        <v>1</v>
      </c>
      <c r="I10" s="70" t="n">
        <v>1</v>
      </c>
      <c r="J10" s="70" t="n">
        <v>1</v>
      </c>
      <c r="K10" s="70" t="n">
        <v>1</v>
      </c>
      <c r="L10" s="70" t="n">
        <v>1</v>
      </c>
      <c r="M10" s="70" t="n">
        <v>1</v>
      </c>
      <c r="N10" s="70" t="n">
        <v>1</v>
      </c>
      <c r="O10" s="70" t="n">
        <v>1</v>
      </c>
      <c r="P10" s="70" t="n">
        <v>1</v>
      </c>
      <c r="Q10" s="70" t="n">
        <v>1</v>
      </c>
      <c r="R10" s="70" t="n">
        <v>0</v>
      </c>
      <c r="S10" s="70" t="n">
        <v>1</v>
      </c>
      <c r="T10" s="70" t="n">
        <v>0</v>
      </c>
      <c r="U10" s="70" t="n">
        <v>1</v>
      </c>
    </row>
    <row r="11" ht="15.75" customHeight="1">
      <c r="A11" s="67" t="n">
        <v>10</v>
      </c>
      <c r="B11" s="67" t="n"/>
      <c r="C11" s="68">
        <f>+'Datos '!H10</f>
        <v/>
      </c>
      <c r="D11" s="68" t="inlineStr">
        <is>
          <t>G2</t>
        </is>
      </c>
      <c r="E11" s="70">
        <f>+SUM(F11:U11)</f>
        <v/>
      </c>
      <c r="F11" s="70" t="n">
        <v>1</v>
      </c>
      <c r="G11" s="92" t="inlineStr">
        <is>
          <t>A</t>
        </is>
      </c>
      <c r="H11" s="70" t="n">
        <v>1</v>
      </c>
      <c r="I11" s="70" t="n">
        <v>1</v>
      </c>
      <c r="J11" s="70" t="n">
        <v>1</v>
      </c>
      <c r="K11" s="70" t="n">
        <v>1</v>
      </c>
      <c r="L11" s="70" t="n">
        <v>1</v>
      </c>
      <c r="M11" s="70" t="n">
        <v>1</v>
      </c>
      <c r="N11" s="70" t="n">
        <v>1</v>
      </c>
      <c r="O11" s="70" t="n">
        <v>1</v>
      </c>
      <c r="P11" s="70" t="n">
        <v>1</v>
      </c>
      <c r="Q11" s="70" t="n">
        <v>1</v>
      </c>
      <c r="R11" s="70" t="n">
        <v>1</v>
      </c>
      <c r="S11" s="70" t="n">
        <v>1</v>
      </c>
      <c r="T11" s="70" t="n">
        <v>1</v>
      </c>
      <c r="U11" s="70" t="n">
        <v>1</v>
      </c>
    </row>
    <row r="12" ht="15.75" customHeight="1">
      <c r="A12" s="67" t="n">
        <v>11</v>
      </c>
      <c r="B12" s="67" t="n"/>
      <c r="C12" s="68">
        <f>+'Datos '!H11</f>
        <v/>
      </c>
      <c r="D12" s="67" t="inlineStr">
        <is>
          <t>G3</t>
        </is>
      </c>
      <c r="E12" s="70">
        <f>+SUM(F12:U12)</f>
        <v/>
      </c>
      <c r="F12" s="70" t="n">
        <v>1</v>
      </c>
      <c r="G12" s="70" t="n">
        <v>1</v>
      </c>
      <c r="H12" s="70" t="n">
        <v>1</v>
      </c>
      <c r="I12" s="70" t="n">
        <v>1</v>
      </c>
      <c r="J12" s="70" t="n">
        <v>1</v>
      </c>
      <c r="K12" s="70" t="n">
        <v>1</v>
      </c>
      <c r="L12" s="70" t="n">
        <v>1</v>
      </c>
      <c r="M12" s="70" t="n">
        <v>1</v>
      </c>
      <c r="N12" s="70" t="n">
        <v>1</v>
      </c>
      <c r="O12" s="70" t="n">
        <v>1</v>
      </c>
      <c r="P12" s="70" t="n">
        <v>1</v>
      </c>
      <c r="Q12" s="70" t="n">
        <v>1</v>
      </c>
      <c r="R12" s="70" t="n">
        <v>0</v>
      </c>
      <c r="S12" s="70" t="n">
        <v>1</v>
      </c>
      <c r="T12" s="70" t="n">
        <v>0</v>
      </c>
      <c r="U12" s="70" t="n">
        <v>1</v>
      </c>
    </row>
    <row r="13" ht="15.75" customHeight="1">
      <c r="A13" s="67" t="n">
        <v>12</v>
      </c>
      <c r="B13" s="67" t="n"/>
      <c r="C13" s="68">
        <f>+'Datos '!H12</f>
        <v/>
      </c>
      <c r="D13" s="68" t="inlineStr">
        <is>
          <t>G2</t>
        </is>
      </c>
      <c r="E13" s="70">
        <f>+SUM(F13:U13)</f>
        <v/>
      </c>
      <c r="F13" s="70" t="n">
        <v>1</v>
      </c>
      <c r="G13" s="70" t="n">
        <v>1</v>
      </c>
      <c r="H13" s="70" t="n">
        <v>1</v>
      </c>
      <c r="I13" s="70" t="n">
        <v>1</v>
      </c>
      <c r="J13" s="70" t="n">
        <v>1</v>
      </c>
      <c r="K13" s="70" t="n">
        <v>1</v>
      </c>
      <c r="L13" s="70" t="n">
        <v>1</v>
      </c>
      <c r="M13" s="70" t="n">
        <v>1</v>
      </c>
      <c r="N13" s="70" t="n">
        <v>1</v>
      </c>
      <c r="O13" s="70" t="n">
        <v>1</v>
      </c>
      <c r="P13" s="70" t="n">
        <v>1</v>
      </c>
      <c r="Q13" s="70" t="n">
        <v>1</v>
      </c>
      <c r="R13" s="70" t="n">
        <v>1</v>
      </c>
      <c r="S13" s="70" t="n">
        <v>1</v>
      </c>
      <c r="T13" s="70" t="n">
        <v>1</v>
      </c>
      <c r="U13" s="70" t="n">
        <v>1</v>
      </c>
    </row>
    <row r="14" ht="15.75" customHeight="1">
      <c r="A14" s="67" t="n">
        <v>13</v>
      </c>
      <c r="B14" s="67" t="n"/>
      <c r="C14" s="68">
        <f>+'Datos '!H13</f>
        <v/>
      </c>
      <c r="D14" s="68" t="inlineStr">
        <is>
          <t>G2</t>
        </is>
      </c>
      <c r="E14" s="70">
        <f>+SUM(F14:U14)</f>
        <v/>
      </c>
      <c r="F14" s="70" t="n">
        <v>1</v>
      </c>
      <c r="G14" s="70" t="n">
        <v>1</v>
      </c>
      <c r="H14" s="70" t="n">
        <v>1</v>
      </c>
      <c r="I14" s="70" t="n">
        <v>1</v>
      </c>
      <c r="J14" s="70" t="n">
        <v>1</v>
      </c>
      <c r="K14" s="70" t="n">
        <v>1</v>
      </c>
      <c r="L14" s="70" t="n">
        <v>1</v>
      </c>
      <c r="M14" s="70" t="n">
        <v>1</v>
      </c>
      <c r="N14" s="70" t="n">
        <v>1</v>
      </c>
      <c r="O14" s="70" t="n">
        <v>1</v>
      </c>
      <c r="P14" s="70" t="n">
        <v>1</v>
      </c>
      <c r="Q14" s="70" t="n">
        <v>1</v>
      </c>
      <c r="R14" s="70" t="n">
        <v>1</v>
      </c>
      <c r="S14" s="70" t="n">
        <v>1</v>
      </c>
      <c r="T14" s="70" t="n">
        <v>1</v>
      </c>
      <c r="U14" s="70" t="n">
        <v>1</v>
      </c>
    </row>
    <row r="15" ht="15.75" customHeight="1">
      <c r="A15" s="67" t="n">
        <v>14</v>
      </c>
      <c r="B15" s="67" t="n"/>
      <c r="C15" s="68">
        <f>+'Datos '!H14</f>
        <v/>
      </c>
      <c r="D15" s="68" t="inlineStr">
        <is>
          <t>G1</t>
        </is>
      </c>
      <c r="E15" s="70">
        <f>+SUM(F15:U15)</f>
        <v/>
      </c>
      <c r="F15" s="70" t="n">
        <v>1</v>
      </c>
      <c r="G15" s="92" t="inlineStr">
        <is>
          <t>A</t>
        </is>
      </c>
      <c r="H15" s="70" t="n"/>
      <c r="I15" s="70" t="n"/>
      <c r="J15" s="70" t="n"/>
      <c r="K15" s="70" t="n"/>
      <c r="L15" s="70" t="n"/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L18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3.7109375" customWidth="1" min="23" max="23"/>
    <col width="10.7109375" customWidth="1" min="142" max="142"/>
  </cols>
  <sheetData>
    <row r="1" ht="6" customHeight="1"/>
    <row r="2" ht="31.5" customHeight="1">
      <c r="C2" s="55" t="inlineStr">
        <is>
          <t>PLANILLA DE ASISTENCIA</t>
        </is>
      </c>
      <c r="D2" s="56">
        <f>+AVERAGE(D5:D18)</f>
        <v/>
      </c>
      <c r="E2" s="57" t="n"/>
      <c r="F2" s="93" t="n"/>
      <c r="G2" s="93" t="n"/>
      <c r="H2" s="94" t="inlineStr">
        <is>
          <t>CIENCIAS NATURALES</t>
        </is>
      </c>
      <c r="I2" s="61" t="n"/>
      <c r="J2" s="61" t="n"/>
      <c r="K2" s="61" t="n"/>
      <c r="L2" s="61" t="n"/>
      <c r="M2" s="93" t="n"/>
      <c r="N2" s="95" t="inlineStr">
        <is>
          <t>SEPTIMO</t>
        </is>
      </c>
      <c r="O2" s="93" t="n"/>
      <c r="P2" s="93" t="n"/>
      <c r="Q2" s="96" t="n"/>
      <c r="R2" s="96" t="inlineStr">
        <is>
          <t>TT</t>
        </is>
      </c>
      <c r="S2" s="94" t="n">
        <v>2026</v>
      </c>
      <c r="T2" s="61" t="n"/>
      <c r="U2" s="61" t="n"/>
      <c r="V2" s="93" t="n"/>
    </row>
    <row r="3" ht="21.75" customHeight="1">
      <c r="C3" s="55" t="n"/>
      <c r="D3" s="56" t="n"/>
      <c r="E3" s="57" t="n"/>
      <c r="F3" s="93" t="n"/>
      <c r="G3" s="93" t="n"/>
      <c r="H3" s="94" t="n"/>
      <c r="I3" s="94" t="n"/>
      <c r="J3" s="94" t="n"/>
      <c r="K3" s="94" t="n"/>
      <c r="L3" s="94" t="n"/>
      <c r="M3" s="93" t="n"/>
      <c r="N3" s="95" t="n"/>
      <c r="O3" s="93" t="n"/>
      <c r="P3" s="93" t="n"/>
      <c r="Q3" s="96" t="n"/>
      <c r="R3" s="96" t="n"/>
      <c r="S3" s="94" t="n"/>
      <c r="T3" s="94" t="n"/>
      <c r="U3" s="94" t="n"/>
      <c r="V3" s="93" t="n"/>
    </row>
    <row r="4" ht="120.75" customHeight="1">
      <c r="A4" s="62" t="inlineStr">
        <is>
          <t>N° Orden</t>
        </is>
      </c>
      <c r="B4" s="62" t="n"/>
      <c r="C4" s="62" t="inlineStr">
        <is>
          <t>Apellido/s Nombre/s</t>
        </is>
      </c>
      <c r="D4" s="63" t="inlineStr">
        <is>
          <t>% DE ASISTENCIA</t>
        </is>
      </c>
      <c r="E4" s="64" t="inlineStr">
        <is>
          <t>FIRMAS</t>
        </is>
      </c>
      <c r="F4" s="97">
        <f>+'04-RSA'!C2</f>
        <v/>
      </c>
      <c r="G4" s="97">
        <f>+'04-RSA'!D2</f>
        <v/>
      </c>
      <c r="H4" s="97">
        <f>+'04-RSA'!E2</f>
        <v/>
      </c>
      <c r="I4" s="97">
        <f>+'04-RSA'!F2</f>
        <v/>
      </c>
      <c r="J4" s="97">
        <f>+'04-RSA'!G2</f>
        <v/>
      </c>
      <c r="K4" s="97">
        <f>+'04-RSA'!H2</f>
        <v/>
      </c>
      <c r="L4" s="97">
        <f>+'04-RSA'!I2</f>
        <v/>
      </c>
      <c r="M4" s="97">
        <f>+'04-RSA'!J2</f>
        <v/>
      </c>
      <c r="N4" s="97">
        <f>+'04-RSA'!K2</f>
        <v/>
      </c>
      <c r="O4" s="97">
        <f>+'04-RSA'!L2</f>
        <v/>
      </c>
      <c r="P4" s="97">
        <f>+'04-RSA'!M2</f>
        <v/>
      </c>
      <c r="Q4" s="97">
        <f>+'04-RSA'!N2</f>
        <v/>
      </c>
      <c r="R4" s="97">
        <f>+'04-RSA'!O2</f>
        <v/>
      </c>
      <c r="S4" s="97">
        <f>+'04-RSA'!P2</f>
        <v/>
      </c>
      <c r="T4" s="97">
        <f>+'04-RSA'!Q2</f>
        <v/>
      </c>
      <c r="U4" s="97">
        <f>+'04-RSA'!R2</f>
        <v/>
      </c>
      <c r="V4" s="97">
        <f>+'04-RSA'!S2</f>
        <v/>
      </c>
      <c r="W4" s="97">
        <f>+'04-RSA'!T2</f>
        <v/>
      </c>
      <c r="X4" s="97">
        <f>+'04-RSA'!U2</f>
        <v/>
      </c>
      <c r="Y4" s="97">
        <f>+'04-RSA'!V2</f>
        <v/>
      </c>
      <c r="Z4" s="97">
        <f>+'04-RSA'!W2</f>
        <v/>
      </c>
      <c r="AA4" s="97">
        <f>+'04-RSA'!X2</f>
        <v/>
      </c>
      <c r="AB4" s="97">
        <f>+'04-RSA'!Y2</f>
        <v/>
      </c>
      <c r="AC4" s="97">
        <f>+'04-RSA'!Z2</f>
        <v/>
      </c>
      <c r="AD4" s="97">
        <f>+'04-RSA'!AA2</f>
        <v/>
      </c>
      <c r="AE4" s="97">
        <f>+'04-RSA'!AB2</f>
        <v/>
      </c>
      <c r="AF4" s="97">
        <f>+'04-RSA'!AC2</f>
        <v/>
      </c>
      <c r="AG4" s="97">
        <f>+'04-RSA'!AD2</f>
        <v/>
      </c>
      <c r="AH4" s="97">
        <f>+'04-RSA'!AE2</f>
        <v/>
      </c>
      <c r="AI4" s="98" t="n"/>
      <c r="EL4" s="66">
        <f>+TODAY()</f>
        <v/>
      </c>
    </row>
    <row r="5" ht="15.75" customHeight="1">
      <c r="A5" s="67" t="n">
        <v>1</v>
      </c>
      <c r="B5" s="67" t="n"/>
      <c r="C5" s="68">
        <f>+'Datos '!B2</f>
        <v/>
      </c>
      <c r="D5" s="69">
        <f>+'03-ASISTENCIA'!D4</f>
        <v/>
      </c>
      <c r="E5" s="70">
        <f>+'03-ASISTENCIA'!E4</f>
        <v/>
      </c>
      <c r="F5" s="99" t="n">
        <v>1</v>
      </c>
      <c r="G5" s="99" t="n">
        <v>1</v>
      </c>
      <c r="H5" s="99" t="n">
        <v>1</v>
      </c>
      <c r="I5" s="99" t="n">
        <v>1</v>
      </c>
      <c r="J5" s="99" t="n">
        <v>1</v>
      </c>
      <c r="K5" s="99" t="n">
        <v>1</v>
      </c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</row>
    <row r="6" ht="15.75" customHeight="1">
      <c r="A6" s="67" t="n">
        <v>2</v>
      </c>
      <c r="B6" s="67" t="n"/>
      <c r="C6" s="68">
        <f>+'Datos '!B3</f>
        <v/>
      </c>
      <c r="D6" s="69">
        <f>+'03-ASISTENCIA'!D5</f>
        <v/>
      </c>
      <c r="E6" s="70">
        <f>+'03-ASISTENCIA'!E5</f>
        <v/>
      </c>
      <c r="F6" s="99" t="n">
        <v>1</v>
      </c>
      <c r="G6" s="99" t="n">
        <v>1</v>
      </c>
      <c r="H6" s="99" t="n">
        <v>1</v>
      </c>
      <c r="I6" s="99" t="n">
        <v>1</v>
      </c>
      <c r="J6" s="99" t="n">
        <v>1</v>
      </c>
      <c r="K6" s="99" t="n">
        <v>1</v>
      </c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</row>
    <row r="7" ht="15.75" customHeight="1">
      <c r="A7" s="67" t="n">
        <v>3</v>
      </c>
      <c r="B7" s="67" t="n"/>
      <c r="C7" s="68">
        <f>+'Datos '!B4</f>
        <v/>
      </c>
      <c r="D7" s="69">
        <f>+'03-ASISTENCIA'!D6</f>
        <v/>
      </c>
      <c r="E7" s="70">
        <f>+'03-ASISTENCIA'!E6</f>
        <v/>
      </c>
      <c r="F7" s="99" t="n">
        <v>1</v>
      </c>
      <c r="G7" s="99" t="n">
        <v>1</v>
      </c>
      <c r="H7" s="99" t="n">
        <v>1</v>
      </c>
      <c r="I7" s="99" t="n">
        <v>1</v>
      </c>
      <c r="J7" s="99" t="n">
        <v>1</v>
      </c>
      <c r="K7" s="99" t="n">
        <v>1</v>
      </c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</row>
    <row r="8" ht="15.75" customHeight="1">
      <c r="A8" s="67" t="n">
        <v>4</v>
      </c>
      <c r="B8" s="67" t="n"/>
      <c r="C8" s="68">
        <f>+'Datos '!B5</f>
        <v/>
      </c>
      <c r="D8" s="69">
        <f>+'03-ASISTENCIA'!D7</f>
        <v/>
      </c>
      <c r="E8" s="70">
        <f>+'03-ASISTENCIA'!E7</f>
        <v/>
      </c>
      <c r="F8" s="99" t="n">
        <v>1</v>
      </c>
      <c r="G8" s="99" t="n">
        <v>1</v>
      </c>
      <c r="H8" s="99" t="n">
        <v>1</v>
      </c>
      <c r="I8" s="99" t="n">
        <v>1</v>
      </c>
      <c r="J8" s="99" t="n">
        <v>1</v>
      </c>
      <c r="K8" s="99" t="n">
        <v>1</v>
      </c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</row>
    <row r="9" ht="15.75" customHeight="1">
      <c r="A9" s="67" t="n">
        <v>5</v>
      </c>
      <c r="B9" s="67" t="n"/>
      <c r="C9" s="68">
        <f>+'Datos '!B6</f>
        <v/>
      </c>
      <c r="D9" s="69">
        <f>+'03-ASISTENCIA'!D8</f>
        <v/>
      </c>
      <c r="E9" s="70">
        <f>+'03-ASISTENCIA'!E8</f>
        <v/>
      </c>
      <c r="F9" s="99" t="n">
        <v>1</v>
      </c>
      <c r="G9" s="99" t="n">
        <v>1</v>
      </c>
      <c r="H9" s="99" t="n">
        <v>1</v>
      </c>
      <c r="I9" s="99" t="n">
        <v>1</v>
      </c>
      <c r="J9" s="99" t="n">
        <v>1</v>
      </c>
      <c r="K9" s="99" t="n">
        <v>1</v>
      </c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</row>
    <row r="10" ht="15.75" customHeight="1">
      <c r="A10" s="67" t="n">
        <v>6</v>
      </c>
      <c r="B10" s="67" t="n"/>
      <c r="C10" s="68">
        <f>+'Datos '!B7</f>
        <v/>
      </c>
      <c r="D10" s="69">
        <f>+'03-ASISTENCIA'!D9</f>
        <v/>
      </c>
      <c r="E10" s="70">
        <f>+'03-ASISTENCIA'!E9</f>
        <v/>
      </c>
      <c r="F10" s="99" t="n">
        <v>1</v>
      </c>
      <c r="G10" s="99" t="n">
        <v>1</v>
      </c>
      <c r="H10" s="99" t="n">
        <v>1</v>
      </c>
      <c r="I10" s="99" t="n">
        <v>1</v>
      </c>
      <c r="J10" s="99" t="n">
        <v>1</v>
      </c>
      <c r="K10" s="99" t="n">
        <v>1</v>
      </c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</row>
    <row r="11" ht="15.75" customHeight="1">
      <c r="A11" s="67" t="n">
        <v>7</v>
      </c>
      <c r="B11" s="67" t="n"/>
      <c r="C11" s="68">
        <f>+'Datos '!B8</f>
        <v/>
      </c>
      <c r="D11" s="69">
        <f>+'03-ASISTENCIA'!D10</f>
        <v/>
      </c>
      <c r="E11" s="70">
        <f>+'03-ASISTENCIA'!E10</f>
        <v/>
      </c>
      <c r="F11" s="99" t="n">
        <v>1</v>
      </c>
      <c r="G11" s="99" t="n">
        <v>1</v>
      </c>
      <c r="H11" s="99" t="n">
        <v>1</v>
      </c>
      <c r="I11" s="99" t="n">
        <v>1</v>
      </c>
      <c r="J11" s="99" t="n">
        <v>1</v>
      </c>
      <c r="K11" s="99" t="n">
        <v>1</v>
      </c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</row>
    <row r="12" ht="15.75" customHeight="1">
      <c r="A12" s="67" t="n">
        <v>8</v>
      </c>
      <c r="B12" s="67" t="n"/>
      <c r="C12" s="68">
        <f>+'Datos '!B9</f>
        <v/>
      </c>
      <c r="D12" s="69">
        <f>+'03-ASISTENCIA'!D11</f>
        <v/>
      </c>
      <c r="E12" s="70">
        <f>+'03-ASISTENCIA'!E11</f>
        <v/>
      </c>
      <c r="F12" s="99" t="n">
        <v>1</v>
      </c>
      <c r="G12" s="99" t="n">
        <v>1</v>
      </c>
      <c r="H12" s="99" t="n">
        <v>1</v>
      </c>
      <c r="I12" s="99" t="n">
        <v>1</v>
      </c>
      <c r="J12" s="99" t="n">
        <v>1</v>
      </c>
      <c r="K12" s="99" t="n">
        <v>1</v>
      </c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</row>
    <row r="13" ht="15.75" customHeight="1">
      <c r="A13" s="67" t="n">
        <v>9</v>
      </c>
      <c r="B13" s="67" t="inlineStr">
        <is>
          <t>D</t>
        </is>
      </c>
      <c r="C13" s="68">
        <f>+'Datos '!B10</f>
        <v/>
      </c>
      <c r="D13" s="69">
        <f>+'03-ASISTENCIA'!D12</f>
        <v/>
      </c>
      <c r="E13" s="70">
        <f>+'03-ASISTENCIA'!E12</f>
        <v/>
      </c>
      <c r="F13" s="99" t="n">
        <v>1</v>
      </c>
      <c r="G13" s="99" t="n">
        <v>1</v>
      </c>
      <c r="H13" s="99" t="n">
        <v>1</v>
      </c>
      <c r="I13" s="99" t="n">
        <v>1</v>
      </c>
      <c r="J13" s="99" t="n">
        <v>1</v>
      </c>
      <c r="K13" s="99" t="n">
        <v>1</v>
      </c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</row>
    <row r="14" ht="15.75" customHeight="1">
      <c r="A14" s="67" t="n">
        <v>10</v>
      </c>
      <c r="B14" s="67" t="n"/>
      <c r="C14" s="68">
        <f>+'Datos '!B11</f>
        <v/>
      </c>
      <c r="D14" s="69">
        <f>+'03-ASISTENCIA'!D13</f>
        <v/>
      </c>
      <c r="E14" s="70">
        <f>+'03-ASISTENCIA'!E13</f>
        <v/>
      </c>
      <c r="F14" s="99" t="n">
        <v>1</v>
      </c>
      <c r="G14" s="99" t="n">
        <v>1</v>
      </c>
      <c r="H14" s="99" t="n">
        <v>1</v>
      </c>
      <c r="I14" s="99" t="n">
        <v>1</v>
      </c>
      <c r="J14" s="99" t="n">
        <v>1</v>
      </c>
      <c r="K14" s="99" t="n">
        <v>1</v>
      </c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</row>
    <row r="15" ht="15.75" customHeight="1">
      <c r="A15" s="67" t="n">
        <v>11</v>
      </c>
      <c r="B15" s="67" t="n"/>
      <c r="C15" s="68">
        <f>+'Datos '!B12</f>
        <v/>
      </c>
      <c r="D15" s="69">
        <f>+'03-ASISTENCIA'!D14</f>
        <v/>
      </c>
      <c r="E15" s="70">
        <f>+'03-ASISTENCIA'!E14</f>
        <v/>
      </c>
      <c r="F15" s="99" t="n">
        <v>1</v>
      </c>
      <c r="G15" s="99" t="n">
        <v>1</v>
      </c>
      <c r="H15" s="99" t="n">
        <v>1</v>
      </c>
      <c r="I15" s="99" t="n">
        <v>1</v>
      </c>
      <c r="J15" s="99" t="n">
        <v>1</v>
      </c>
      <c r="K15" s="99" t="n">
        <v>1</v>
      </c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</row>
    <row r="16" ht="15.75" customHeight="1">
      <c r="A16" s="67" t="n">
        <v>12</v>
      </c>
      <c r="B16" s="67" t="n"/>
      <c r="C16" s="68">
        <f>+'Datos '!B13</f>
        <v/>
      </c>
      <c r="D16" s="69">
        <f>+'03-ASISTENCIA'!D15</f>
        <v/>
      </c>
      <c r="E16" s="70">
        <f>+'03-ASISTENCIA'!E15</f>
        <v/>
      </c>
      <c r="F16" s="99" t="n">
        <v>1</v>
      </c>
      <c r="G16" s="99" t="n">
        <v>1</v>
      </c>
      <c r="H16" s="99" t="n">
        <v>1</v>
      </c>
      <c r="I16" s="99" t="n">
        <v>1</v>
      </c>
      <c r="J16" s="99" t="n">
        <v>1</v>
      </c>
      <c r="K16" s="99" t="n">
        <v>1</v>
      </c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</row>
    <row r="17" ht="15.75" customHeight="1">
      <c r="A17" s="67" t="n">
        <v>13</v>
      </c>
      <c r="B17" s="67" t="n"/>
      <c r="C17" s="68">
        <f>+'Datos '!B14</f>
        <v/>
      </c>
      <c r="D17" s="69">
        <f>+'03-ASISTENCIA'!D16</f>
        <v/>
      </c>
      <c r="E17" s="70">
        <f>+'03-ASISTENCIA'!E16</f>
        <v/>
      </c>
      <c r="F17" s="99" t="n">
        <v>1</v>
      </c>
      <c r="G17" s="99" t="n">
        <v>1</v>
      </c>
      <c r="H17" s="99" t="n">
        <v>1</v>
      </c>
      <c r="I17" s="99" t="n">
        <v>1</v>
      </c>
      <c r="J17" s="99" t="n">
        <v>1</v>
      </c>
      <c r="K17" s="99" t="n">
        <v>1</v>
      </c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</row>
    <row r="18" ht="15.75" customHeight="1">
      <c r="A18" s="67" t="n">
        <v>14</v>
      </c>
      <c r="B18" s="67" t="n"/>
      <c r="C18" s="68">
        <f>+'Datos '!B15</f>
        <v/>
      </c>
      <c r="D18" s="69">
        <f>+'03-ASISTENCIA'!D17</f>
        <v/>
      </c>
      <c r="E18" s="70">
        <f>+'03-ASISTENCIA'!E17</f>
        <v/>
      </c>
      <c r="F18" s="99" t="n">
        <v>1</v>
      </c>
      <c r="G18" s="99" t="n">
        <v>1</v>
      </c>
      <c r="H18" s="99" t="n">
        <v>1</v>
      </c>
      <c r="I18" s="99" t="n">
        <v>1</v>
      </c>
      <c r="J18" s="99" t="n">
        <v>1</v>
      </c>
      <c r="K18" s="99" t="n">
        <v>1</v>
      </c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</row>
  </sheetData>
  <mergeCells count="2">
    <mergeCell ref="H2:L2"/>
    <mergeCell ref="S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</cols>
  <sheetData>
    <row r="1" ht="30" customHeight="1">
      <c r="A1" s="100" t="inlineStr">
        <is>
          <t>Fecha (DD/MM/YYYY)</t>
        </is>
      </c>
      <c r="B1" s="100" t="inlineStr">
        <is>
          <t>Evento / Conmemoración</t>
        </is>
      </c>
      <c r="C1" s="101" t="inlineStr">
        <is>
          <t>Tipo</t>
        </is>
      </c>
    </row>
    <row r="2">
      <c r="A2" s="102" t="n">
        <v>46023</v>
      </c>
      <c r="B2" s="103" t="inlineStr">
        <is>
          <t>Año Nuevo</t>
        </is>
      </c>
      <c r="C2" s="104" t="inlineStr">
        <is>
          <t>Feriado Nacional</t>
        </is>
      </c>
    </row>
    <row r="3" ht="28.5" customHeight="1">
      <c r="A3" s="102" t="n">
        <v>46063</v>
      </c>
      <c r="B3" s="103" t="inlineStr">
        <is>
          <t>Apertura Institucional y Retorno Docente</t>
        </is>
      </c>
      <c r="C3" s="104" t="inlineStr">
        <is>
          <t>MEC - INSTITUCIONAL</t>
        </is>
      </c>
    </row>
    <row r="4">
      <c r="A4" s="102" t="n">
        <v>46076</v>
      </c>
      <c r="B4" s="100" t="inlineStr">
        <is>
          <t>Inicio de Clases (Sector Oficial)</t>
        </is>
      </c>
      <c r="C4" s="104" t="inlineStr">
        <is>
          <t>MEC - INSTITUCIONAL</t>
        </is>
      </c>
    </row>
    <row r="5" ht="28.5" customHeight="1">
      <c r="A5" s="105" t="n">
        <v>46077</v>
      </c>
      <c r="B5" s="104" t="inlineStr">
        <is>
          <t>Día de la Mujer Paraguaya (Homenaje a las Residentas)</t>
        </is>
      </c>
      <c r="C5" s="104" t="inlineStr">
        <is>
          <t>Dia para conmemorar</t>
        </is>
      </c>
    </row>
    <row r="6">
      <c r="A6" s="102" t="n">
        <v>46082</v>
      </c>
      <c r="B6" s="103" t="inlineStr">
        <is>
          <t>Día de los Héroes</t>
        </is>
      </c>
      <c r="C6" s="104" t="inlineStr">
        <is>
          <t>Feriado Nacional</t>
        </is>
      </c>
    </row>
    <row r="7" ht="28.5" customHeight="1">
      <c r="A7" s="105" t="n">
        <v>46082</v>
      </c>
      <c r="B7" s="104" t="inlineStr">
        <is>
          <t>Día de los Héroes (Muerte del Mcal. López en Cerro Corá)</t>
        </is>
      </c>
      <c r="C7" s="104" t="inlineStr">
        <is>
          <t>Dia para conmemorar</t>
        </is>
      </c>
    </row>
    <row r="8" ht="28.5" customHeight="1">
      <c r="A8" s="105" t="n">
        <v>46102</v>
      </c>
      <c r="B8" s="104" t="inlineStr">
        <is>
          <t>Día Mundial de la Poesía y Día del Síndrome de Down</t>
        </is>
      </c>
      <c r="C8" s="104" t="inlineStr">
        <is>
          <t>Dia para conmemorar</t>
        </is>
      </c>
    </row>
    <row r="9">
      <c r="A9" s="102" t="n">
        <v>46114</v>
      </c>
      <c r="B9" s="103" t="inlineStr">
        <is>
          <t>Jueves Santo (Receso)</t>
        </is>
      </c>
      <c r="C9" s="104" t="inlineStr">
        <is>
          <t>Feriado Nacional</t>
        </is>
      </c>
    </row>
    <row r="10">
      <c r="A10" s="102" t="n">
        <v>46115</v>
      </c>
      <c r="B10" s="103" t="inlineStr">
        <is>
          <t>Viernes Santo (Receso)</t>
        </is>
      </c>
      <c r="C10" s="104" t="inlineStr">
        <is>
          <t>Feriado Nacional</t>
        </is>
      </c>
    </row>
    <row r="11">
      <c r="A11" s="105" t="n">
        <v>46135</v>
      </c>
      <c r="B11" s="104" t="inlineStr">
        <is>
          <t>Día del Libro y del Derecho de Autor</t>
        </is>
      </c>
      <c r="C11" s="104" t="inlineStr">
        <is>
          <t>Dia para conmemorar</t>
        </is>
      </c>
    </row>
    <row r="12" ht="28.5" customHeight="1">
      <c r="A12" s="105" t="n">
        <v>46138</v>
      </c>
      <c r="B12" s="104" t="inlineStr">
        <is>
          <t>Día del Periodista (Muerte de Santiago Leguizamón)</t>
        </is>
      </c>
      <c r="C12" s="104" t="inlineStr">
        <is>
          <t>Dia para conmemorar</t>
        </is>
      </c>
    </row>
    <row r="13">
      <c r="A13" s="105" t="n">
        <v>46142</v>
      </c>
      <c r="B13" s="104" t="inlineStr">
        <is>
          <t>Día del Maestro (En Paraguay)</t>
        </is>
      </c>
      <c r="C13" s="104" t="inlineStr">
        <is>
          <t>Dia para conmemorar</t>
        </is>
      </c>
    </row>
    <row r="14">
      <c r="A14" s="102" t="n">
        <v>46143</v>
      </c>
      <c r="B14" s="103" t="inlineStr">
        <is>
          <t>Día de los Trabajadores</t>
        </is>
      </c>
      <c r="C14" s="104" t="inlineStr">
        <is>
          <t>Feriado Nacional</t>
        </is>
      </c>
    </row>
    <row r="15">
      <c r="A15" s="102" t="n">
        <v>46156</v>
      </c>
      <c r="B15" s="103" t="inlineStr">
        <is>
          <t>Día de la Independencia Nacional</t>
        </is>
      </c>
      <c r="C15" s="104" t="inlineStr">
        <is>
          <t>Feriado Nacional</t>
        </is>
      </c>
    </row>
    <row r="16">
      <c r="A16" s="105" t="n">
        <v>46156</v>
      </c>
      <c r="B16" s="104" t="inlineStr">
        <is>
          <t>Día de la Madre</t>
        </is>
      </c>
      <c r="C16" s="104" t="inlineStr">
        <is>
          <t>Dia para conmemorar</t>
        </is>
      </c>
    </row>
    <row r="17">
      <c r="A17" s="102" t="n">
        <v>46157</v>
      </c>
      <c r="B17" s="103" t="inlineStr">
        <is>
          <t>Día de la Independencia Nacional</t>
        </is>
      </c>
      <c r="C17" s="104" t="inlineStr">
        <is>
          <t>Feriado Nacional</t>
        </is>
      </c>
    </row>
    <row r="18">
      <c r="A18" s="105" t="n">
        <v>46157</v>
      </c>
      <c r="B18" s="104" t="inlineStr">
        <is>
          <t>Día de la Independencia Nacional</t>
        </is>
      </c>
      <c r="C18" s="104" t="inlineStr">
        <is>
          <t>Dia para conmemorar</t>
        </is>
      </c>
    </row>
    <row r="19">
      <c r="A19" s="105" t="n">
        <v>46171</v>
      </c>
      <c r="B19" s="104" t="inlineStr">
        <is>
          <t>Día del Ejército Paraguayo</t>
        </is>
      </c>
      <c r="C19" s="104" t="inlineStr">
        <is>
          <t>Dia para conmemorar</t>
        </is>
      </c>
    </row>
    <row r="20">
      <c r="A20" s="102" t="n">
        <v>46185</v>
      </c>
      <c r="B20" s="103" t="inlineStr">
        <is>
          <t>Paz del Chaco</t>
        </is>
      </c>
      <c r="C20" s="104" t="inlineStr">
        <is>
          <t>Feriado Nacional</t>
        </is>
      </c>
    </row>
    <row r="21" ht="28.5" customHeight="1">
      <c r="A21" s="105" t="n">
        <v>46185</v>
      </c>
      <c r="B21" s="104" t="inlineStr">
        <is>
          <t>Paz del Chaco (Firma del Protocolo de Paz, 1935)</t>
        </is>
      </c>
      <c r="C21" s="104" t="inlineStr">
        <is>
          <t>Asueto - Departamental / Desfile</t>
        </is>
      </c>
    </row>
    <row r="22">
      <c r="A22" s="105" t="n">
        <v>46192</v>
      </c>
      <c r="B22" s="104" t="inlineStr">
        <is>
          <t>Día del Árbol (En Paraguay)</t>
        </is>
      </c>
      <c r="C22" s="104" t="inlineStr">
        <is>
          <t>Clase Normal</t>
        </is>
      </c>
    </row>
    <row r="23">
      <c r="A23" s="102" t="n">
        <v>46216</v>
      </c>
      <c r="B23" s="100" t="inlineStr">
        <is>
          <t>Inicio Vacaciones de Invierno</t>
        </is>
      </c>
      <c r="C23" s="104" t="inlineStr">
        <is>
          <t>MEC - VACACIONES</t>
        </is>
      </c>
    </row>
    <row r="24">
      <c r="A24" s="102" t="n">
        <v>46217</v>
      </c>
      <c r="B24" s="100" t="inlineStr">
        <is>
          <t>Inicio Vacaciones de Invierno</t>
        </is>
      </c>
      <c r="C24" s="104" t="inlineStr">
        <is>
          <t>MEC - VACACIONES</t>
        </is>
      </c>
    </row>
    <row r="25">
      <c r="A25" s="102" t="n">
        <v>46218</v>
      </c>
      <c r="B25" s="100" t="inlineStr">
        <is>
          <t>Inicio Vacaciones de Invierno</t>
        </is>
      </c>
      <c r="C25" s="104" t="inlineStr">
        <is>
          <t>MEC - VACACIONES</t>
        </is>
      </c>
    </row>
    <row r="26">
      <c r="A26" s="102" t="n">
        <v>46219</v>
      </c>
      <c r="B26" s="100" t="inlineStr">
        <is>
          <t>Inicio Vacaciones de Invierno</t>
        </is>
      </c>
      <c r="C26" s="104" t="inlineStr">
        <is>
          <t>MEC - VACACIONES</t>
        </is>
      </c>
    </row>
    <row r="27">
      <c r="A27" s="102" t="n">
        <v>46220</v>
      </c>
      <c r="B27" s="100" t="inlineStr">
        <is>
          <t>Inicio Vacaciones de Invierno</t>
        </is>
      </c>
      <c r="C27" s="104" t="inlineStr">
        <is>
          <t>MEC - VACACIONES</t>
        </is>
      </c>
    </row>
    <row r="28">
      <c r="A28" s="102" t="n">
        <v>46221</v>
      </c>
      <c r="B28" s="100" t="inlineStr">
        <is>
          <t>Inicio Vacaciones de Invierno</t>
        </is>
      </c>
      <c r="C28" s="104" t="inlineStr">
        <is>
          <t>MEC - VACACIONES</t>
        </is>
      </c>
    </row>
    <row r="29">
      <c r="A29" s="102" t="n">
        <v>46222</v>
      </c>
      <c r="B29" s="100" t="inlineStr">
        <is>
          <t>Inicio Vacaciones de Invierno</t>
        </is>
      </c>
      <c r="C29" s="104" t="inlineStr">
        <is>
          <t>MEC - VACACIONES</t>
        </is>
      </c>
    </row>
    <row r="30">
      <c r="A30" s="102" t="n">
        <v>46223</v>
      </c>
      <c r="B30" s="100" t="inlineStr">
        <is>
          <t>Inicio Vacaciones de Invierno</t>
        </is>
      </c>
      <c r="C30" s="104" t="inlineStr">
        <is>
          <t>MEC - VACACIONES</t>
        </is>
      </c>
    </row>
    <row r="31">
      <c r="A31" s="102" t="n">
        <v>46224</v>
      </c>
      <c r="B31" s="100" t="inlineStr">
        <is>
          <t>Inicio Vacaciones de Invierno</t>
        </is>
      </c>
      <c r="C31" s="104" t="inlineStr">
        <is>
          <t>MEC - VACACIONES</t>
        </is>
      </c>
    </row>
    <row r="32">
      <c r="A32" s="102" t="n">
        <v>46225</v>
      </c>
      <c r="B32" s="100" t="inlineStr">
        <is>
          <t>Inicio Vacaciones de Invierno</t>
        </is>
      </c>
      <c r="C32" s="104" t="inlineStr">
        <is>
          <t>MEC - VACACIONES</t>
        </is>
      </c>
    </row>
    <row r="33">
      <c r="A33" s="102" t="n">
        <v>46226</v>
      </c>
      <c r="B33" s="100" t="inlineStr">
        <is>
          <t>Inicio Vacaciones de Invierno</t>
        </is>
      </c>
      <c r="C33" s="104" t="inlineStr">
        <is>
          <t>MEC - VACACIONES</t>
        </is>
      </c>
    </row>
    <row r="34">
      <c r="A34" s="102" t="n">
        <v>46227</v>
      </c>
      <c r="B34" s="100" t="inlineStr">
        <is>
          <t>Fin Vacaciones de Invierno</t>
        </is>
      </c>
      <c r="C34" s="104" t="inlineStr">
        <is>
          <t>MEC - VACACIONES</t>
        </is>
      </c>
    </row>
    <row r="35" ht="28.5" customHeight="1">
      <c r="A35" s="105" t="n">
        <v>46227</v>
      </c>
      <c r="B35" s="104" t="inlineStr">
        <is>
          <t>Natalicio del Mcal. Francisco Solano López</t>
        </is>
      </c>
      <c r="C35" s="104" t="inlineStr">
        <is>
          <t>Dia para conmemorar</t>
        </is>
      </c>
    </row>
    <row r="36" ht="28.5" customHeight="1">
      <c r="A36" s="105" t="n">
        <v>46233</v>
      </c>
      <c r="B36" s="104" t="inlineStr">
        <is>
          <t>Día de la Amistad (Cruzada Mundial de la Amistad)</t>
        </is>
      </c>
      <c r="C36" s="104" t="inlineStr">
        <is>
          <t>Dia para conmemorar</t>
        </is>
      </c>
    </row>
    <row r="37">
      <c r="A37" s="105" t="n">
        <v>46248</v>
      </c>
      <c r="B37" s="104" t="inlineStr">
        <is>
          <t>Día de la Bandera</t>
        </is>
      </c>
      <c r="C37" s="104" t="inlineStr">
        <is>
          <t>Dia para conmemorar</t>
        </is>
      </c>
    </row>
    <row r="38">
      <c r="A38" s="102" t="n">
        <v>46249</v>
      </c>
      <c r="B38" s="103" t="inlineStr">
        <is>
          <t>Fundación de Asunción</t>
        </is>
      </c>
      <c r="C38" s="104" t="inlineStr">
        <is>
          <t>Feriado Nacional</t>
        </is>
      </c>
    </row>
    <row r="39" ht="28.5" customHeight="1">
      <c r="A39" s="105" t="n">
        <v>46249</v>
      </c>
      <c r="B39" s="104" t="inlineStr">
        <is>
          <t>Fundación de Asunción y Día del Niño (En Paraguay)</t>
        </is>
      </c>
      <c r="C39" s="104" t="inlineStr">
        <is>
          <t>Dia para conmemorar</t>
        </is>
      </c>
    </row>
    <row r="40" ht="28.5" customHeight="1">
      <c r="A40" s="105" t="n">
        <v>46250</v>
      </c>
      <c r="B40" s="104" t="inlineStr">
        <is>
          <t>Día de los Niños Mártires de Acosta Ñu</t>
        </is>
      </c>
      <c r="C40" s="104" t="inlineStr">
        <is>
          <t>Dia para conmemorar</t>
        </is>
      </c>
    </row>
    <row r="41">
      <c r="A41" s="105" t="n">
        <v>46256</v>
      </c>
      <c r="B41" s="104" t="inlineStr">
        <is>
          <t>Día del Folklore Paraguayo</t>
        </is>
      </c>
      <c r="C41" s="104" t="inlineStr">
        <is>
          <t>Dia para conmemorar</t>
        </is>
      </c>
    </row>
    <row r="42">
      <c r="A42" s="105" t="n">
        <v>46259</v>
      </c>
      <c r="B42" s="104" t="inlineStr">
        <is>
          <t>Día del Idioma Guaraní</t>
        </is>
      </c>
      <c r="C42" s="104" t="inlineStr">
        <is>
          <t>Dia para conmemorar</t>
        </is>
      </c>
    </row>
    <row r="43">
      <c r="A43" s="106" t="n">
        <v>46286</v>
      </c>
      <c r="B43" s="107" t="inlineStr">
        <is>
          <t>Día de la Juventud y de la Primavera</t>
        </is>
      </c>
      <c r="C43" s="107" t="inlineStr">
        <is>
          <t>Clase Normal</t>
        </is>
      </c>
    </row>
    <row r="44">
      <c r="A44" s="102" t="n">
        <v>46294</v>
      </c>
      <c r="B44" s="103" t="inlineStr">
        <is>
          <t>Victoria de Boquerón</t>
        </is>
      </c>
      <c r="C44" s="104" t="inlineStr">
        <is>
          <t>Feriado Nacional</t>
        </is>
      </c>
    </row>
    <row r="45" ht="28.5" customHeight="1">
      <c r="A45" s="105" t="n">
        <v>46294</v>
      </c>
      <c r="B45" s="104" t="inlineStr">
        <is>
          <t>Batalla de Boquerón (Victoria paraguaya, 1932)</t>
        </is>
      </c>
      <c r="C45" s="104" t="inlineStr">
        <is>
          <t>Dia para conmemorar</t>
        </is>
      </c>
    </row>
    <row r="46" ht="28.5" customHeight="1">
      <c r="A46" s="105" t="n">
        <v>46307</v>
      </c>
      <c r="B46" s="104" t="inlineStr">
        <is>
          <t>Día de la Raza (Descubrimiento de América)</t>
        </is>
      </c>
      <c r="C46" s="104" t="inlineStr">
        <is>
          <t>Dia para conmemorar</t>
        </is>
      </c>
    </row>
    <row r="47" ht="28.5" customHeight="1">
      <c r="A47" s="105" t="n">
        <v>46318</v>
      </c>
      <c r="B47" s="104" t="inlineStr">
        <is>
          <t>Día del Diseñador Gráfico y del Radiooperador</t>
        </is>
      </c>
      <c r="C47" s="104" t="inlineStr">
        <is>
          <t>Dia para conmemorar</t>
        </is>
      </c>
    </row>
    <row r="48" ht="28.5" customHeight="1">
      <c r="A48" s="105" t="n">
        <v>46351</v>
      </c>
      <c r="B48" s="104" t="inlineStr">
        <is>
          <t>Día Internacional de la Eliminación de la Violencia contra la Mujer</t>
        </is>
      </c>
      <c r="C48" s="104" t="inlineStr">
        <is>
          <t>Dia para conmemorar</t>
        </is>
      </c>
    </row>
    <row r="49">
      <c r="A49" s="102" t="n">
        <v>46356</v>
      </c>
      <c r="B49" s="100" t="inlineStr">
        <is>
          <t>Finalización de Clases</t>
        </is>
      </c>
      <c r="C49" s="104" t="inlineStr">
        <is>
          <t>MEC - CIERRE PEDAGOGICAS</t>
        </is>
      </c>
    </row>
    <row r="50">
      <c r="A50" s="102" t="n">
        <v>46364</v>
      </c>
      <c r="B50" s="103" t="inlineStr">
        <is>
          <t>Día de la Virgen de Caacupé</t>
        </is>
      </c>
      <c r="C50" s="104" t="inlineStr">
        <is>
          <t>Feriado Nacional</t>
        </is>
      </c>
    </row>
    <row r="51" ht="28.5" customHeight="1">
      <c r="A51" s="102" t="n">
        <v>46367</v>
      </c>
      <c r="B51" s="103" t="inlineStr">
        <is>
          <t>Cierre de Actividades Administrativas</t>
        </is>
      </c>
      <c r="C51" s="104" t="inlineStr">
        <is>
          <t>MEC - CIERRE ADM.</t>
        </is>
      </c>
    </row>
    <row r="52">
      <c r="A52" s="102" t="n">
        <v>46381</v>
      </c>
      <c r="B52" s="103" t="inlineStr">
        <is>
          <t>Navidad</t>
        </is>
      </c>
      <c r="C52" s="104" t="inlineStr">
        <is>
          <t>Feriado Nacional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101" t="inlineStr">
        <is>
          <t xml:space="preserve">Indicador </t>
        </is>
      </c>
      <c r="C1" s="101" t="inlineStr">
        <is>
          <t xml:space="preserve">Indicador </t>
        </is>
      </c>
      <c r="D1" s="100" t="inlineStr">
        <is>
          <t>Tipo de Indicador</t>
        </is>
      </c>
      <c r="E1" s="108" t="inlineStr">
        <is>
          <t>Categoría</t>
        </is>
      </c>
    </row>
    <row r="2">
      <c r="B2" s="109">
        <f>+CONCATENATE(LEFT(D2,3),"-",C2)</f>
        <v/>
      </c>
      <c r="C2" s="109" t="inlineStr">
        <is>
          <t>02. Presenta lagunas en conocimientos previos.</t>
        </is>
      </c>
      <c r="D2" s="110" t="inlineStr">
        <is>
          <t>Alerta/Mejora</t>
        </is>
      </c>
      <c r="E2" s="111" t="inlineStr">
        <is>
          <t>Académica</t>
        </is>
      </c>
    </row>
    <row r="3">
      <c r="B3" s="109">
        <f>+CONCATENATE(LEFT(D3,3),"-",C3)</f>
        <v/>
      </c>
      <c r="C3" s="109" t="inlineStr">
        <is>
          <t>04. Se limita a memorizar sin comprender.</t>
        </is>
      </c>
      <c r="D3" s="110" t="inlineStr">
        <is>
          <t>Alerta/Mejora</t>
        </is>
      </c>
      <c r="E3" s="111" t="inlineStr">
        <is>
          <t>Académica</t>
        </is>
      </c>
    </row>
    <row r="4">
      <c r="B4" s="109">
        <f>+CONCATENATE(LEFT(D4,3),"-",C4)</f>
        <v/>
      </c>
      <c r="C4" s="109" t="inlineStr">
        <is>
          <t>06. Entrega tareas incompletas o descuidadas.</t>
        </is>
      </c>
      <c r="D4" s="110" t="inlineStr">
        <is>
          <t>Alerta/Mejora</t>
        </is>
      </c>
      <c r="E4" s="111" t="inlineStr">
        <is>
          <t>Académica</t>
        </is>
      </c>
    </row>
    <row r="5">
      <c r="B5" s="109">
        <f>+CONCATENATE(LEFT(D5,3),"-",C5)</f>
        <v/>
      </c>
      <c r="C5" s="109" t="inlineStr">
        <is>
          <t>08. Se bloquea ante desafíos matemáticos.</t>
        </is>
      </c>
      <c r="D5" s="110" t="inlineStr">
        <is>
          <t>Alerta/Mejora</t>
        </is>
      </c>
      <c r="E5" s="111" t="inlineStr">
        <is>
          <t>Académica</t>
        </is>
      </c>
    </row>
    <row r="6">
      <c r="B6" s="109">
        <f>+CONCATENATE(LEFT(D6,3),"-",C6)</f>
        <v/>
      </c>
      <c r="C6" s="109" t="inlineStr">
        <is>
          <t>10. Tiene dificultades de expresión oral/escrita.</t>
        </is>
      </c>
      <c r="D6" s="110" t="inlineStr">
        <is>
          <t>Alerta/Mejora</t>
        </is>
      </c>
      <c r="E6" s="111" t="inlineStr">
        <is>
          <t>Académica</t>
        </is>
      </c>
    </row>
    <row r="7">
      <c r="B7" s="109">
        <f>+CONCATENATE(LEFT(D7,3),"-",C7)</f>
        <v/>
      </c>
      <c r="C7" s="109" t="inlineStr">
        <is>
          <t>12. Muestra rechazo o desinterés por la lectura.</t>
        </is>
      </c>
      <c r="D7" s="110" t="inlineStr">
        <is>
          <t>Alerta/Mejora</t>
        </is>
      </c>
      <c r="E7" s="111" t="inlineStr">
        <is>
          <t>Académica</t>
        </is>
      </c>
    </row>
    <row r="8">
      <c r="B8" s="109">
        <f>+CONCATENATE(LEFT(D8,3),"-",C8)</f>
        <v/>
      </c>
      <c r="C8" s="109" t="inlineStr">
        <is>
          <t>14. Requiere supervisión constante para avanzar.</t>
        </is>
      </c>
      <c r="D8" s="110" t="inlineStr">
        <is>
          <t>Alerta/Mejora</t>
        </is>
      </c>
      <c r="E8" s="111" t="inlineStr">
        <is>
          <t>Académica</t>
        </is>
      </c>
    </row>
    <row r="9">
      <c r="B9" s="109">
        <f>+CONCATENATE(LEFT(D9,3),"-",C9)</f>
        <v/>
      </c>
      <c r="C9" s="109" t="inlineStr">
        <is>
          <t>16. Muestra apatía por temas nuevos.</t>
        </is>
      </c>
      <c r="D9" s="110" t="inlineStr">
        <is>
          <t>Alerta/Mejora</t>
        </is>
      </c>
      <c r="E9" s="111" t="inlineStr">
        <is>
          <t>Académica</t>
        </is>
      </c>
    </row>
    <row r="10">
      <c r="B10" s="109">
        <f>+CONCATENATE(LEFT(D10,3),"-",C10)</f>
        <v/>
      </c>
      <c r="C10" s="109" t="inlineStr">
        <is>
          <t>18. Desafía activamente la autoridad.</t>
        </is>
      </c>
      <c r="D10" s="110" t="inlineStr">
        <is>
          <t>Alerta/Mejora</t>
        </is>
      </c>
      <c r="E10" s="111" t="inlineStr">
        <is>
          <t>Conductual</t>
        </is>
      </c>
    </row>
    <row r="11">
      <c r="B11" s="109">
        <f>+CONCATENATE(LEFT(D11,3),"-",C11)</f>
        <v/>
      </c>
      <c r="C11" s="109" t="inlineStr">
        <is>
          <t>20. Presenta retardos o inasistencias frecuentes.</t>
        </is>
      </c>
      <c r="D11" s="110" t="inlineStr">
        <is>
          <t>Alerta/Mejora</t>
        </is>
      </c>
      <c r="E11" s="111" t="inlineStr">
        <is>
          <t>Conductual</t>
        </is>
      </c>
    </row>
    <row r="12">
      <c r="B12" s="109">
        <f>+CONCATENATE(LEFT(D12,3),"-",C12)</f>
        <v/>
      </c>
      <c r="C12" s="109" t="inlineStr">
        <is>
          <t>22. Daña el mobiliario o materiales escolares.</t>
        </is>
      </c>
      <c r="D12" s="110" t="inlineStr">
        <is>
          <t>Alerta/Mejora</t>
        </is>
      </c>
      <c r="E12" s="111" t="inlineStr">
        <is>
          <t>Conductual</t>
        </is>
      </c>
    </row>
    <row r="13">
      <c r="B13" s="109">
        <f>+CONCATENATE(LEFT(D13,3),"-",C13)</f>
        <v/>
      </c>
      <c r="C13" s="109" t="inlineStr">
        <is>
          <t>24. Interrumpe constantemente el flujo de clase.</t>
        </is>
      </c>
      <c r="D13" s="110" t="inlineStr">
        <is>
          <t>Alerta/Mejora</t>
        </is>
      </c>
      <c r="E13" s="111" t="inlineStr">
        <is>
          <t>Conductual</t>
        </is>
      </c>
    </row>
    <row r="14">
      <c r="B14" s="109">
        <f>+CONCATENATE(LEFT(D14,3),"-",C14)</f>
        <v/>
      </c>
      <c r="C14" s="109" t="inlineStr">
        <is>
          <t>26. Emplea lenguaje soez o despectivo.</t>
        </is>
      </c>
      <c r="D14" s="110" t="inlineStr">
        <is>
          <t>Alerta/Mejora</t>
        </is>
      </c>
      <c r="E14" s="111" t="inlineStr">
        <is>
          <t>Conductual</t>
        </is>
      </c>
    </row>
    <row r="15">
      <c r="B15" s="109">
        <f>+CONCATENATE(LEFT(D15,3),"-",C15)</f>
        <v/>
      </c>
      <c r="C15" s="109" t="inlineStr">
        <is>
          <t>28. Miente o culpa a otros por sus actos.</t>
        </is>
      </c>
      <c r="D15" s="110" t="inlineStr">
        <is>
          <t>Alerta/Mejora</t>
        </is>
      </c>
      <c r="E15" s="111" t="inlineStr">
        <is>
          <t>Conductual</t>
        </is>
      </c>
    </row>
    <row r="16">
      <c r="B16" s="109">
        <f>+CONCATENATE(LEFT(D16,3),"-",C16)</f>
        <v/>
      </c>
      <c r="C16" s="109" t="inlineStr">
        <is>
          <t>30. Se distrae con dispositivos electrónicos.</t>
        </is>
      </c>
      <c r="D16" s="110" t="inlineStr">
        <is>
          <t>Alerta/Mejora</t>
        </is>
      </c>
      <c r="E16" s="111" t="inlineStr">
        <is>
          <t>Conductual</t>
        </is>
      </c>
    </row>
    <row r="17">
      <c r="B17" s="109">
        <f>+CONCATENATE(LEFT(D17,3),"-",C17)</f>
        <v/>
      </c>
      <c r="C17" s="109" t="inlineStr">
        <is>
          <t>32. Fomenta el desorden o el caos en el grupo.</t>
        </is>
      </c>
      <c r="D17" s="110" t="inlineStr">
        <is>
          <t>Alerta/Mejora</t>
        </is>
      </c>
      <c r="E17" s="111" t="inlineStr">
        <is>
          <t>Conductual</t>
        </is>
      </c>
    </row>
    <row r="18">
      <c r="B18" s="109">
        <f>+CONCATENATE(LEFT(D18,3),"-",C18)</f>
        <v/>
      </c>
      <c r="C18" s="109" t="inlineStr">
        <is>
          <t>34. Se rinde fácilmente ante la frustración.</t>
        </is>
      </c>
      <c r="D18" s="110" t="inlineStr">
        <is>
          <t>Alerta/Mejora</t>
        </is>
      </c>
      <c r="E18" s="111" t="inlineStr">
        <is>
          <t>Socio-Emocional</t>
        </is>
      </c>
    </row>
    <row r="19">
      <c r="B19" s="109">
        <f>+CONCATENATE(LEFT(D19,3),"-",C19)</f>
        <v/>
      </c>
      <c r="C19" s="109" t="inlineStr">
        <is>
          <t>36. Trabaja de forma aislada o es individualista.</t>
        </is>
      </c>
      <c r="D19" s="110" t="inlineStr">
        <is>
          <t>Alerta/Mejora</t>
        </is>
      </c>
      <c r="E19" s="111" t="inlineStr">
        <is>
          <t>Socio-Emocional</t>
        </is>
      </c>
    </row>
    <row r="20">
      <c r="B20" s="109">
        <f>+CONCATENATE(LEFT(D20,3),"-",C20)</f>
        <v/>
      </c>
      <c r="C20" s="109" t="inlineStr">
        <is>
          <t>38. Ignora o se burla de los sentimientos de otros.</t>
        </is>
      </c>
      <c r="D20" s="110" t="inlineStr">
        <is>
          <t>Alerta/Mejora</t>
        </is>
      </c>
      <c r="E20" s="111" t="inlineStr">
        <is>
          <t>Socio-Emocional</t>
        </is>
      </c>
    </row>
    <row r="21">
      <c r="B21" s="109">
        <f>+CONCATENATE(LEFT(D21,3),"-",C21)</f>
        <v/>
      </c>
      <c r="C21" s="109" t="inlineStr">
        <is>
          <t>40. Ejerce presión negativa o bullying.</t>
        </is>
      </c>
      <c r="D21" s="110" t="inlineStr">
        <is>
          <t>Alerta/Mejora</t>
        </is>
      </c>
      <c r="E21" s="111" t="inlineStr">
        <is>
          <t>Socio-Emocional</t>
        </is>
      </c>
    </row>
    <row r="22">
      <c r="B22" s="109">
        <f>+CONCATENATE(LEFT(D22,3),"-",C22)</f>
        <v/>
      </c>
      <c r="C22" s="109" t="inlineStr">
        <is>
          <t>42. Reacciona de forma agresiva o impulsiva.</t>
        </is>
      </c>
      <c r="D22" s="110" t="inlineStr">
        <is>
          <t>Alerta/Mejora</t>
        </is>
      </c>
      <c r="E22" s="111" t="inlineStr">
        <is>
          <t>Socio-Emocional</t>
        </is>
      </c>
    </row>
    <row r="23">
      <c r="B23" s="109">
        <f>+CONCATENATE(LEFT(D23,3),"-",C23)</f>
        <v/>
      </c>
      <c r="C23" s="109" t="inlineStr">
        <is>
          <t>44. Expresa inseguridad constante ("no puedo").</t>
        </is>
      </c>
      <c r="D23" s="110" t="inlineStr">
        <is>
          <t>Alerta/Mejora</t>
        </is>
      </c>
      <c r="E23" s="111" t="inlineStr">
        <is>
          <t>Socio-Emocional</t>
        </is>
      </c>
    </row>
    <row r="24">
      <c r="B24" s="109">
        <f>+CONCATENATE(LEFT(D24,3),"-",C24)</f>
        <v/>
      </c>
      <c r="C24" s="109" t="inlineStr">
        <is>
          <t>46. Requiere estímulos externos para trabajar.</t>
        </is>
      </c>
      <c r="D24" s="110" t="inlineStr">
        <is>
          <t>Alerta/Mejora</t>
        </is>
      </c>
      <c r="E24" s="111" t="inlineStr">
        <is>
          <t>Actitudinal</t>
        </is>
      </c>
    </row>
    <row r="25">
      <c r="B25" s="109">
        <f>+CONCATENATE(LEFT(D25,3),"-",C25)</f>
        <v/>
      </c>
      <c r="C25" s="109" t="inlineStr">
        <is>
          <t>48. Abandona proyectos a mitad de camino.</t>
        </is>
      </c>
      <c r="D25" s="110" t="inlineStr">
        <is>
          <t>Alerta/Mejora</t>
        </is>
      </c>
      <c r="E25" s="111" t="inlineStr">
        <is>
          <t>Actitudinal</t>
        </is>
      </c>
    </row>
    <row r="26">
      <c r="B26" s="109">
        <f>+CONCATENATE(LEFT(D26,3),"-",C26)</f>
        <v/>
      </c>
      <c r="C26" s="109" t="inlineStr">
        <is>
          <t>50. Se muestra a la defensiva ante críticas.</t>
        </is>
      </c>
      <c r="D26" s="110" t="inlineStr">
        <is>
          <t>Alerta/Mejora</t>
        </is>
      </c>
      <c r="E26" s="111" t="inlineStr">
        <is>
          <t>Actitudinal</t>
        </is>
      </c>
    </row>
    <row r="27" ht="3.75" customHeight="1">
      <c r="B27" s="109" t="n"/>
      <c r="C27" s="109" t="n"/>
      <c r="D27" s="110" t="n"/>
      <c r="E27" s="111" t="n"/>
    </row>
    <row r="28">
      <c r="B28" s="109">
        <f>+CONCATENATE(LEFT(D28,3),"-",C28)</f>
        <v/>
      </c>
      <c r="C28" s="104" t="inlineStr">
        <is>
          <t>01. Domina los conceptos clave del grado.</t>
        </is>
      </c>
      <c r="D28" s="103" t="inlineStr">
        <is>
          <t>Fortaleza/Logro</t>
        </is>
      </c>
      <c r="E28" s="112" t="inlineStr">
        <is>
          <t>Académica</t>
        </is>
      </c>
    </row>
    <row r="29">
      <c r="B29" s="109">
        <f>+CONCATENATE(LEFT(D29,3),"-",C29)</f>
        <v/>
      </c>
      <c r="C29" s="104" t="inlineStr">
        <is>
          <t>03. Posee un pensamiento crítico y analítico.</t>
        </is>
      </c>
      <c r="D29" s="103" t="inlineStr">
        <is>
          <t>Fortaleza/Logro</t>
        </is>
      </c>
      <c r="E29" s="112" t="inlineStr">
        <is>
          <t>Académica</t>
        </is>
      </c>
    </row>
    <row r="30">
      <c r="B30" s="109">
        <f>+CONCATENATE(LEFT(D30,3),"-",C30)</f>
        <v/>
      </c>
      <c r="C30" s="104" t="inlineStr">
        <is>
          <t>05. Entrega trabajos con alta calidad y orden.</t>
        </is>
      </c>
      <c r="D30" s="103" t="inlineStr">
        <is>
          <t>Fortaleza/Logro</t>
        </is>
      </c>
      <c r="E30" s="112" t="inlineStr">
        <is>
          <t>Académica</t>
        </is>
      </c>
    </row>
    <row r="31">
      <c r="B31" s="109">
        <f>+CONCATENATE(LEFT(D31,3),"-",C31)</f>
        <v/>
      </c>
      <c r="C31" s="104" t="inlineStr">
        <is>
          <t>07. Resuelve problemas lógicos con fluidez.</t>
        </is>
      </c>
      <c r="D31" s="103" t="inlineStr">
        <is>
          <t>Fortaleza/Logro</t>
        </is>
      </c>
      <c r="E31" s="112" t="inlineStr">
        <is>
          <t>Académica</t>
        </is>
      </c>
    </row>
    <row r="32">
      <c r="B32" s="109">
        <f>+CONCATENATE(LEFT(D32,3),"-",C32)</f>
        <v/>
      </c>
      <c r="C32" s="104" t="inlineStr">
        <is>
          <t>09. Utiliza vocabulario técnico preciso.</t>
        </is>
      </c>
      <c r="D32" s="103" t="inlineStr">
        <is>
          <t>Fortaleza/Logro</t>
        </is>
      </c>
      <c r="E32" s="112" t="inlineStr">
        <is>
          <t>Académica</t>
        </is>
      </c>
    </row>
    <row r="33">
      <c r="B33" s="109">
        <f>+CONCATENATE(LEFT(D33,3),"-",C33)</f>
        <v/>
      </c>
      <c r="C33" s="104" t="inlineStr">
        <is>
          <t>11. Posee excelentes hábitos de lectura.</t>
        </is>
      </c>
      <c r="D33" s="103" t="inlineStr">
        <is>
          <t>Fortaleza/Logro</t>
        </is>
      </c>
      <c r="E33" s="112" t="inlineStr">
        <is>
          <t>Académica</t>
        </is>
      </c>
    </row>
    <row r="34">
      <c r="B34" s="109">
        <f>+CONCATENATE(LEFT(D34,3),"-",C34)</f>
        <v/>
      </c>
      <c r="C34" s="104" t="inlineStr">
        <is>
          <t>13. Es autónomo en la realización de tareas.</t>
        </is>
      </c>
      <c r="D34" s="103" t="inlineStr">
        <is>
          <t>Fortaleza/Logro</t>
        </is>
      </c>
      <c r="E34" s="112" t="inlineStr">
        <is>
          <t>Académica</t>
        </is>
      </c>
    </row>
    <row r="35">
      <c r="B35" s="109">
        <f>+CONCATENATE(LEFT(D35,3),"-",C35)</f>
        <v/>
      </c>
      <c r="C35" s="104" t="inlineStr">
        <is>
          <t>15. Investiga más allá de lo solicitado.</t>
        </is>
      </c>
      <c r="D35" s="103" t="inlineStr">
        <is>
          <t>Fortaleza/Logro</t>
        </is>
      </c>
      <c r="E35" s="112" t="inlineStr">
        <is>
          <t>Académica</t>
        </is>
      </c>
    </row>
    <row r="36">
      <c r="B36" s="109">
        <f>+CONCATENATE(LEFT(D36,3),"-",C36)</f>
        <v/>
      </c>
      <c r="C36" s="104" t="inlineStr">
        <is>
          <t>17. Respeta las normas de convivencia.</t>
        </is>
      </c>
      <c r="D36" s="103" t="inlineStr">
        <is>
          <t>Fortaleza/Logro</t>
        </is>
      </c>
      <c r="E36" s="112" t="inlineStr">
        <is>
          <t>Conductual</t>
        </is>
      </c>
    </row>
    <row r="37">
      <c r="B37" s="109">
        <f>+CONCATENATE(LEFT(D37,3),"-",C37)</f>
        <v/>
      </c>
      <c r="C37" s="104" t="inlineStr">
        <is>
          <t>19. Es puntual en todas sus obligaciones.</t>
        </is>
      </c>
      <c r="D37" s="103" t="inlineStr">
        <is>
          <t>Fortaleza/Logro</t>
        </is>
      </c>
      <c r="E37" s="112" t="inlineStr">
        <is>
          <t>Conductual</t>
        </is>
      </c>
    </row>
    <row r="38">
      <c r="B38" s="109">
        <f>+CONCATENATE(LEFT(D38,3),"-",C38)</f>
        <v/>
      </c>
      <c r="C38" s="104" t="inlineStr">
        <is>
          <t>21. Cuida el material propio y ajeno.</t>
        </is>
      </c>
      <c r="D38" s="103" t="inlineStr">
        <is>
          <t>Fortaleza/Logro</t>
        </is>
      </c>
      <c r="E38" s="112" t="inlineStr">
        <is>
          <t>Conductual</t>
        </is>
      </c>
    </row>
    <row r="39">
      <c r="B39" s="109">
        <f>+CONCATENATE(LEFT(D39,3),"-",C39)</f>
        <v/>
      </c>
      <c r="C39" s="104" t="inlineStr">
        <is>
          <t>23. Escucha con atención y no interrumpe.</t>
        </is>
      </c>
      <c r="D39" s="103" t="inlineStr">
        <is>
          <t>Fortaleza/Logro</t>
        </is>
      </c>
      <c r="E39" s="112" t="inlineStr">
        <is>
          <t>Conductual</t>
        </is>
      </c>
    </row>
    <row r="40">
      <c r="B40" s="109">
        <f>+CONCATENATE(LEFT(D40,3),"-",C40)</f>
        <v/>
      </c>
      <c r="C40" s="104" t="inlineStr">
        <is>
          <t>25. Utiliza el lenguaje de forma respetuosa.</t>
        </is>
      </c>
      <c r="D40" s="103" t="inlineStr">
        <is>
          <t>Fortaleza/Logro</t>
        </is>
      </c>
      <c r="E40" s="112" t="inlineStr">
        <is>
          <t>Conductual</t>
        </is>
      </c>
    </row>
    <row r="41">
      <c r="B41" s="109">
        <f>+CONCATENATE(LEFT(D41,3),"-",C41)</f>
        <v/>
      </c>
      <c r="C41" s="104" t="inlineStr">
        <is>
          <t>27. Reconoce sus errores honestamente.</t>
        </is>
      </c>
      <c r="D41" s="103" t="inlineStr">
        <is>
          <t>Fortaleza/Logro</t>
        </is>
      </c>
      <c r="E41" s="112" t="inlineStr">
        <is>
          <t>Conductual</t>
        </is>
      </c>
    </row>
    <row r="42">
      <c r="B42" s="109">
        <f>+CONCATENATE(LEFT(D42,3),"-",C42)</f>
        <v/>
      </c>
      <c r="C42" s="104" t="inlineStr">
        <is>
          <t>29. Usa la tecnología con fines educativos.</t>
        </is>
      </c>
      <c r="D42" s="103" t="inlineStr">
        <is>
          <t>Fortaleza/Logro</t>
        </is>
      </c>
      <c r="E42" s="112" t="inlineStr">
        <is>
          <t>Conductual</t>
        </is>
      </c>
    </row>
    <row r="43">
      <c r="B43" s="109">
        <f>+CONCATENATE(LEFT(D43,3),"-",C43)</f>
        <v/>
      </c>
      <c r="C43" s="104" t="inlineStr">
        <is>
          <t>31. Mantiene el orden en espacios comunes.</t>
        </is>
      </c>
      <c r="D43" s="103" t="inlineStr">
        <is>
          <t>Fortaleza/Logro</t>
        </is>
      </c>
      <c r="E43" s="112" t="inlineStr">
        <is>
          <t>Conductual</t>
        </is>
      </c>
    </row>
    <row r="44">
      <c r="B44" s="109">
        <f>+CONCATENATE(LEFT(D44,3),"-",C44)</f>
        <v/>
      </c>
      <c r="C44" s="104" t="inlineStr">
        <is>
          <t>33. Muestra resiliencia ante el fracaso.</t>
        </is>
      </c>
      <c r="D44" s="103" t="inlineStr">
        <is>
          <t>Fortaleza/Logro</t>
        </is>
      </c>
      <c r="E44" s="112" t="inlineStr">
        <is>
          <t>Socio-Emocional</t>
        </is>
      </c>
    </row>
    <row r="45">
      <c r="B45" s="109">
        <f>+CONCATENATE(LEFT(D45,3),"-",C45)</f>
        <v/>
      </c>
      <c r="C45" s="104" t="inlineStr">
        <is>
          <t>35. Trabaja de forma colaborativa y equitativa.</t>
        </is>
      </c>
      <c r="D45" s="103" t="inlineStr">
        <is>
          <t>Fortaleza/Logro</t>
        </is>
      </c>
      <c r="E45" s="112" t="inlineStr">
        <is>
          <t>Socio-Emocional</t>
        </is>
      </c>
    </row>
    <row r="46">
      <c r="B46" s="109">
        <f>+CONCATENATE(LEFT(D46,3),"-",C46)</f>
        <v/>
      </c>
      <c r="C46" s="104" t="inlineStr">
        <is>
          <t>37. Es empático con las necesidades ajenas.</t>
        </is>
      </c>
      <c r="D46" s="103" t="inlineStr">
        <is>
          <t>Fortaleza/Logro</t>
        </is>
      </c>
      <c r="E46" s="112" t="inlineStr">
        <is>
          <t>Socio-Emocional</t>
        </is>
      </c>
    </row>
    <row r="47">
      <c r="B47" s="109">
        <f>+CONCATENATE(LEFT(D47,3),"-",C47)</f>
        <v/>
      </c>
      <c r="C47" s="104" t="inlineStr">
        <is>
          <t>39. Posee un liderazgo positivo y ético.</t>
        </is>
      </c>
      <c r="D47" s="103" t="inlineStr">
        <is>
          <t>Fortaleza/Logro</t>
        </is>
      </c>
      <c r="E47" s="112" t="inlineStr">
        <is>
          <t>Socio-Emocional</t>
        </is>
      </c>
    </row>
    <row r="48">
      <c r="B48" s="109">
        <f>+CONCATENATE(LEFT(D48,3),"-",C48)</f>
        <v/>
      </c>
      <c r="C48" s="104" t="inlineStr">
        <is>
          <t>41. Se comunica de manera asertiva.</t>
        </is>
      </c>
      <c r="D48" s="103" t="inlineStr">
        <is>
          <t>Fortaleza/Logro</t>
        </is>
      </c>
      <c r="E48" s="112" t="inlineStr">
        <is>
          <t>Socio-Emocional</t>
        </is>
      </c>
    </row>
    <row r="49">
      <c r="B49" s="109">
        <f>+CONCATENATE(LEFT(D49,3),"-",C49)</f>
        <v/>
      </c>
      <c r="C49" s="104" t="inlineStr">
        <is>
          <t>43. Tiene una autoestima académica sólida.</t>
        </is>
      </c>
      <c r="D49" s="103" t="inlineStr">
        <is>
          <t>Fortaleza/Logro</t>
        </is>
      </c>
      <c r="E49" s="112" t="inlineStr">
        <is>
          <t>Socio-Emocional</t>
        </is>
      </c>
    </row>
    <row r="50">
      <c r="B50" s="109">
        <f>+CONCATENATE(LEFT(D50,3),"-",C50)</f>
        <v/>
      </c>
      <c r="C50" s="104" t="inlineStr">
        <is>
          <t>45. Muestra curiosidad e iniciativa propia.</t>
        </is>
      </c>
      <c r="D50" s="103" t="inlineStr">
        <is>
          <t>Fortaleza/Logro</t>
        </is>
      </c>
      <c r="E50" s="112" t="inlineStr">
        <is>
          <t>Actitudinal</t>
        </is>
      </c>
    </row>
    <row r="51">
      <c r="B51" s="109">
        <f>+CONCATENATE(LEFT(D51,3),"-",C51)</f>
        <v/>
      </c>
      <c r="C51" s="104" t="inlineStr">
        <is>
          <t>47. Es persistente en tareas complejas.</t>
        </is>
      </c>
      <c r="D51" s="103" t="inlineStr">
        <is>
          <t>Fortaleza/Logro</t>
        </is>
      </c>
      <c r="E51" s="112" t="inlineStr">
        <is>
          <t>Actitudinal</t>
        </is>
      </c>
    </row>
    <row r="52">
      <c r="B52" s="109">
        <f>+CONCATENATE(LEFT(D52,3),"-",C52)</f>
        <v/>
      </c>
      <c r="C52" s="104" t="inlineStr">
        <is>
          <t>49. Acepta retroalimentación constructiva.</t>
        </is>
      </c>
      <c r="D52" s="103" t="inlineStr">
        <is>
          <t>Fortaleza/Logro</t>
        </is>
      </c>
      <c r="E52" s="112" t="inlineStr">
        <is>
          <t>Actitudinal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.5703125" customWidth="1" min="1" max="1"/>
    <col width="19.28515625" customWidth="1" min="2" max="2"/>
  </cols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3.7109375" customWidth="1" min="8" max="8"/>
    <col width="5.140625" customWidth="1" min="11" max="11"/>
    <col width="6.28515625" customWidth="1" min="12" max="12"/>
    <col width="15.28515625" customWidth="1" min="13" max="13"/>
    <col width="12.5703125" customWidth="1" min="14" max="14"/>
  </cols>
  <sheetData>
    <row r="1">
      <c r="A1" s="108" t="inlineStr">
        <is>
          <t>Categoría</t>
        </is>
      </c>
      <c r="B1" s="101" t="inlineStr">
        <is>
          <t xml:space="preserve">Indicador </t>
        </is>
      </c>
      <c r="C1" s="101" t="inlineStr">
        <is>
          <t xml:space="preserve">Indicador </t>
        </is>
      </c>
      <c r="D1" s="100" t="inlineStr">
        <is>
          <t>Tipo de Indicador</t>
        </is>
      </c>
      <c r="E1" s="113" t="inlineStr">
        <is>
          <t>Cantidad de veces</t>
        </is>
      </c>
      <c r="F1" t="inlineStr">
        <is>
          <t>NOTA</t>
        </is>
      </c>
      <c r="G1">
        <f>+'Datos '!G14</f>
        <v/>
      </c>
    </row>
    <row r="2">
      <c r="A2" s="111" t="inlineStr">
        <is>
          <t>Académica</t>
        </is>
      </c>
      <c r="B2" s="109">
        <f>+CONCATENATE(LEFT(D2,3),"-",C2)</f>
        <v/>
      </c>
      <c r="C2" s="109" t="inlineStr">
        <is>
          <t>02. Presenta lagunas en conocimientos previos.</t>
        </is>
      </c>
      <c r="D2" s="110" t="inlineStr">
        <is>
          <t>Alerta/Mejora</t>
        </is>
      </c>
      <c r="E2" s="114" t="n">
        <v>3</v>
      </c>
      <c r="F2">
        <f>VLOOKUP(G2, $I$3:$K$7, 3, 1)</f>
        <v/>
      </c>
      <c r="G2">
        <f>+G$1-E2</f>
        <v/>
      </c>
    </row>
    <row r="3">
      <c r="A3" s="111" t="inlineStr">
        <is>
          <t>Académica</t>
        </is>
      </c>
      <c r="B3" s="109">
        <f>+CONCATENATE(LEFT(D3,3),"-",C3)</f>
        <v/>
      </c>
      <c r="C3" s="109" t="inlineStr">
        <is>
          <t>04. Se limita a memorizar sin comprender.</t>
        </is>
      </c>
      <c r="D3" s="110" t="inlineStr">
        <is>
          <t>Alerta/Mejora</t>
        </is>
      </c>
      <c r="E3" s="114" t="n">
        <v>3</v>
      </c>
      <c r="F3">
        <f>VLOOKUP(G3, $I$3:$K$7, 3, 1)</f>
        <v/>
      </c>
      <c r="G3">
        <f>+G$1-E3</f>
        <v/>
      </c>
      <c r="I3" s="115" t="n">
        <v>1</v>
      </c>
      <c r="J3" s="115" t="n">
        <v>8</v>
      </c>
      <c r="K3" s="116" t="n">
        <v>1</v>
      </c>
      <c r="M3" t="inlineStr">
        <is>
          <t>Etiquetas de fila</t>
        </is>
      </c>
      <c r="N3" t="inlineStr">
        <is>
          <t>Suma de Cantidad de veces</t>
        </is>
      </c>
    </row>
    <row r="4">
      <c r="A4" s="111" t="inlineStr">
        <is>
          <t>Académica</t>
        </is>
      </c>
      <c r="B4" s="109">
        <f>+CONCATENATE(LEFT(D4,3),"-",C4)</f>
        <v/>
      </c>
      <c r="C4" s="109" t="inlineStr">
        <is>
          <t>06. Entrega tareas incompletas o descuidadas.</t>
        </is>
      </c>
      <c r="D4" s="110" t="inlineStr">
        <is>
          <t>Alerta/Mejora</t>
        </is>
      </c>
      <c r="E4" s="114" t="n">
        <v>2</v>
      </c>
      <c r="F4">
        <f>VLOOKUP(G4, $I$3:$K$7, 3, 1)</f>
        <v/>
      </c>
      <c r="G4">
        <f>+G$1-E4</f>
        <v/>
      </c>
      <c r="I4" s="115" t="n"/>
      <c r="J4" s="115" t="n">
        <v>9</v>
      </c>
      <c r="K4" s="116" t="n">
        <v>2</v>
      </c>
      <c r="M4" s="87" t="inlineStr">
        <is>
          <t>Alerta/Mejora</t>
        </is>
      </c>
      <c r="N4" t="n">
        <v>89</v>
      </c>
    </row>
    <row r="5">
      <c r="A5" s="111" t="inlineStr">
        <is>
          <t>Académica</t>
        </is>
      </c>
      <c r="B5" s="109">
        <f>+CONCATENATE(LEFT(D5,3),"-",C5)</f>
        <v/>
      </c>
      <c r="C5" s="109" t="inlineStr">
        <is>
          <t>08. Se bloquea ante desafíos matemáticos.</t>
        </is>
      </c>
      <c r="D5" s="110" t="inlineStr">
        <is>
          <t>Alerta/Mejora</t>
        </is>
      </c>
      <c r="E5" s="114" t="n">
        <v>3</v>
      </c>
      <c r="F5">
        <f>VLOOKUP(G5, $I$3:$K$7, 3, 1)</f>
        <v/>
      </c>
      <c r="G5">
        <f>+G$1-E5</f>
        <v/>
      </c>
      <c r="I5" s="115" t="n">
        <v>10</v>
      </c>
      <c r="J5" s="115" t="n">
        <v>11</v>
      </c>
      <c r="K5" s="116" t="n">
        <v>3</v>
      </c>
      <c r="M5" s="87" t="inlineStr">
        <is>
          <t>Fortaleza/Logro</t>
        </is>
      </c>
      <c r="N5" t="n">
        <v>588</v>
      </c>
    </row>
    <row r="6">
      <c r="A6" s="111" t="inlineStr">
        <is>
          <t>Académica</t>
        </is>
      </c>
      <c r="B6" s="109">
        <f>+CONCATENATE(LEFT(D6,3),"-",C6)</f>
        <v/>
      </c>
      <c r="C6" s="109" t="inlineStr">
        <is>
          <t>10. Tiene dificultades de expresión oral/escrita.</t>
        </is>
      </c>
      <c r="D6" s="110" t="inlineStr">
        <is>
          <t>Alerta/Mejora</t>
        </is>
      </c>
      <c r="E6" s="114" t="n">
        <v>2</v>
      </c>
      <c r="F6">
        <f>VLOOKUP(G6, $I$3:$K$7, 3, 1)</f>
        <v/>
      </c>
      <c r="G6">
        <f>+G$1-E6</f>
        <v/>
      </c>
      <c r="I6" s="115" t="n">
        <v>12</v>
      </c>
      <c r="J6" s="115" t="n">
        <v>13</v>
      </c>
      <c r="K6" s="116" t="n">
        <v>4</v>
      </c>
      <c r="M6" s="87" t="inlineStr">
        <is>
          <t>Total general</t>
        </is>
      </c>
      <c r="N6" t="n">
        <v>677</v>
      </c>
    </row>
    <row r="7">
      <c r="A7" s="111" t="inlineStr">
        <is>
          <t>Académica</t>
        </is>
      </c>
      <c r="B7" s="109">
        <f>+CONCATENATE(LEFT(D7,3),"-",C7)</f>
        <v/>
      </c>
      <c r="C7" s="109" t="inlineStr">
        <is>
          <t>12. Muestra rechazo o desinterés por la lectura.</t>
        </is>
      </c>
      <c r="D7" s="110" t="inlineStr">
        <is>
          <t>Alerta/Mejora</t>
        </is>
      </c>
      <c r="E7" s="114" t="n">
        <v>3</v>
      </c>
      <c r="F7">
        <f>VLOOKUP(G7, $I$3:$K$7, 3, 1)</f>
        <v/>
      </c>
      <c r="G7">
        <f>+G$1-E7</f>
        <v/>
      </c>
      <c r="I7" s="115" t="n"/>
      <c r="J7" s="115" t="n">
        <v>14</v>
      </c>
      <c r="K7" s="116" t="n">
        <v>5</v>
      </c>
    </row>
    <row r="8">
      <c r="A8" s="111" t="inlineStr">
        <is>
          <t>Académica</t>
        </is>
      </c>
      <c r="B8" s="109">
        <f>+CONCATENATE(LEFT(D8,3),"-",C8)</f>
        <v/>
      </c>
      <c r="C8" s="109" t="inlineStr">
        <is>
          <t>14. Requiere supervisión constante para avanzar.</t>
        </is>
      </c>
      <c r="D8" s="110" t="inlineStr">
        <is>
          <t>Alerta/Mejora</t>
        </is>
      </c>
      <c r="E8" s="114" t="n">
        <v>3</v>
      </c>
      <c r="F8">
        <f>VLOOKUP(G8, $I$3:$K$7, 3, 1)</f>
        <v/>
      </c>
      <c r="G8">
        <f>+G$1-E8</f>
        <v/>
      </c>
    </row>
    <row r="9">
      <c r="A9" s="111" t="inlineStr">
        <is>
          <t>Académica</t>
        </is>
      </c>
      <c r="B9" s="109">
        <f>+CONCATENATE(LEFT(D9,3),"-",C9)</f>
        <v/>
      </c>
      <c r="C9" s="109" t="inlineStr">
        <is>
          <t>16. Muestra apatía por temas nuevos.</t>
        </is>
      </c>
      <c r="D9" s="110" t="inlineStr">
        <is>
          <t>Alerta/Mejora</t>
        </is>
      </c>
      <c r="E9" s="114" t="n">
        <v>0</v>
      </c>
      <c r="F9">
        <f>VLOOKUP(G9, $I$3:$K$7, 3, 1)</f>
        <v/>
      </c>
      <c r="G9">
        <f>+G$1-E9</f>
        <v/>
      </c>
    </row>
    <row r="10">
      <c r="A10" s="111" t="inlineStr">
        <is>
          <t>Conductual</t>
        </is>
      </c>
      <c r="B10" s="109">
        <f>+CONCATENATE(LEFT(D10,3),"-",C10)</f>
        <v/>
      </c>
      <c r="C10" s="109" t="inlineStr">
        <is>
          <t>18. Desafía activamente la autoridad.</t>
        </is>
      </c>
      <c r="D10" s="110" t="inlineStr">
        <is>
          <t>Alerta/Mejora</t>
        </is>
      </c>
      <c r="E10" s="114" t="n">
        <v>0</v>
      </c>
      <c r="F10">
        <f>VLOOKUP(G10, $I$3:$K$7, 3, 1)</f>
        <v/>
      </c>
      <c r="G10">
        <f>+G$1-E10</f>
        <v/>
      </c>
    </row>
    <row r="11">
      <c r="A11" s="111" t="inlineStr">
        <is>
          <t>Conductual</t>
        </is>
      </c>
      <c r="B11" s="109">
        <f>+CONCATENATE(LEFT(D11,3),"-",C11)</f>
        <v/>
      </c>
      <c r="C11" s="109" t="inlineStr">
        <is>
          <t>20. Presenta retardos o inasistencias frecuentes.</t>
        </is>
      </c>
      <c r="D11" s="110" t="inlineStr">
        <is>
          <t>Alerta/Mejora</t>
        </is>
      </c>
      <c r="E11" s="114" t="n">
        <v>2</v>
      </c>
      <c r="F11">
        <f>VLOOKUP(G11, $I$3:$K$7, 3, 1)</f>
        <v/>
      </c>
      <c r="G11">
        <f>+G$1-E11</f>
        <v/>
      </c>
    </row>
    <row r="12">
      <c r="A12" s="111" t="inlineStr">
        <is>
          <t>Conductual</t>
        </is>
      </c>
      <c r="B12" s="109">
        <f>+CONCATENATE(LEFT(D12,3),"-",C12)</f>
        <v/>
      </c>
      <c r="C12" s="109" t="inlineStr">
        <is>
          <t>22. Daña el mobiliario o materiales escolares.</t>
        </is>
      </c>
      <c r="D12" s="110" t="inlineStr">
        <is>
          <t>Alerta/Mejora</t>
        </is>
      </c>
      <c r="E12" s="114" t="n">
        <v>0</v>
      </c>
      <c r="F12">
        <f>VLOOKUP(G12, $I$3:$K$7, 3, 1)</f>
        <v/>
      </c>
      <c r="G12">
        <f>+G$1-E12</f>
        <v/>
      </c>
    </row>
    <row r="13">
      <c r="A13" s="111" t="inlineStr">
        <is>
          <t>Conductual</t>
        </is>
      </c>
      <c r="B13" s="109">
        <f>+CONCATENATE(LEFT(D13,3),"-",C13)</f>
        <v/>
      </c>
      <c r="C13" s="109" t="inlineStr">
        <is>
          <t>24. Interrumpe constantemente el flujo de clase.</t>
        </is>
      </c>
      <c r="D13" s="110" t="inlineStr">
        <is>
          <t>Alerta/Mejora</t>
        </is>
      </c>
      <c r="E13" s="114" t="n">
        <v>2</v>
      </c>
      <c r="F13">
        <f>VLOOKUP(G13, $I$3:$K$7, 3, 1)</f>
        <v/>
      </c>
      <c r="G13">
        <f>+G$1-E13</f>
        <v/>
      </c>
    </row>
    <row r="14">
      <c r="A14" s="111" t="inlineStr">
        <is>
          <t>Conductual</t>
        </is>
      </c>
      <c r="B14" s="109">
        <f>+CONCATENATE(LEFT(D14,3),"-",C14)</f>
        <v/>
      </c>
      <c r="C14" s="109" t="inlineStr">
        <is>
          <t>26. Emplea lenguaje soez o despectivo.</t>
        </is>
      </c>
      <c r="D14" s="110" t="inlineStr">
        <is>
          <t>Alerta/Mejora</t>
        </is>
      </c>
      <c r="E14" s="114" t="n">
        <v>0</v>
      </c>
      <c r="F14">
        <f>VLOOKUP(G14, $I$3:$K$7, 3, 1)</f>
        <v/>
      </c>
      <c r="G14">
        <f>+G$1-E14</f>
        <v/>
      </c>
    </row>
    <row r="15">
      <c r="A15" s="111" t="inlineStr">
        <is>
          <t>Conductual</t>
        </is>
      </c>
      <c r="B15" s="109">
        <f>+CONCATENATE(LEFT(D15,3),"-",C15)</f>
        <v/>
      </c>
      <c r="C15" s="109" t="inlineStr">
        <is>
          <t>28. Miente o culpa a otros por sus actos.</t>
        </is>
      </c>
      <c r="D15" s="110" t="inlineStr">
        <is>
          <t>Alerta/Mejora</t>
        </is>
      </c>
      <c r="E15" s="114" t="n">
        <v>0</v>
      </c>
      <c r="F15">
        <f>VLOOKUP(G15, $I$3:$K$7, 3, 1)</f>
        <v/>
      </c>
      <c r="G15">
        <f>+G$1-E15</f>
        <v/>
      </c>
    </row>
    <row r="16">
      <c r="A16" s="111" t="inlineStr">
        <is>
          <t>Conductual</t>
        </is>
      </c>
      <c r="B16" s="109">
        <f>+CONCATENATE(LEFT(D16,3),"-",C16)</f>
        <v/>
      </c>
      <c r="C16" s="109" t="inlineStr">
        <is>
          <t>30. Se distrae con dispositivos electrónicos.</t>
        </is>
      </c>
      <c r="D16" s="110" t="inlineStr">
        <is>
          <t>Alerta/Mejora</t>
        </is>
      </c>
      <c r="E16" s="114" t="n">
        <v>0</v>
      </c>
      <c r="F16">
        <f>VLOOKUP(G16, $I$3:$K$7, 3, 1)</f>
        <v/>
      </c>
      <c r="G16">
        <f>+G$1-E16</f>
        <v/>
      </c>
    </row>
    <row r="17">
      <c r="A17" s="111" t="inlineStr">
        <is>
          <t>Conductual</t>
        </is>
      </c>
      <c r="B17" s="109">
        <f>+CONCATENATE(LEFT(D17,3),"-",C17)</f>
        <v/>
      </c>
      <c r="C17" s="109" t="inlineStr">
        <is>
          <t>32. Fomenta el desorden o el caos en el grupo.</t>
        </is>
      </c>
      <c r="D17" s="110" t="inlineStr">
        <is>
          <t>Alerta/Mejora</t>
        </is>
      </c>
      <c r="E17" s="114" t="n">
        <v>0</v>
      </c>
      <c r="F17">
        <f>VLOOKUP(G17, $I$3:$K$7, 3, 1)</f>
        <v/>
      </c>
      <c r="G17">
        <f>+G$1-E17</f>
        <v/>
      </c>
    </row>
    <row r="18">
      <c r="A18" s="111" t="inlineStr">
        <is>
          <t>Socio-Emocional</t>
        </is>
      </c>
      <c r="B18" s="109">
        <f>+CONCATENATE(LEFT(D18,3),"-",C18)</f>
        <v/>
      </c>
      <c r="C18" s="109" t="inlineStr">
        <is>
          <t>34. Se rinde fácilmente ante la frustración.</t>
        </is>
      </c>
      <c r="D18" s="110" t="inlineStr">
        <is>
          <t>Alerta/Mejora</t>
        </is>
      </c>
      <c r="E18" s="114" t="n">
        <v>2</v>
      </c>
      <c r="F18">
        <f>VLOOKUP(G18, $I$3:$K$7, 3, 1)</f>
        <v/>
      </c>
      <c r="G18">
        <f>+G$1-E18</f>
        <v/>
      </c>
    </row>
    <row r="19">
      <c r="A19" s="111" t="inlineStr">
        <is>
          <t>Socio-Emocional</t>
        </is>
      </c>
      <c r="B19" s="109">
        <f>+CONCATENATE(LEFT(D19,3),"-",C19)</f>
        <v/>
      </c>
      <c r="C19" s="109" t="inlineStr">
        <is>
          <t>36. Trabaja de forma aislada o es individualista.</t>
        </is>
      </c>
      <c r="D19" s="110" t="inlineStr">
        <is>
          <t>Alerta/Mejora</t>
        </is>
      </c>
      <c r="E19" s="114" t="n">
        <v>1</v>
      </c>
      <c r="F19">
        <f>VLOOKUP(G19, $I$3:$K$7, 3, 1)</f>
        <v/>
      </c>
      <c r="G19">
        <f>+G$1-E19</f>
        <v/>
      </c>
    </row>
    <row r="20">
      <c r="A20" s="111" t="inlineStr">
        <is>
          <t>Socio-Emocional</t>
        </is>
      </c>
      <c r="B20" s="109">
        <f>+CONCATENATE(LEFT(D20,3),"-",C20)</f>
        <v/>
      </c>
      <c r="C20" s="109" t="inlineStr">
        <is>
          <t>38. Ignora o se burla de los sentimientos de otros.</t>
        </is>
      </c>
      <c r="D20" s="110" t="inlineStr">
        <is>
          <t>Alerta/Mejora</t>
        </is>
      </c>
      <c r="E20" s="114" t="n">
        <v>3</v>
      </c>
      <c r="F20">
        <f>VLOOKUP(G20, $I$3:$K$7, 3, 1)</f>
        <v/>
      </c>
      <c r="G20">
        <f>+G$1-E20</f>
        <v/>
      </c>
    </row>
    <row r="21">
      <c r="A21" s="111" t="inlineStr">
        <is>
          <t>Socio-Emocional</t>
        </is>
      </c>
      <c r="B21" s="109">
        <f>+CONCATENATE(LEFT(D21,3),"-",C21)</f>
        <v/>
      </c>
      <c r="C21" s="109" t="inlineStr">
        <is>
          <t>40. Ejerce presión negativa o bullying.</t>
        </is>
      </c>
      <c r="D21" s="110" t="inlineStr">
        <is>
          <t>Alerta/Mejora</t>
        </is>
      </c>
      <c r="E21" s="114" t="n">
        <v>1</v>
      </c>
      <c r="F21">
        <f>VLOOKUP(G21, $I$3:$K$7, 3, 1)</f>
        <v/>
      </c>
      <c r="G21">
        <f>+G$1-E21</f>
        <v/>
      </c>
    </row>
    <row r="22">
      <c r="A22" s="111" t="inlineStr">
        <is>
          <t>Socio-Emocional</t>
        </is>
      </c>
      <c r="B22" s="109">
        <f>+CONCATENATE(LEFT(D22,3),"-",C22)</f>
        <v/>
      </c>
      <c r="C22" s="109" t="inlineStr">
        <is>
          <t>42. Reacciona de forma agresiva o impulsiva.</t>
        </is>
      </c>
      <c r="D22" s="110" t="inlineStr">
        <is>
          <t>Alerta/Mejora</t>
        </is>
      </c>
      <c r="E22" s="114" t="n">
        <v>1</v>
      </c>
      <c r="F22">
        <f>VLOOKUP(G22, $I$3:$K$7, 3, 1)</f>
        <v/>
      </c>
      <c r="G22">
        <f>+G$1-E22</f>
        <v/>
      </c>
    </row>
    <row r="23">
      <c r="A23" s="111" t="inlineStr">
        <is>
          <t>Socio-Emocional</t>
        </is>
      </c>
      <c r="B23" s="109">
        <f>+CONCATENATE(LEFT(D23,3),"-",C23)</f>
        <v/>
      </c>
      <c r="C23" s="109" t="inlineStr">
        <is>
          <t>44. Expresa inseguridad constante ("no puedo").</t>
        </is>
      </c>
      <c r="D23" s="110" t="inlineStr">
        <is>
          <t>Alerta/Mejora</t>
        </is>
      </c>
      <c r="E23" s="114" t="n">
        <v>1</v>
      </c>
      <c r="F23">
        <f>VLOOKUP(G23, $I$3:$K$7, 3, 1)</f>
        <v/>
      </c>
      <c r="G23">
        <f>+G$1-E23</f>
        <v/>
      </c>
    </row>
    <row r="24">
      <c r="A24" s="111" t="inlineStr">
        <is>
          <t>Actitudinal</t>
        </is>
      </c>
      <c r="B24" s="109">
        <f>+CONCATENATE(LEFT(D24,3),"-",C24)</f>
        <v/>
      </c>
      <c r="C24" s="109" t="inlineStr">
        <is>
          <t>46. Requiere estímulos externos para trabajar.</t>
        </is>
      </c>
      <c r="D24" s="110" t="inlineStr">
        <is>
          <t>Alerta/Mejora</t>
        </is>
      </c>
      <c r="E24" s="114" t="n">
        <v>2</v>
      </c>
      <c r="F24">
        <f>VLOOKUP(G24, $I$3:$K$7, 3, 1)</f>
        <v/>
      </c>
      <c r="G24">
        <f>+G$1-E24</f>
        <v/>
      </c>
    </row>
    <row r="25">
      <c r="A25" s="111" t="inlineStr">
        <is>
          <t>Actitudinal</t>
        </is>
      </c>
      <c r="B25" s="109">
        <f>+CONCATENATE(LEFT(D25,3),"-",C25)</f>
        <v/>
      </c>
      <c r="C25" s="109" t="inlineStr">
        <is>
          <t>48. Abandona proyectos a mitad de camino.</t>
        </is>
      </c>
      <c r="D25" s="110" t="inlineStr">
        <is>
          <t>Alerta/Mejora</t>
        </is>
      </c>
      <c r="E25" s="114" t="n">
        <v>0</v>
      </c>
      <c r="F25">
        <f>VLOOKUP(G25, $I$3:$K$7, 3, 1)</f>
        <v/>
      </c>
      <c r="G25">
        <f>+G$1-E25</f>
        <v/>
      </c>
    </row>
    <row r="26">
      <c r="A26" s="111" t="inlineStr">
        <is>
          <t>Actitudinal</t>
        </is>
      </c>
      <c r="B26" s="109">
        <f>+CONCATENATE(LEFT(D26,3),"-",C26)</f>
        <v/>
      </c>
      <c r="C26" s="109" t="inlineStr">
        <is>
          <t>50. Se muestra a la defensiva ante críticas.</t>
        </is>
      </c>
      <c r="D26" s="110" t="inlineStr">
        <is>
          <t>Alerta/Mejora</t>
        </is>
      </c>
      <c r="E26" s="114" t="n">
        <v>0</v>
      </c>
      <c r="F26">
        <f>VLOOKUP(G26, $I$3:$K$7, 3, 1)</f>
        <v/>
      </c>
      <c r="G26">
        <f>+G$1-E26</f>
        <v/>
      </c>
    </row>
    <row r="27">
      <c r="A27" s="111" t="n"/>
      <c r="B27" s="109" t="n"/>
      <c r="C27" s="109" t="n"/>
      <c r="D27" s="110" t="n"/>
      <c r="E27" s="114" t="n"/>
    </row>
    <row r="28">
      <c r="A28" s="112" t="inlineStr">
        <is>
          <t>Académica</t>
        </is>
      </c>
      <c r="B28" s="109">
        <f>+CONCATENATE(LEFT(D28,3),"-",C28)</f>
        <v/>
      </c>
      <c r="C28" s="104" t="inlineStr">
        <is>
          <t>01. Domina los conceptos clave del grado.</t>
        </is>
      </c>
      <c r="D28" s="103" t="inlineStr">
        <is>
          <t>Fortaleza/Logro</t>
        </is>
      </c>
      <c r="E28" s="114" t="n">
        <v>12</v>
      </c>
      <c r="F28">
        <f>VLOOKUP(G28, $I$3:$K$7, 3, 1)</f>
        <v/>
      </c>
      <c r="G28">
        <f>+E28</f>
        <v/>
      </c>
    </row>
    <row r="29">
      <c r="A29" s="112" t="inlineStr">
        <is>
          <t>Académica</t>
        </is>
      </c>
      <c r="B29" s="109">
        <f>+CONCATENATE(LEFT(D29,3),"-",C29)</f>
        <v/>
      </c>
      <c r="C29" s="104" t="inlineStr">
        <is>
          <t>03. Posee un pensamiento crítico y analítico.</t>
        </is>
      </c>
      <c r="D29" s="103" t="inlineStr">
        <is>
          <t>Fortaleza/Logro</t>
        </is>
      </c>
      <c r="E29" s="114" t="n">
        <v>14</v>
      </c>
      <c r="F29">
        <f>VLOOKUP(G29, $I$3:$K$7, 3, 1)</f>
        <v/>
      </c>
      <c r="G29">
        <f>+E29</f>
        <v/>
      </c>
    </row>
    <row r="30">
      <c r="A30" s="112" t="inlineStr">
        <is>
          <t>Académica</t>
        </is>
      </c>
      <c r="B30" s="109">
        <f>+CONCATENATE(LEFT(D30,3),"-",C30)</f>
        <v/>
      </c>
      <c r="C30" s="104" t="inlineStr">
        <is>
          <t>05. Entrega trabajos con alta calidad y orden.</t>
        </is>
      </c>
      <c r="D30" s="103" t="inlineStr">
        <is>
          <t>Fortaleza/Logro</t>
        </is>
      </c>
      <c r="E30" s="114" t="n">
        <v>12</v>
      </c>
      <c r="F30">
        <f>VLOOKUP(G30, $I$3:$K$7, 3, 1)</f>
        <v/>
      </c>
      <c r="G30">
        <f>+E30</f>
        <v/>
      </c>
    </row>
    <row r="31">
      <c r="A31" s="112" t="inlineStr">
        <is>
          <t>Académica</t>
        </is>
      </c>
      <c r="B31" s="109">
        <f>+CONCATENATE(LEFT(D31,3),"-",C31)</f>
        <v/>
      </c>
      <c r="C31" s="104" t="inlineStr">
        <is>
          <t>07. Resuelve problemas lógicos con fluidez.</t>
        </is>
      </c>
      <c r="D31" s="103" t="inlineStr">
        <is>
          <t>Fortaleza/Logro</t>
        </is>
      </c>
      <c r="E31" s="114" t="n">
        <v>12</v>
      </c>
      <c r="F31">
        <f>VLOOKUP(G31, $I$3:$K$7, 3, 1)</f>
        <v/>
      </c>
      <c r="G31">
        <f>+E31</f>
        <v/>
      </c>
    </row>
    <row r="32">
      <c r="A32" s="112" t="inlineStr">
        <is>
          <t>Académica</t>
        </is>
      </c>
      <c r="B32" s="109">
        <f>+CONCATENATE(LEFT(D32,3),"-",C32)</f>
        <v/>
      </c>
      <c r="C32" s="104" t="inlineStr">
        <is>
          <t>09. Utiliza vocabulario técnico preciso.</t>
        </is>
      </c>
      <c r="D32" s="103" t="inlineStr">
        <is>
          <t>Fortaleza/Logro</t>
        </is>
      </c>
      <c r="E32" s="114" t="n">
        <v>12</v>
      </c>
      <c r="F32">
        <f>VLOOKUP(G32, $I$3:$K$7, 3, 1)</f>
        <v/>
      </c>
      <c r="G32">
        <f>+E32</f>
        <v/>
      </c>
    </row>
    <row r="33">
      <c r="A33" s="112" t="inlineStr">
        <is>
          <t>Académica</t>
        </is>
      </c>
      <c r="B33" s="109">
        <f>+CONCATENATE(LEFT(D33,3),"-",C33)</f>
        <v/>
      </c>
      <c r="C33" s="104" t="inlineStr">
        <is>
          <t>11. Posee excelentes hábitos de lectura.</t>
        </is>
      </c>
      <c r="D33" s="103" t="inlineStr">
        <is>
          <t>Fortaleza/Logro</t>
        </is>
      </c>
      <c r="E33" s="114" t="n">
        <v>11</v>
      </c>
      <c r="F33">
        <f>VLOOKUP(G33, $I$3:$K$7, 3, 1)</f>
        <v/>
      </c>
      <c r="G33">
        <f>+E33</f>
        <v/>
      </c>
    </row>
    <row r="34">
      <c r="A34" s="112" t="inlineStr">
        <is>
          <t>Académica</t>
        </is>
      </c>
      <c r="B34" s="109">
        <f>+CONCATENATE(LEFT(D34,3),"-",C34)</f>
        <v/>
      </c>
      <c r="C34" s="104" t="inlineStr">
        <is>
          <t>13. Es autónomo en la realización de tareas.</t>
        </is>
      </c>
      <c r="D34" s="103" t="inlineStr">
        <is>
          <t>Fortaleza/Logro</t>
        </is>
      </c>
      <c r="E34" s="114" t="n">
        <v>14</v>
      </c>
      <c r="F34">
        <f>VLOOKUP(G34, $I$3:$K$7, 3, 1)</f>
        <v/>
      </c>
      <c r="G34">
        <f>+E34</f>
        <v/>
      </c>
    </row>
    <row r="35">
      <c r="A35" s="112" t="inlineStr">
        <is>
          <t>Académica</t>
        </is>
      </c>
      <c r="B35" s="109">
        <f>+CONCATENATE(LEFT(D35,3),"-",C35)</f>
        <v/>
      </c>
      <c r="C35" s="104" t="inlineStr">
        <is>
          <t>15. Investiga más allá de lo solicitado.</t>
        </is>
      </c>
      <c r="D35" s="103" t="inlineStr">
        <is>
          <t>Fortaleza/Logro</t>
        </is>
      </c>
      <c r="E35" s="114" t="n">
        <v>12</v>
      </c>
      <c r="F35">
        <f>VLOOKUP(G35, $I$3:$K$7, 3, 1)</f>
        <v/>
      </c>
      <c r="G35">
        <f>+E35</f>
        <v/>
      </c>
    </row>
    <row r="36">
      <c r="A36" s="112" t="inlineStr">
        <is>
          <t>Conductual</t>
        </is>
      </c>
      <c r="B36" s="109">
        <f>+CONCATENATE(LEFT(D36,3),"-",C36)</f>
        <v/>
      </c>
      <c r="C36" s="104" t="inlineStr">
        <is>
          <t>17. Respeta las normas de convivencia.</t>
        </is>
      </c>
      <c r="D36" s="103" t="inlineStr">
        <is>
          <t>Fortaleza/Logro</t>
        </is>
      </c>
      <c r="E36" s="114" t="n">
        <v>14</v>
      </c>
      <c r="F36">
        <f>VLOOKUP(G36, $I$3:$K$7, 3, 1)</f>
        <v/>
      </c>
      <c r="G36">
        <f>+E36</f>
        <v/>
      </c>
    </row>
    <row r="37">
      <c r="A37" s="112" t="inlineStr">
        <is>
          <t>Conductual</t>
        </is>
      </c>
      <c r="B37" s="109">
        <f>+CONCATENATE(LEFT(D37,3),"-",C37)</f>
        <v/>
      </c>
      <c r="C37" s="104" t="inlineStr">
        <is>
          <t>19. Es puntual en todas sus obligaciones.</t>
        </is>
      </c>
      <c r="D37" s="103" t="inlineStr">
        <is>
          <t>Fortaleza/Logro</t>
        </is>
      </c>
      <c r="E37" s="114" t="n">
        <v>12</v>
      </c>
      <c r="F37">
        <f>VLOOKUP(G37, $I$3:$K$7, 3, 1)</f>
        <v/>
      </c>
      <c r="G37">
        <f>+E37</f>
        <v/>
      </c>
    </row>
    <row r="38">
      <c r="A38" s="112" t="inlineStr">
        <is>
          <t>Conductual</t>
        </is>
      </c>
      <c r="B38" s="109">
        <f>+CONCATENATE(LEFT(D38,3),"-",C38)</f>
        <v/>
      </c>
      <c r="C38" s="104" t="inlineStr">
        <is>
          <t>21. Cuida el material propio y ajeno.</t>
        </is>
      </c>
      <c r="D38" s="103" t="inlineStr">
        <is>
          <t>Fortaleza/Logro</t>
        </is>
      </c>
      <c r="E38" s="114" t="n">
        <v>14</v>
      </c>
      <c r="F38">
        <f>VLOOKUP(G38, $I$3:$K$7, 3, 1)</f>
        <v/>
      </c>
      <c r="G38">
        <f>+E38</f>
        <v/>
      </c>
    </row>
    <row r="39">
      <c r="A39" s="112" t="inlineStr">
        <is>
          <t>Conductual</t>
        </is>
      </c>
      <c r="B39" s="109">
        <f>+CONCATENATE(LEFT(D39,3),"-",C39)</f>
        <v/>
      </c>
      <c r="C39" s="104" t="inlineStr">
        <is>
          <t>23. Escucha con atención y no interrumpe.</t>
        </is>
      </c>
      <c r="D39" s="103" t="inlineStr">
        <is>
          <t>Fortaleza/Logro</t>
        </is>
      </c>
      <c r="E39" s="114" t="n">
        <v>14</v>
      </c>
      <c r="F39">
        <f>VLOOKUP(G39, $I$3:$K$7, 3, 1)</f>
        <v/>
      </c>
      <c r="G39">
        <f>+E39</f>
        <v/>
      </c>
    </row>
    <row r="40">
      <c r="A40" s="112" t="inlineStr">
        <is>
          <t>Conductual</t>
        </is>
      </c>
      <c r="B40" s="109">
        <f>+CONCATENATE(LEFT(D40,3),"-",C40)</f>
        <v/>
      </c>
      <c r="C40" s="104" t="inlineStr">
        <is>
          <t>25. Utiliza el lenguaje de forma respetuosa.</t>
        </is>
      </c>
      <c r="D40" s="103" t="inlineStr">
        <is>
          <t>Fortaleza/Logro</t>
        </is>
      </c>
      <c r="E40" s="114" t="n">
        <v>14</v>
      </c>
      <c r="F40">
        <f>VLOOKUP(G40, $I$3:$K$7, 3, 1)</f>
        <v/>
      </c>
      <c r="G40">
        <f>+E40</f>
        <v/>
      </c>
    </row>
    <row r="41">
      <c r="A41" s="112" t="inlineStr">
        <is>
          <t>Conductual</t>
        </is>
      </c>
      <c r="B41" s="109">
        <f>+CONCATENATE(LEFT(D41,3),"-",C41)</f>
        <v/>
      </c>
      <c r="C41" s="104" t="inlineStr">
        <is>
          <t>27. Reconoce sus errores honestamente.</t>
        </is>
      </c>
      <c r="D41" s="103" t="inlineStr">
        <is>
          <t>Fortaleza/Logro</t>
        </is>
      </c>
      <c r="E41" s="114" t="n">
        <v>14</v>
      </c>
      <c r="F41">
        <f>VLOOKUP(G41, $I$3:$K$7, 3, 1)</f>
        <v/>
      </c>
      <c r="G41">
        <f>+E41</f>
        <v/>
      </c>
      <c r="K41" t="inlineStr">
        <is>
          <t>Suma de Cantidad de veces</t>
        </is>
      </c>
      <c r="L41" t="inlineStr">
        <is>
          <t>Etiquetas de columna</t>
        </is>
      </c>
    </row>
    <row r="42">
      <c r="A42" s="112" t="inlineStr">
        <is>
          <t>Conductual</t>
        </is>
      </c>
      <c r="B42" s="109">
        <f>+CONCATENATE(LEFT(D42,3),"-",C42)</f>
        <v/>
      </c>
      <c r="C42" s="104" t="inlineStr">
        <is>
          <t>29. Usa la tecnología con fines educativos.</t>
        </is>
      </c>
      <c r="D42" s="103" t="inlineStr">
        <is>
          <t>Fortaleza/Logro</t>
        </is>
      </c>
      <c r="E42" s="114" t="n">
        <v>12</v>
      </c>
      <c r="F42">
        <f>VLOOKUP(G42, $I$3:$K$7, 3, 1)</f>
        <v/>
      </c>
      <c r="G42">
        <f>+E42</f>
        <v/>
      </c>
      <c r="K42" t="inlineStr">
        <is>
          <t>Etiquetas de fila</t>
        </is>
      </c>
      <c r="L42" t="inlineStr">
        <is>
          <t>Alerta/Mejora</t>
        </is>
      </c>
      <c r="M42" t="inlineStr">
        <is>
          <t>Fortaleza/Logro</t>
        </is>
      </c>
      <c r="N42" t="inlineStr">
        <is>
          <t>Total general</t>
        </is>
      </c>
    </row>
    <row r="43">
      <c r="A43" s="112" t="inlineStr">
        <is>
          <t>Conductual</t>
        </is>
      </c>
      <c r="B43" s="109">
        <f>+CONCATENATE(LEFT(D43,3),"-",C43)</f>
        <v/>
      </c>
      <c r="C43" s="104" t="inlineStr">
        <is>
          <t>31. Mantiene el orden en espacios comunes.</t>
        </is>
      </c>
      <c r="D43" s="103" t="inlineStr">
        <is>
          <t>Fortaleza/Logro</t>
        </is>
      </c>
      <c r="E43" s="114" t="n">
        <v>11</v>
      </c>
      <c r="F43">
        <f>VLOOKUP(G43, $I$3:$K$7, 3, 1)</f>
        <v/>
      </c>
      <c r="G43">
        <f>+E43</f>
        <v/>
      </c>
      <c r="K43" s="87" t="inlineStr">
        <is>
          <t>Académica</t>
        </is>
      </c>
      <c r="L43" t="n">
        <v>28</v>
      </c>
      <c r="M43" t="n">
        <v>90</v>
      </c>
      <c r="N43" t="n">
        <v>118</v>
      </c>
    </row>
    <row r="44">
      <c r="A44" s="112" t="inlineStr">
        <is>
          <t>Socio-Emocional</t>
        </is>
      </c>
      <c r="B44" s="109">
        <f>+CONCATENATE(LEFT(D44,3),"-",C44)</f>
        <v/>
      </c>
      <c r="C44" s="104" t="inlineStr">
        <is>
          <t>33. Muestra resiliencia ante el fracaso.</t>
        </is>
      </c>
      <c r="D44" s="103" t="inlineStr">
        <is>
          <t>Fortaleza/Logro</t>
        </is>
      </c>
      <c r="E44" s="114" t="n">
        <v>12</v>
      </c>
      <c r="F44">
        <f>VLOOKUP(G44, $I$3:$K$7, 3, 1)</f>
        <v/>
      </c>
      <c r="G44">
        <f>+E44</f>
        <v/>
      </c>
      <c r="K44" s="87" t="inlineStr">
        <is>
          <t>Actitudinal</t>
        </is>
      </c>
      <c r="L44" t="n">
        <v>8</v>
      </c>
      <c r="M44" t="n">
        <v>97</v>
      </c>
      <c r="N44" t="n">
        <v>105</v>
      </c>
    </row>
    <row r="45">
      <c r="A45" s="112" t="inlineStr">
        <is>
          <t>Socio-Emocional</t>
        </is>
      </c>
      <c r="B45" s="109">
        <f>+CONCATENATE(LEFT(D45,3),"-",C45)</f>
        <v/>
      </c>
      <c r="C45" s="104" t="inlineStr">
        <is>
          <t>35. Trabaja de forma colaborativa y equitativa.</t>
        </is>
      </c>
      <c r="D45" s="103" t="inlineStr">
        <is>
          <t>Fortaleza/Logro</t>
        </is>
      </c>
      <c r="E45" s="114" t="n">
        <v>12</v>
      </c>
      <c r="F45">
        <f>VLOOKUP(G45, $I$3:$K$7, 3, 1)</f>
        <v/>
      </c>
      <c r="G45">
        <f>+E45</f>
        <v/>
      </c>
      <c r="K45" s="87" t="inlineStr">
        <is>
          <t>Conductual</t>
        </is>
      </c>
      <c r="L45" t="n">
        <v>33</v>
      </c>
      <c r="M45" t="n">
        <v>239</v>
      </c>
      <c r="N45" t="n">
        <v>272</v>
      </c>
    </row>
    <row r="46">
      <c r="A46" s="112" t="inlineStr">
        <is>
          <t>Socio-Emocional</t>
        </is>
      </c>
      <c r="B46" s="109">
        <f>+CONCATENATE(LEFT(D46,3),"-",C46)</f>
        <v/>
      </c>
      <c r="C46" s="104" t="inlineStr">
        <is>
          <t>37. Es empático con las necesidades ajenas.</t>
        </is>
      </c>
      <c r="D46" s="103" t="inlineStr">
        <is>
          <t>Fortaleza/Logro</t>
        </is>
      </c>
      <c r="E46" s="114" t="n">
        <v>12</v>
      </c>
      <c r="F46">
        <f>VLOOKUP(G46, $I$3:$K$7, 3, 1)</f>
        <v/>
      </c>
      <c r="G46">
        <f>+E46</f>
        <v/>
      </c>
      <c r="K46" s="87" t="inlineStr">
        <is>
          <t>Socio-Emocional</t>
        </is>
      </c>
      <c r="L46" t="n">
        <v>20</v>
      </c>
      <c r="M46" t="n">
        <v>162</v>
      </c>
      <c r="N46" t="n">
        <v>182</v>
      </c>
    </row>
    <row r="47">
      <c r="A47" s="112" t="inlineStr">
        <is>
          <t>Socio-Emocional</t>
        </is>
      </c>
      <c r="B47" s="109">
        <f>+CONCATENATE(LEFT(D47,3),"-",C47)</f>
        <v/>
      </c>
      <c r="C47" s="104" t="inlineStr">
        <is>
          <t>39. Posee un liderazgo positivo y ético.</t>
        </is>
      </c>
      <c r="D47" s="103" t="inlineStr">
        <is>
          <t>Fortaleza/Logro</t>
        </is>
      </c>
      <c r="E47" s="114" t="n">
        <v>12</v>
      </c>
      <c r="F47">
        <f>VLOOKUP(G47, $I$3:$K$7, 3, 1)</f>
        <v/>
      </c>
      <c r="G47">
        <f>+E47</f>
        <v/>
      </c>
      <c r="K47" s="87" t="inlineStr">
        <is>
          <t>Total general</t>
        </is>
      </c>
      <c r="L47" t="n">
        <v>89</v>
      </c>
      <c r="M47" t="n">
        <v>588</v>
      </c>
      <c r="N47" t="n">
        <v>677</v>
      </c>
    </row>
    <row r="48">
      <c r="A48" s="112" t="inlineStr">
        <is>
          <t>Socio-Emocional</t>
        </is>
      </c>
      <c r="B48" s="109">
        <f>+CONCATENATE(LEFT(D48,3),"-",C48)</f>
        <v/>
      </c>
      <c r="C48" s="104" t="inlineStr">
        <is>
          <t>41. Se comunica de manera asertiva.</t>
        </is>
      </c>
      <c r="D48" s="103" t="inlineStr">
        <is>
          <t>Fortaleza/Logro</t>
        </is>
      </c>
      <c r="E48" s="114" t="n">
        <v>12</v>
      </c>
      <c r="F48">
        <f>VLOOKUP(G48, $I$3:$K$7, 3, 1)</f>
        <v/>
      </c>
      <c r="G48">
        <f>+E48</f>
        <v/>
      </c>
    </row>
    <row r="49">
      <c r="A49" s="112" t="inlineStr">
        <is>
          <t>Socio-Emocional</t>
        </is>
      </c>
      <c r="B49" s="109">
        <f>+CONCATENATE(LEFT(D49,3),"-",C49)</f>
        <v/>
      </c>
      <c r="C49" s="104" t="inlineStr">
        <is>
          <t>43. Tiene una autoestima académica sólida.</t>
        </is>
      </c>
      <c r="D49" s="103" t="inlineStr">
        <is>
          <t>Fortaleza/Logro</t>
        </is>
      </c>
      <c r="E49" s="114" t="n">
        <v>12</v>
      </c>
      <c r="F49">
        <f>VLOOKUP(G49, $I$3:$K$7, 3, 1)</f>
        <v/>
      </c>
      <c r="G49">
        <f>+E49</f>
        <v/>
      </c>
      <c r="L49" t="inlineStr">
        <is>
          <t>Etiquetas de columna</t>
        </is>
      </c>
    </row>
    <row r="50">
      <c r="A50" s="112" t="inlineStr">
        <is>
          <t>Actitudinal</t>
        </is>
      </c>
      <c r="B50" s="109">
        <f>+CONCATENATE(LEFT(D50,3),"-",C50)</f>
        <v/>
      </c>
      <c r="C50" s="104" t="inlineStr">
        <is>
          <t>45. Muestra curiosidad e iniciativa propia.</t>
        </is>
      </c>
      <c r="D50" s="103" t="inlineStr">
        <is>
          <t>Fortaleza/Logro</t>
        </is>
      </c>
      <c r="E50" s="114" t="n">
        <v>12</v>
      </c>
      <c r="F50">
        <f>VLOOKUP(G50, $I$3:$K$7, 3, 1)</f>
        <v/>
      </c>
      <c r="G50">
        <f>+E50</f>
        <v/>
      </c>
      <c r="L50" t="inlineStr">
        <is>
          <t>Alerta/Mejora</t>
        </is>
      </c>
      <c r="M50" t="inlineStr">
        <is>
          <t>Fortaleza/Logro</t>
        </is>
      </c>
      <c r="N50" t="inlineStr">
        <is>
          <t>(en blanco)</t>
        </is>
      </c>
      <c r="O50" t="inlineStr">
        <is>
          <t>Total general</t>
        </is>
      </c>
    </row>
    <row r="51">
      <c r="A51" s="112" t="inlineStr">
        <is>
          <t>Actitudinal</t>
        </is>
      </c>
      <c r="B51" s="109">
        <f>+CONCATENATE(LEFT(D51,3),"-",C51)</f>
        <v/>
      </c>
      <c r="C51" s="104" t="inlineStr">
        <is>
          <t>47. Es persistente en tareas complejas.</t>
        </is>
      </c>
      <c r="D51" s="103" t="inlineStr">
        <is>
          <t>Fortaleza/Logro</t>
        </is>
      </c>
      <c r="E51" s="114" t="n">
        <v>10</v>
      </c>
      <c r="F51">
        <f>VLOOKUP(G51, $I$3:$K$7, 3, 1)</f>
        <v/>
      </c>
      <c r="G51">
        <f>+E51</f>
        <v/>
      </c>
      <c r="K51" t="inlineStr">
        <is>
          <t>Suma de Cantidad de veces</t>
        </is>
      </c>
      <c r="L51" t="n">
        <v>89</v>
      </c>
      <c r="M51" t="n">
        <v>588</v>
      </c>
      <c r="O51" t="n">
        <v>677</v>
      </c>
    </row>
    <row r="52">
      <c r="A52" s="112" t="inlineStr">
        <is>
          <t>Actitudinal</t>
        </is>
      </c>
      <c r="B52" s="109">
        <f>+CONCATENATE(LEFT(D52,3),"-",C52)</f>
        <v/>
      </c>
      <c r="C52" s="104" t="inlineStr">
        <is>
          <t>49. Acepta retroalimentación constructiva.</t>
        </is>
      </c>
      <c r="D52" s="103" t="inlineStr">
        <is>
          <t>Fortaleza/Logro</t>
        </is>
      </c>
      <c r="E52" s="114" t="n">
        <v>12</v>
      </c>
      <c r="F52">
        <f>VLOOKUP(G52, $I$3:$K$7, 3, 1)</f>
        <v/>
      </c>
      <c r="G52">
        <f>+E52</f>
        <v/>
      </c>
    </row>
    <row r="53"/>
    <row r="54"/>
    <row r="55">
      <c r="K55" t="inlineStr">
        <is>
          <t xml:space="preserve">Nota </t>
        </is>
      </c>
      <c r="L55" t="inlineStr">
        <is>
          <t>Cantidad de alumnos</t>
        </is>
      </c>
      <c r="N55" t="inlineStr">
        <is>
          <t>% de Alumnos</t>
        </is>
      </c>
    </row>
    <row r="56">
      <c r="K56" t="n">
        <v>1</v>
      </c>
      <c r="L56">
        <f>ROUND((COUNTIF($F$2:$F$52, K56) / 50) * 37, 0)</f>
        <v/>
      </c>
      <c r="N56" s="117">
        <f>+L56/L$61</f>
        <v/>
      </c>
      <c r="P56" t="inlineStr">
        <is>
          <t xml:space="preserve">Muy bueno </t>
        </is>
      </c>
      <c r="Q56">
        <f>+L60+L59</f>
        <v/>
      </c>
      <c r="R56" s="117">
        <f>+Q56/L$61</f>
        <v/>
      </c>
    </row>
    <row r="57">
      <c r="K57" t="n">
        <v>2</v>
      </c>
      <c r="L57">
        <f>ROUND((COUNTIF($F$2:$F$52, K57) / 50) * 37, 0)</f>
        <v/>
      </c>
      <c r="N57" s="117">
        <f>+L57/L$61</f>
        <v/>
      </c>
      <c r="P57" t="inlineStr">
        <is>
          <t>Bueno</t>
        </is>
      </c>
      <c r="Q57">
        <f>+L58</f>
        <v/>
      </c>
      <c r="R57" s="117">
        <f>+Q57/L$61</f>
        <v/>
      </c>
    </row>
    <row r="58">
      <c r="K58" t="n">
        <v>3</v>
      </c>
      <c r="L58">
        <f>ROUND((COUNTIF($F$2:$F$52, K58) / 50) * 37, 0)</f>
        <v/>
      </c>
      <c r="N58" s="117">
        <f>+L58/L$61</f>
        <v/>
      </c>
      <c r="P58" t="inlineStr">
        <is>
          <t>A mejorar</t>
        </is>
      </c>
      <c r="Q58">
        <f>+L56+L57</f>
        <v/>
      </c>
      <c r="R58" s="117">
        <f>+Q58/L$61</f>
        <v/>
      </c>
    </row>
    <row r="59">
      <c r="K59" t="n">
        <v>4</v>
      </c>
      <c r="L59">
        <f>ROUND((COUNTIF($F$2:$F$52, K59) / 50) * 37, 0)</f>
        <v/>
      </c>
      <c r="N59" s="117">
        <f>+L59/L$61</f>
        <v/>
      </c>
    </row>
    <row r="60">
      <c r="K60" t="n">
        <v>5</v>
      </c>
      <c r="L60">
        <f>ROUND((COUNTIF($F$2:$F$52, K60) / 50) * 37, 0)</f>
        <v/>
      </c>
      <c r="N60" s="117">
        <f>+L60/L$61</f>
        <v/>
      </c>
    </row>
    <row r="61">
      <c r="L61">
        <f>SUM(L56:L60)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8" t="inlineStr">
        <is>
          <t>COLEGIO SAGRADA FAMILIA</t>
        </is>
      </c>
      <c r="B1" s="119" t="n"/>
      <c r="C1" s="119" t="n"/>
      <c r="D1" s="119" t="n"/>
      <c r="E1" s="119" t="n"/>
      <c r="F1" s="119" t="n"/>
      <c r="G1" s="119" t="n"/>
      <c r="H1" s="120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15.75" customHeight="1">
      <c r="A2" s="118" t="inlineStr">
        <is>
          <t>ESCALA DE CALIFICACIONES - 60%</t>
        </is>
      </c>
      <c r="B2" s="119" t="n"/>
      <c r="C2" s="119" t="n"/>
      <c r="D2" s="119" t="n"/>
      <c r="E2" s="119" t="n"/>
      <c r="F2" s="119" t="n"/>
      <c r="G2" s="119" t="n"/>
      <c r="H2" s="120" t="n"/>
      <c r="I2" s="121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15.75" customHeight="1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15.75" customHeight="1">
      <c r="A4" s="123" t="inlineStr">
        <is>
          <t>15 Puntos</t>
        </is>
      </c>
      <c r="B4" s="124" t="inlineStr">
        <is>
          <t>16 Puntos</t>
        </is>
      </c>
      <c r="C4" s="124" t="inlineStr">
        <is>
          <t>17 Puntos</t>
        </is>
      </c>
      <c r="D4" s="124" t="inlineStr">
        <is>
          <t>18 Puntos</t>
        </is>
      </c>
      <c r="E4" s="124" t="inlineStr">
        <is>
          <t>19 Puntos</t>
        </is>
      </c>
      <c r="F4" s="124" t="inlineStr">
        <is>
          <t>20 Puntos</t>
        </is>
      </c>
      <c r="G4" s="124" t="inlineStr">
        <is>
          <t>21 Puntos</t>
        </is>
      </c>
      <c r="H4" s="124" t="inlineStr">
        <is>
          <t>22 Puntos</t>
        </is>
      </c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15.75" customHeight="1">
      <c r="A5" s="125" t="inlineStr">
        <is>
          <t>0 - 9 = 1</t>
        </is>
      </c>
      <c r="B5" s="126" t="inlineStr">
        <is>
          <t>0 - 9 = 1</t>
        </is>
      </c>
      <c r="C5" s="126" t="inlineStr">
        <is>
          <t>0 - 10 = 1</t>
        </is>
      </c>
      <c r="D5" s="126" t="inlineStr">
        <is>
          <t>0 - 10 = 1</t>
        </is>
      </c>
      <c r="E5" s="126" t="inlineStr">
        <is>
          <t>0 - 10 = 1</t>
        </is>
      </c>
      <c r="F5" s="126" t="inlineStr">
        <is>
          <t>0 - 11 = 1</t>
        </is>
      </c>
      <c r="G5" s="126" t="inlineStr">
        <is>
          <t>0 - 12 = 1</t>
        </is>
      </c>
      <c r="H5" s="126" t="inlineStr">
        <is>
          <t>0 - 13 = 1</t>
        </is>
      </c>
      <c r="I5" s="121" t="n"/>
      <c r="J5" s="121" t="n"/>
      <c r="K5" s="121" t="n"/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15.75" customHeight="1">
      <c r="A6" s="125" t="inlineStr">
        <is>
          <t>9 - 10 = 2</t>
        </is>
      </c>
      <c r="B6" s="126" t="inlineStr">
        <is>
          <t>9 - 10 = 2</t>
        </is>
      </c>
      <c r="C6" s="126" t="inlineStr">
        <is>
          <t>11 - 12 = 2</t>
        </is>
      </c>
      <c r="D6" s="126" t="inlineStr">
        <is>
          <t>11 - 12 = 2</t>
        </is>
      </c>
      <c r="E6" s="126" t="inlineStr">
        <is>
          <t>11 - 12 = 2</t>
        </is>
      </c>
      <c r="F6" s="126" t="inlineStr">
        <is>
          <t>12 - 13 = 2</t>
        </is>
      </c>
      <c r="G6" s="126" t="inlineStr">
        <is>
          <t>13 - 14 = 2</t>
        </is>
      </c>
      <c r="H6" s="126" t="inlineStr">
        <is>
          <t>14 - 15 = 2</t>
        </is>
      </c>
      <c r="I6" s="121" t="n"/>
      <c r="J6" s="121" t="n"/>
      <c r="K6" s="121" t="n"/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15.75" customHeight="1">
      <c r="A7" s="125" t="inlineStr">
        <is>
          <t>11 - 12 = 3</t>
        </is>
      </c>
      <c r="B7" s="126" t="inlineStr">
        <is>
          <t>11 - 12 = 3</t>
        </is>
      </c>
      <c r="C7" s="126" t="inlineStr">
        <is>
          <t>13 - 14 = 3</t>
        </is>
      </c>
      <c r="D7" s="126" t="inlineStr">
        <is>
          <t>13 - 14 = 3</t>
        </is>
      </c>
      <c r="E7" s="126" t="inlineStr">
        <is>
          <t>13 - 15 = 3</t>
        </is>
      </c>
      <c r="F7" s="126" t="inlineStr">
        <is>
          <t>14 - 16 = 3</t>
        </is>
      </c>
      <c r="G7" s="126" t="inlineStr">
        <is>
          <t>15 - 17 = 3</t>
        </is>
      </c>
      <c r="H7" s="126" t="inlineStr">
        <is>
          <t>16 - 18 = 3</t>
        </is>
      </c>
      <c r="I7" s="121" t="n"/>
      <c r="J7" s="121" t="n"/>
      <c r="K7" s="121" t="n"/>
      <c r="L7" s="121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15.75" customHeight="1">
      <c r="A8" s="125" t="inlineStr">
        <is>
          <t>13 - 14 = 4</t>
        </is>
      </c>
      <c r="B8" s="126" t="inlineStr">
        <is>
          <t>13 - 14 = 4</t>
        </is>
      </c>
      <c r="C8" s="126" t="inlineStr">
        <is>
          <t>15 - 16 = 4</t>
        </is>
      </c>
      <c r="D8" s="126" t="inlineStr">
        <is>
          <t>15 - 16 = 4</t>
        </is>
      </c>
      <c r="E8" s="126" t="inlineStr">
        <is>
          <t>16 - 17 = 4</t>
        </is>
      </c>
      <c r="F8" s="126" t="inlineStr">
        <is>
          <t>17 - 18 = 4</t>
        </is>
      </c>
      <c r="G8" s="126" t="inlineStr">
        <is>
          <t>18 - 19 = 4</t>
        </is>
      </c>
      <c r="H8" s="126" t="inlineStr">
        <is>
          <t>19 - 20 = 4</t>
        </is>
      </c>
      <c r="I8" s="121" t="n"/>
      <c r="J8" s="121" t="n"/>
      <c r="K8" s="121" t="n"/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15.75" customHeight="1">
      <c r="A9" s="125" t="inlineStr">
        <is>
          <t>15 = 5</t>
        </is>
      </c>
      <c r="B9" s="126" t="inlineStr">
        <is>
          <t>15 - 16 = 5</t>
        </is>
      </c>
      <c r="C9" s="126" t="inlineStr">
        <is>
          <t>17 = 5</t>
        </is>
      </c>
      <c r="D9" s="126" t="inlineStr">
        <is>
          <t>17 - 18 = 5</t>
        </is>
      </c>
      <c r="E9" s="126" t="inlineStr">
        <is>
          <t>18 - 19 = 5</t>
        </is>
      </c>
      <c r="F9" s="126" t="inlineStr">
        <is>
          <t>19 - 20 = 5</t>
        </is>
      </c>
      <c r="G9" s="126" t="inlineStr">
        <is>
          <t>20 - 21 = 5</t>
        </is>
      </c>
      <c r="H9" s="126" t="inlineStr">
        <is>
          <t>21 - 22 = 5</t>
        </is>
      </c>
      <c r="I9" s="121" t="n"/>
      <c r="J9" s="121" t="n"/>
      <c r="K9" s="121" t="n"/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15.75" customHeight="1">
      <c r="A10" s="122" t="n"/>
      <c r="B10" s="122" t="n"/>
      <c r="C10" s="122" t="n"/>
      <c r="D10" s="122" t="n"/>
      <c r="E10" s="122" t="n"/>
      <c r="F10" s="122" t="n"/>
      <c r="G10" s="122" t="n"/>
      <c r="H10" s="122" t="n"/>
      <c r="I10" s="121" t="n"/>
      <c r="J10" s="121" t="n"/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15.75" customHeight="1">
      <c r="A11" s="123" t="inlineStr">
        <is>
          <t>23 Puntos</t>
        </is>
      </c>
      <c r="B11" s="124" t="inlineStr">
        <is>
          <t>24 Puntos</t>
        </is>
      </c>
      <c r="C11" s="124" t="inlineStr">
        <is>
          <t>25 Puntos</t>
        </is>
      </c>
      <c r="D11" s="124" t="inlineStr">
        <is>
          <t>26 Puntos</t>
        </is>
      </c>
      <c r="E11" s="124" t="inlineStr">
        <is>
          <t>27 Puntos</t>
        </is>
      </c>
      <c r="F11" s="124" t="inlineStr">
        <is>
          <t>28 Puntos</t>
        </is>
      </c>
      <c r="G11" s="124" t="inlineStr">
        <is>
          <t>29 Puntos</t>
        </is>
      </c>
      <c r="H11" s="124" t="inlineStr">
        <is>
          <t>30 Puntos</t>
        </is>
      </c>
      <c r="I11" s="121" t="n"/>
      <c r="J11" s="121" t="n"/>
      <c r="K11" s="121" t="n"/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15.75" customHeight="1">
      <c r="A12" s="125" t="inlineStr">
        <is>
          <t>0 - 13 = 1</t>
        </is>
      </c>
      <c r="B12" s="126" t="inlineStr">
        <is>
          <t>0 - 13 = 1</t>
        </is>
      </c>
      <c r="C12" s="126" t="inlineStr">
        <is>
          <t>0 - 14 = 1</t>
        </is>
      </c>
      <c r="D12" s="126" t="inlineStr">
        <is>
          <t>0 - 15 = 1</t>
        </is>
      </c>
      <c r="E12" s="126" t="inlineStr">
        <is>
          <t>0 - 15 = 1</t>
        </is>
      </c>
      <c r="F12" s="126" t="inlineStr">
        <is>
          <t>0 - 16 = 1</t>
        </is>
      </c>
      <c r="G12" s="126" t="inlineStr">
        <is>
          <t>0 - 17 = 1</t>
        </is>
      </c>
      <c r="H12" s="126" t="inlineStr">
        <is>
          <t>0 - 17 = 1</t>
        </is>
      </c>
      <c r="I12" s="121" t="n"/>
      <c r="J12" s="121" t="n"/>
      <c r="K12" s="121" t="n"/>
      <c r="L12" s="121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15.75" customHeight="1">
      <c r="A13" s="125" t="inlineStr">
        <is>
          <t>14 - 15 = 2</t>
        </is>
      </c>
      <c r="B13" s="126" t="inlineStr">
        <is>
          <t>14 - 16 = 2</t>
        </is>
      </c>
      <c r="C13" s="126" t="inlineStr">
        <is>
          <t>15 - 17 = 2</t>
        </is>
      </c>
      <c r="D13" s="126" t="inlineStr">
        <is>
          <t>16 - 18 = 2</t>
        </is>
      </c>
      <c r="E13" s="126" t="inlineStr">
        <is>
          <t>16 - 18 = 2</t>
        </is>
      </c>
      <c r="F13" s="126" t="inlineStr">
        <is>
          <t>17 - 19 = 2</t>
        </is>
      </c>
      <c r="G13" s="126" t="inlineStr">
        <is>
          <t>18 - 20 = 2</t>
        </is>
      </c>
      <c r="H13" s="126" t="inlineStr">
        <is>
          <t>18 - 20 = 2</t>
        </is>
      </c>
      <c r="I13" s="121" t="n"/>
      <c r="J13" s="121" t="n"/>
      <c r="K13" s="121" t="n"/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15.75" customHeight="1">
      <c r="A14" s="125" t="inlineStr">
        <is>
          <t>16 - 18 = 3</t>
        </is>
      </c>
      <c r="B14" s="126" t="inlineStr">
        <is>
          <t>17 - 19 = 3</t>
        </is>
      </c>
      <c r="C14" s="126" t="inlineStr">
        <is>
          <t>18 - 20 = 3</t>
        </is>
      </c>
      <c r="D14" s="126" t="inlineStr">
        <is>
          <t>19 - 21 = 3</t>
        </is>
      </c>
      <c r="E14" s="126" t="inlineStr">
        <is>
          <t>19 - 21 = 3</t>
        </is>
      </c>
      <c r="F14" s="126" t="inlineStr">
        <is>
          <t>20 - 22 = 3</t>
        </is>
      </c>
      <c r="G14" s="126" t="inlineStr">
        <is>
          <t>21 - 23 = 3</t>
        </is>
      </c>
      <c r="H14" s="126" t="inlineStr">
        <is>
          <t>21 - 24 = 3</t>
        </is>
      </c>
      <c r="I14" s="121" t="n"/>
      <c r="J14" s="121" t="n"/>
      <c r="K14" s="121" t="n"/>
      <c r="L14" s="121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15.75" customHeight="1">
      <c r="A15" s="125" t="inlineStr">
        <is>
          <t>19 - 21 = 4</t>
        </is>
      </c>
      <c r="B15" s="126" t="inlineStr">
        <is>
          <t>20 - 22 = 4</t>
        </is>
      </c>
      <c r="C15" s="126" t="inlineStr">
        <is>
          <t>21 - 23 = 4</t>
        </is>
      </c>
      <c r="D15" s="126" t="inlineStr">
        <is>
          <t>22 - 24 = 4</t>
        </is>
      </c>
      <c r="E15" s="126" t="inlineStr">
        <is>
          <t>22 - 24 = 4</t>
        </is>
      </c>
      <c r="F15" s="126" t="inlineStr">
        <is>
          <t>23 - 25 = 4</t>
        </is>
      </c>
      <c r="G15" s="126" t="inlineStr">
        <is>
          <t>24 - 26 = 4</t>
        </is>
      </c>
      <c r="H15" s="126" t="inlineStr">
        <is>
          <t>25 - 27 = 4</t>
        </is>
      </c>
      <c r="I15" s="121" t="n"/>
      <c r="J15" s="121" t="n"/>
      <c r="K15" s="121" t="n"/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15.75" customHeight="1">
      <c r="A16" s="125" t="inlineStr">
        <is>
          <t>22 - 23 = 5</t>
        </is>
      </c>
      <c r="B16" s="126" t="inlineStr">
        <is>
          <t>23 - 24 = 5</t>
        </is>
      </c>
      <c r="C16" s="126" t="inlineStr">
        <is>
          <t>24 - 25 = 5</t>
        </is>
      </c>
      <c r="D16" s="126" t="inlineStr">
        <is>
          <t>25 - 26 = 5</t>
        </is>
      </c>
      <c r="E16" s="126" t="inlineStr">
        <is>
          <t>25 - 27 = 5</t>
        </is>
      </c>
      <c r="F16" s="126" t="inlineStr">
        <is>
          <t>26 - 28 = 5</t>
        </is>
      </c>
      <c r="G16" s="126" t="inlineStr">
        <is>
          <t>27 - 29 = 5</t>
        </is>
      </c>
      <c r="H16" s="126" t="inlineStr">
        <is>
          <t>28 - 30 = 5</t>
        </is>
      </c>
      <c r="I16" s="121" t="n"/>
      <c r="J16" s="121" t="n"/>
      <c r="K16" s="121" t="n"/>
      <c r="L16" s="121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15.75" customHeight="1">
      <c r="A17" s="127" t="n"/>
      <c r="B17" s="122" t="n"/>
      <c r="C17" s="122" t="n"/>
      <c r="D17" s="122" t="n"/>
      <c r="E17" s="122" t="n"/>
      <c r="F17" s="122" t="n"/>
      <c r="G17" s="122" t="n"/>
      <c r="H17" s="122" t="n"/>
      <c r="I17" s="121" t="n"/>
      <c r="J17" s="121" t="n"/>
      <c r="K17" s="121" t="n"/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15.75" customHeight="1">
      <c r="A18" s="123" t="inlineStr">
        <is>
          <t>31 Puntos</t>
        </is>
      </c>
      <c r="B18" s="124" t="inlineStr">
        <is>
          <t>32 Puntos</t>
        </is>
      </c>
      <c r="C18" s="124" t="inlineStr">
        <is>
          <t>33 Puntos</t>
        </is>
      </c>
      <c r="D18" s="124" t="inlineStr">
        <is>
          <t>34 Puntos</t>
        </is>
      </c>
      <c r="E18" s="124" t="inlineStr">
        <is>
          <t>35 Puntos</t>
        </is>
      </c>
      <c r="F18" s="124" t="inlineStr">
        <is>
          <t>36 Puntos</t>
        </is>
      </c>
      <c r="G18" s="124" t="inlineStr">
        <is>
          <t>37 Puntos</t>
        </is>
      </c>
      <c r="H18" s="124" t="inlineStr">
        <is>
          <t>38 Puntos</t>
        </is>
      </c>
      <c r="I18" s="121" t="n"/>
      <c r="J18" s="121" t="n"/>
      <c r="K18" s="121" t="n"/>
      <c r="L18" s="121" t="n"/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15.75" customHeight="1">
      <c r="A19" s="125" t="inlineStr">
        <is>
          <t>0 - 18 = 1</t>
        </is>
      </c>
      <c r="B19" s="126" t="inlineStr">
        <is>
          <t>0 - 18 = 1</t>
        </is>
      </c>
      <c r="C19" s="126" t="inlineStr">
        <is>
          <t>0 - 19 = 1</t>
        </is>
      </c>
      <c r="D19" s="126" t="inlineStr">
        <is>
          <t>0 - 19 = 1</t>
        </is>
      </c>
      <c r="E19" s="126" t="inlineStr">
        <is>
          <t>0 - 20 = 1</t>
        </is>
      </c>
      <c r="F19" s="126" t="inlineStr">
        <is>
          <t>0 - 21 = 1</t>
        </is>
      </c>
      <c r="G19" s="126" t="inlineStr">
        <is>
          <t>0 - 21 = 1</t>
        </is>
      </c>
      <c r="H19" s="126" t="inlineStr">
        <is>
          <t>0 - 22 = 1</t>
        </is>
      </c>
      <c r="I19" s="121" t="n"/>
      <c r="J19" s="121" t="n"/>
      <c r="K19" s="121" t="n"/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15.75" customHeight="1">
      <c r="A20" s="125" t="inlineStr">
        <is>
          <t>19 - 21 = 2</t>
        </is>
      </c>
      <c r="B20" s="126" t="inlineStr">
        <is>
          <t>19 - 21 = 2</t>
        </is>
      </c>
      <c r="C20" s="126" t="inlineStr">
        <is>
          <t>20 - 22 = 2</t>
        </is>
      </c>
      <c r="D20" s="126" t="inlineStr">
        <is>
          <t>20 - 23 = 2</t>
        </is>
      </c>
      <c r="E20" s="126" t="inlineStr">
        <is>
          <t>21 - 24 = 2</t>
        </is>
      </c>
      <c r="F20" s="126" t="inlineStr">
        <is>
          <t>22 - 25 = 2</t>
        </is>
      </c>
      <c r="G20" s="126" t="inlineStr">
        <is>
          <t>22 - 25 = 2</t>
        </is>
      </c>
      <c r="H20" s="126" t="inlineStr">
        <is>
          <t>23 - 26 = 2</t>
        </is>
      </c>
      <c r="I20" s="121" t="n"/>
      <c r="J20" s="121" t="n"/>
      <c r="K20" s="121" t="n"/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5.75" customHeight="1">
      <c r="A21" s="125" t="inlineStr">
        <is>
          <t>22 - 25 = 3</t>
        </is>
      </c>
      <c r="B21" s="126" t="inlineStr">
        <is>
          <t>22 - 25 = 3</t>
        </is>
      </c>
      <c r="C21" s="126" t="inlineStr">
        <is>
          <t>23 - 26 = 3</t>
        </is>
      </c>
      <c r="D21" s="126" t="inlineStr">
        <is>
          <t>24 - 27 = 3</t>
        </is>
      </c>
      <c r="E21" s="126" t="inlineStr">
        <is>
          <t>25 - 28 = 3</t>
        </is>
      </c>
      <c r="F21" s="126" t="inlineStr">
        <is>
          <t>26 - 29 = 3</t>
        </is>
      </c>
      <c r="G21" s="126" t="inlineStr">
        <is>
          <t>26 - 29 = 3</t>
        </is>
      </c>
      <c r="H21" s="126" t="inlineStr">
        <is>
          <t>27 - 30 = 3</t>
        </is>
      </c>
      <c r="I21" s="121" t="n"/>
      <c r="J21" s="121" t="n"/>
      <c r="K21" s="121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5.75" customHeight="1">
      <c r="A22" s="125" t="inlineStr">
        <is>
          <t>26 - 28 = 4</t>
        </is>
      </c>
      <c r="B22" s="126" t="inlineStr">
        <is>
          <t>26 - 29 = 4</t>
        </is>
      </c>
      <c r="C22" s="126" t="inlineStr">
        <is>
          <t>27 - 30 = 4</t>
        </is>
      </c>
      <c r="D22" s="126" t="inlineStr">
        <is>
          <t>28 - 31 = 4</t>
        </is>
      </c>
      <c r="E22" s="126" t="inlineStr">
        <is>
          <t>29 - 32 = 4</t>
        </is>
      </c>
      <c r="F22" s="126" t="inlineStr">
        <is>
          <t>30 - 33 = 4</t>
        </is>
      </c>
      <c r="G22" s="126" t="inlineStr">
        <is>
          <t>30 - 33 = 4</t>
        </is>
      </c>
      <c r="H22" s="126" t="inlineStr">
        <is>
          <t>31 - 34 = 4</t>
        </is>
      </c>
      <c r="I22" s="121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5.75" customHeight="1">
      <c r="A23" s="125" t="inlineStr">
        <is>
          <t>29 - 31 = 5</t>
        </is>
      </c>
      <c r="B23" s="126" t="inlineStr">
        <is>
          <t>30 - 32 = 5</t>
        </is>
      </c>
      <c r="C23" s="126" t="inlineStr">
        <is>
          <t>31 - 33 = 5</t>
        </is>
      </c>
      <c r="D23" s="126" t="inlineStr">
        <is>
          <t>32 - 34 = 5</t>
        </is>
      </c>
      <c r="E23" s="126" t="inlineStr">
        <is>
          <t>33 - 35 = 5</t>
        </is>
      </c>
      <c r="F23" s="126" t="inlineStr">
        <is>
          <t>34 - 36 = 5</t>
        </is>
      </c>
      <c r="G23" s="126" t="inlineStr">
        <is>
          <t>34 - 37 = 5</t>
        </is>
      </c>
      <c r="H23" s="126" t="inlineStr">
        <is>
          <t>35 - 38 = 5</t>
        </is>
      </c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15.75" customHeight="1">
      <c r="A24" s="122" t="n"/>
      <c r="B24" s="122" t="n"/>
      <c r="C24" s="122" t="n"/>
      <c r="D24" s="122" t="n"/>
      <c r="E24" s="122" t="n"/>
      <c r="F24" s="122" t="n"/>
      <c r="G24" s="122" t="n"/>
      <c r="H24" s="122" t="n"/>
      <c r="I24" s="121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15.75" customHeight="1">
      <c r="A25" s="123" t="inlineStr">
        <is>
          <t>39 Puntos</t>
        </is>
      </c>
      <c r="B25" s="124" t="inlineStr">
        <is>
          <t>40 Puntos</t>
        </is>
      </c>
      <c r="C25" s="124" t="inlineStr">
        <is>
          <t>41 Puntos</t>
        </is>
      </c>
      <c r="D25" s="124" t="inlineStr">
        <is>
          <t>42 Puntos</t>
        </is>
      </c>
      <c r="E25" s="124" t="inlineStr">
        <is>
          <t>43 Puntos</t>
        </is>
      </c>
      <c r="F25" s="124" t="inlineStr">
        <is>
          <t>44 Puntos</t>
        </is>
      </c>
      <c r="G25" s="124" t="inlineStr">
        <is>
          <t>45 Puntos</t>
        </is>
      </c>
      <c r="H25" s="124" t="inlineStr">
        <is>
          <t>46 Puntos</t>
        </is>
      </c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15.75" customHeight="1">
      <c r="A26" s="125" t="inlineStr">
        <is>
          <t>0 - 22 = 1</t>
        </is>
      </c>
      <c r="B26" s="126" t="inlineStr">
        <is>
          <t>0 - 23 = 1</t>
        </is>
      </c>
      <c r="C26" s="126" t="inlineStr">
        <is>
          <t>0 - 24 = 1</t>
        </is>
      </c>
      <c r="D26" s="126" t="inlineStr">
        <is>
          <t>0 - 24 = 1</t>
        </is>
      </c>
      <c r="E26" s="126" t="inlineStr">
        <is>
          <t>0 - 25 = 1</t>
        </is>
      </c>
      <c r="F26" s="126" t="inlineStr">
        <is>
          <t>0 - 25 = 1</t>
        </is>
      </c>
      <c r="G26" s="126" t="inlineStr">
        <is>
          <t>0 - 26 = 1</t>
        </is>
      </c>
      <c r="H26" s="126" t="inlineStr">
        <is>
          <t>0 - 27 = 1</t>
        </is>
      </c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5.75" customHeight="1">
      <c r="A27" s="125" t="inlineStr">
        <is>
          <t>23 - 26 = 2</t>
        </is>
      </c>
      <c r="B27" s="126" t="inlineStr">
        <is>
          <t>24 - 27 = 2</t>
        </is>
      </c>
      <c r="C27" s="126" t="inlineStr">
        <is>
          <t>25 - 28 = 2</t>
        </is>
      </c>
      <c r="D27" s="126" t="inlineStr">
        <is>
          <t>25 - 28 = 2</t>
        </is>
      </c>
      <c r="E27" s="126" t="inlineStr">
        <is>
          <t>26 - 29 = 2</t>
        </is>
      </c>
      <c r="F27" s="126" t="inlineStr">
        <is>
          <t>26 - 30 = 2</t>
        </is>
      </c>
      <c r="G27" s="126" t="inlineStr">
        <is>
          <t>27 - 31 = 2</t>
        </is>
      </c>
      <c r="H27" s="126" t="inlineStr">
        <is>
          <t>28 - 32 = 2</t>
        </is>
      </c>
      <c r="I27" s="121" t="n"/>
      <c r="J27" s="121" t="n"/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5.75" customHeight="1">
      <c r="A28" s="125" t="inlineStr">
        <is>
          <t>27 - 31 = 3</t>
        </is>
      </c>
      <c r="B28" s="126" t="inlineStr">
        <is>
          <t>28 - 32 = 3</t>
        </is>
      </c>
      <c r="C28" s="126" t="inlineStr">
        <is>
          <t>29 - 33 = 3</t>
        </is>
      </c>
      <c r="D28" s="126" t="inlineStr">
        <is>
          <t>29 - 33 = 3</t>
        </is>
      </c>
      <c r="E28" s="126" t="inlineStr">
        <is>
          <t>30 - 34 = 3</t>
        </is>
      </c>
      <c r="F28" s="126" t="inlineStr">
        <is>
          <t>31 - 35 = 3</t>
        </is>
      </c>
      <c r="G28" s="126" t="inlineStr">
        <is>
          <t>32 - 36 = 3</t>
        </is>
      </c>
      <c r="H28" s="126" t="inlineStr">
        <is>
          <t>33 - 37 = 3</t>
        </is>
      </c>
      <c r="I28" s="121" t="n"/>
      <c r="J28" s="121" t="n"/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5.75" customHeight="1">
      <c r="A29" s="125" t="inlineStr">
        <is>
          <t>32 - 35 = 4</t>
        </is>
      </c>
      <c r="B29" s="126" t="inlineStr">
        <is>
          <t>33 - 36 = 4</t>
        </is>
      </c>
      <c r="C29" s="126" t="inlineStr">
        <is>
          <t>34 - 37 = 4</t>
        </is>
      </c>
      <c r="D29" s="126" t="inlineStr">
        <is>
          <t>34 - 38 = 4</t>
        </is>
      </c>
      <c r="E29" s="126" t="inlineStr">
        <is>
          <t>35 - 39 = 4</t>
        </is>
      </c>
      <c r="F29" s="126" t="inlineStr">
        <is>
          <t>36 - 40 = 4</t>
        </is>
      </c>
      <c r="G29" s="126" t="inlineStr">
        <is>
          <t>37 - 41 = 4</t>
        </is>
      </c>
      <c r="H29" s="126" t="inlineStr">
        <is>
          <t>38 - 42 = 4</t>
        </is>
      </c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5.75" customHeight="1">
      <c r="A30" s="125" t="inlineStr">
        <is>
          <t>36 - 39 = 5</t>
        </is>
      </c>
      <c r="B30" s="126" t="inlineStr">
        <is>
          <t>37 - 40 = 5</t>
        </is>
      </c>
      <c r="C30" s="126" t="inlineStr">
        <is>
          <t>38 - 41 = 5</t>
        </is>
      </c>
      <c r="D30" s="126" t="inlineStr">
        <is>
          <t>39 - 42 = 5</t>
        </is>
      </c>
      <c r="E30" s="126" t="inlineStr">
        <is>
          <t>40 - 43 = 5</t>
        </is>
      </c>
      <c r="F30" s="126" t="inlineStr">
        <is>
          <t>41 - 44 = 5</t>
        </is>
      </c>
      <c r="G30" s="126" t="inlineStr">
        <is>
          <t>42 - 45 = 5</t>
        </is>
      </c>
      <c r="H30" s="126" t="inlineStr">
        <is>
          <t>43 - 46 = 5</t>
        </is>
      </c>
      <c r="I30" s="121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5.75" customHeight="1">
      <c r="A31" s="122" t="n"/>
      <c r="B31" s="122" t="n"/>
      <c r="C31" s="122" t="n"/>
      <c r="D31" s="122" t="n"/>
      <c r="E31" s="122" t="n"/>
      <c r="F31" s="122" t="n"/>
      <c r="G31" s="122" t="n"/>
      <c r="H31" s="122" t="n"/>
      <c r="I31" s="121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5.75" customHeight="1">
      <c r="A32" s="123" t="inlineStr">
        <is>
          <t>47 Puntos</t>
        </is>
      </c>
      <c r="B32" s="124" t="inlineStr">
        <is>
          <t>48 Puntos</t>
        </is>
      </c>
      <c r="C32" s="124" t="inlineStr">
        <is>
          <t>49 Puntos</t>
        </is>
      </c>
      <c r="D32" s="124" t="inlineStr">
        <is>
          <t>50 Puntos</t>
        </is>
      </c>
      <c r="E32" s="124" t="inlineStr">
        <is>
          <t>51 Puntos</t>
        </is>
      </c>
      <c r="F32" s="124" t="inlineStr">
        <is>
          <t>52 Puntos</t>
        </is>
      </c>
      <c r="G32" s="124" t="inlineStr">
        <is>
          <t>53 Puntos</t>
        </is>
      </c>
      <c r="H32" s="124" t="inlineStr">
        <is>
          <t>54 Puntos</t>
        </is>
      </c>
      <c r="I32" s="121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5.75" customHeight="1">
      <c r="A33" s="125" t="inlineStr">
        <is>
          <t>0 - 27 = 1</t>
        </is>
      </c>
      <c r="B33" s="126" t="inlineStr">
        <is>
          <t>0 - 28 = 1</t>
        </is>
      </c>
      <c r="C33" s="126" t="inlineStr">
        <is>
          <t>0 - 28 = 1</t>
        </is>
      </c>
      <c r="D33" s="126" t="inlineStr">
        <is>
          <t>0 - 29 = 1</t>
        </is>
      </c>
      <c r="E33" s="126" t="inlineStr">
        <is>
          <t>0 - 30 = 1</t>
        </is>
      </c>
      <c r="F33" s="126" t="inlineStr">
        <is>
          <t>0 - 30 = 1</t>
        </is>
      </c>
      <c r="G33" s="126" t="inlineStr">
        <is>
          <t>0 - 31 = 1</t>
        </is>
      </c>
      <c r="H33" s="126" t="inlineStr">
        <is>
          <t>0 - 31 = 1</t>
        </is>
      </c>
      <c r="I33" s="121" t="n"/>
      <c r="J33" s="121" t="n"/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5.75" customHeight="1">
      <c r="A34" s="125" t="inlineStr">
        <is>
          <t>28 - 32 = 2</t>
        </is>
      </c>
      <c r="B34" s="126" t="inlineStr">
        <is>
          <t>29 - 33 = 2</t>
        </is>
      </c>
      <c r="C34" s="126" t="inlineStr">
        <is>
          <t>29 - 33 = 2</t>
        </is>
      </c>
      <c r="D34" s="126" t="inlineStr">
        <is>
          <t>30 - 34 = 2</t>
        </is>
      </c>
      <c r="E34" s="126" t="inlineStr">
        <is>
          <t>31 - 35 = 2</t>
        </is>
      </c>
      <c r="F34" s="126" t="inlineStr">
        <is>
          <t>31 - 35 = 2</t>
        </is>
      </c>
      <c r="G34" s="126" t="inlineStr">
        <is>
          <t>32 - 36 = 2</t>
        </is>
      </c>
      <c r="H34" s="126" t="inlineStr">
        <is>
          <t>32 - 37 = 2</t>
        </is>
      </c>
      <c r="I34" s="121" t="n"/>
      <c r="J34" s="121" t="n"/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5.75" customHeight="1">
      <c r="A35" s="125" t="inlineStr">
        <is>
          <t>33 - 37 = 3</t>
        </is>
      </c>
      <c r="B35" s="126" t="inlineStr">
        <is>
          <t>34 - 38 = 3</t>
        </is>
      </c>
      <c r="C35" s="126" t="inlineStr">
        <is>
          <t>34 - 39 = 3</t>
        </is>
      </c>
      <c r="D35" s="126" t="inlineStr">
        <is>
          <t>35 - 40 = 3</t>
        </is>
      </c>
      <c r="E35" s="126" t="inlineStr">
        <is>
          <t>36 - 41 = 3</t>
        </is>
      </c>
      <c r="F35" s="126" t="inlineStr">
        <is>
          <t>36 - 41 = 3</t>
        </is>
      </c>
      <c r="G35" s="126" t="inlineStr">
        <is>
          <t>37 - 42 = 3</t>
        </is>
      </c>
      <c r="H35" s="126" t="inlineStr">
        <is>
          <t>38 - 43 = 3</t>
        </is>
      </c>
      <c r="I35" s="121" t="n"/>
      <c r="J35" s="121" t="n"/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15.75" customHeight="1">
      <c r="A36" s="125" t="inlineStr">
        <is>
          <t>38 - 42 = 4</t>
        </is>
      </c>
      <c r="B36" s="126" t="inlineStr">
        <is>
          <t>39 - 43 = 4</t>
        </is>
      </c>
      <c r="C36" s="126" t="inlineStr">
        <is>
          <t>40 - 44 = 4</t>
        </is>
      </c>
      <c r="D36" s="126" t="inlineStr">
        <is>
          <t>41 - 45 = 4</t>
        </is>
      </c>
      <c r="E36" s="126" t="inlineStr">
        <is>
          <t>42 - 46 = 4</t>
        </is>
      </c>
      <c r="F36" s="126" t="inlineStr">
        <is>
          <t>42 - 47 = 4</t>
        </is>
      </c>
      <c r="G36" s="126" t="inlineStr">
        <is>
          <t>43 - 48 = 4</t>
        </is>
      </c>
      <c r="H36" s="126" t="inlineStr">
        <is>
          <t>44 - 49 = 4</t>
        </is>
      </c>
      <c r="I36" s="121" t="n"/>
      <c r="J36" s="121" t="n"/>
      <c r="K36" s="121" t="n"/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5.75" customHeight="1">
      <c r="A37" s="125" t="inlineStr">
        <is>
          <t>43 - 47 = 5</t>
        </is>
      </c>
      <c r="B37" s="126" t="inlineStr">
        <is>
          <t>44 - 48 = 5</t>
        </is>
      </c>
      <c r="C37" s="126" t="inlineStr">
        <is>
          <t>45 - 49 = 5</t>
        </is>
      </c>
      <c r="D37" s="126" t="inlineStr">
        <is>
          <t>46 - 50 = 5</t>
        </is>
      </c>
      <c r="E37" s="126" t="inlineStr">
        <is>
          <t>47 - 51 = 5</t>
        </is>
      </c>
      <c r="F37" s="126" t="inlineStr">
        <is>
          <t>48 - 52 = 5</t>
        </is>
      </c>
      <c r="G37" s="126" t="inlineStr">
        <is>
          <t>49 - 53 = 5</t>
        </is>
      </c>
      <c r="H37" s="126" t="inlineStr">
        <is>
          <t>50 - 54 = 5</t>
        </is>
      </c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15.75" customHeight="1">
      <c r="A38" s="122" t="n"/>
      <c r="B38" s="122" t="n"/>
      <c r="C38" s="122" t="n"/>
      <c r="D38" s="122" t="n"/>
      <c r="E38" s="122" t="n"/>
      <c r="F38" s="122" t="n"/>
      <c r="G38" s="122" t="n"/>
      <c r="H38" s="122" t="n"/>
      <c r="I38" s="121" t="n"/>
      <c r="J38" s="121" t="n"/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15.75" customHeight="1">
      <c r="A39" s="123" t="inlineStr">
        <is>
          <t>55 Puntos</t>
        </is>
      </c>
      <c r="B39" s="124" t="inlineStr">
        <is>
          <t>56 Puntos</t>
        </is>
      </c>
      <c r="C39" s="124" t="inlineStr">
        <is>
          <t>57 Puntos</t>
        </is>
      </c>
      <c r="D39" s="124" t="inlineStr">
        <is>
          <t>58 Puntos</t>
        </is>
      </c>
      <c r="E39" s="124" t="inlineStr">
        <is>
          <t>59 Puntos</t>
        </is>
      </c>
      <c r="F39" s="124" t="inlineStr">
        <is>
          <t>60 Puntos</t>
        </is>
      </c>
      <c r="G39" s="124" t="inlineStr">
        <is>
          <t>61 Puntos</t>
        </is>
      </c>
      <c r="H39" s="124" t="inlineStr">
        <is>
          <t>62 Puntos</t>
        </is>
      </c>
      <c r="I39" s="121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5.75" customHeight="1">
      <c r="A40" s="125" t="inlineStr">
        <is>
          <t>0 - 32 = 1</t>
        </is>
      </c>
      <c r="B40" s="126" t="inlineStr">
        <is>
          <t>0 - 33 = 1</t>
        </is>
      </c>
      <c r="C40" s="126" t="inlineStr">
        <is>
          <t>0 - 33 = 1</t>
        </is>
      </c>
      <c r="D40" s="126" t="inlineStr">
        <is>
          <t>0 - 34 = 1</t>
        </is>
      </c>
      <c r="E40" s="126" t="inlineStr">
        <is>
          <t>0 - 34 = 1</t>
        </is>
      </c>
      <c r="F40" s="126" t="inlineStr">
        <is>
          <t>0 - 35 = 1</t>
        </is>
      </c>
      <c r="G40" s="126" t="inlineStr">
        <is>
          <t>0 - 36 = 1</t>
        </is>
      </c>
      <c r="H40" s="126" t="inlineStr">
        <is>
          <t>0 - 36 = 1</t>
        </is>
      </c>
      <c r="I40" s="121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5.75" customHeight="1">
      <c r="A41" s="125" t="inlineStr">
        <is>
          <t>33 - 38 = 2</t>
        </is>
      </c>
      <c r="B41" s="126" t="inlineStr">
        <is>
          <t>34 - 39 = 2</t>
        </is>
      </c>
      <c r="C41" s="126" t="inlineStr">
        <is>
          <t>34 - 39 = 2</t>
        </is>
      </c>
      <c r="D41" s="126" t="inlineStr">
        <is>
          <t>35 - 40 = 2</t>
        </is>
      </c>
      <c r="E41" s="126" t="inlineStr">
        <is>
          <t>35 - 40 = 2</t>
        </is>
      </c>
      <c r="F41" s="126" t="inlineStr">
        <is>
          <t>36 - 41 = 2</t>
        </is>
      </c>
      <c r="G41" s="126" t="inlineStr">
        <is>
          <t>37 - 42 = 2</t>
        </is>
      </c>
      <c r="H41" s="126" t="inlineStr">
        <is>
          <t>37 - 42 = 2</t>
        </is>
      </c>
      <c r="I41" s="121" t="n"/>
      <c r="J41" s="121" t="n"/>
      <c r="K41" s="121" t="n"/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5.75" customHeight="1">
      <c r="A42" s="125" t="inlineStr">
        <is>
          <t>39 - 44 = 3</t>
        </is>
      </c>
      <c r="B42" s="126" t="inlineStr">
        <is>
          <t>40 - 45 = 3</t>
        </is>
      </c>
      <c r="C42" s="126" t="inlineStr">
        <is>
          <t>40 - 45 = 3</t>
        </is>
      </c>
      <c r="D42" s="126" t="inlineStr">
        <is>
          <t>41 - 46 = 3</t>
        </is>
      </c>
      <c r="E42" s="126" t="inlineStr">
        <is>
          <t>41 - 47 = 3</t>
        </is>
      </c>
      <c r="F42" s="126" t="inlineStr">
        <is>
          <t>42 - 48 = 3</t>
        </is>
      </c>
      <c r="G42" s="126" t="inlineStr">
        <is>
          <t>43 - 49 = 3</t>
        </is>
      </c>
      <c r="H42" s="126" t="inlineStr">
        <is>
          <t>43 - 49 = 3</t>
        </is>
      </c>
      <c r="I42" s="121" t="n"/>
      <c r="J42" s="121" t="n"/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5.75" customHeight="1">
      <c r="A43" s="125" t="inlineStr">
        <is>
          <t>45 - 50 = 4</t>
        </is>
      </c>
      <c r="B43" s="126" t="inlineStr">
        <is>
          <t>46 - 51 = 4</t>
        </is>
      </c>
      <c r="C43" s="126" t="inlineStr">
        <is>
          <t>46 - 51 = 4</t>
        </is>
      </c>
      <c r="D43" s="126" t="inlineStr">
        <is>
          <t>47 - 52 = 4</t>
        </is>
      </c>
      <c r="E43" s="126" t="inlineStr">
        <is>
          <t>48 - 53 = 4</t>
        </is>
      </c>
      <c r="F43" s="126" t="inlineStr">
        <is>
          <t>49 - 54 = 4</t>
        </is>
      </c>
      <c r="G43" s="126" t="inlineStr">
        <is>
          <t>50 - 55 = 4</t>
        </is>
      </c>
      <c r="H43" s="126" t="inlineStr">
        <is>
          <t>50 - 56 = 4</t>
        </is>
      </c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5.75" customHeight="1">
      <c r="A44" s="125" t="inlineStr">
        <is>
          <t>51 - 55 = 5</t>
        </is>
      </c>
      <c r="B44" s="126" t="inlineStr">
        <is>
          <t>52 - 56 = 5</t>
        </is>
      </c>
      <c r="C44" s="126" t="inlineStr">
        <is>
          <t>52 - 57 = 5</t>
        </is>
      </c>
      <c r="D44" s="126" t="inlineStr">
        <is>
          <t>53 - 58 = 5</t>
        </is>
      </c>
      <c r="E44" s="126" t="inlineStr">
        <is>
          <t>54 - 59 = 5</t>
        </is>
      </c>
      <c r="F44" s="126" t="inlineStr">
        <is>
          <t>55 - 60 = 5</t>
        </is>
      </c>
      <c r="G44" s="126" t="inlineStr">
        <is>
          <t>56 - 61 = 5</t>
        </is>
      </c>
      <c r="H44" s="126" t="inlineStr">
        <is>
          <t>57 - 62 = 5</t>
        </is>
      </c>
      <c r="I44" s="121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5.75" customHeight="1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5.75" customHeight="1">
      <c r="A46" s="123" t="inlineStr">
        <is>
          <t>63 Puntos</t>
        </is>
      </c>
      <c r="B46" s="124" t="inlineStr">
        <is>
          <t>64 Puntos</t>
        </is>
      </c>
      <c r="C46" s="124" t="inlineStr">
        <is>
          <t>65 Puntos</t>
        </is>
      </c>
      <c r="D46" s="124" t="inlineStr">
        <is>
          <t>66 Puntos</t>
        </is>
      </c>
      <c r="E46" s="124" t="inlineStr">
        <is>
          <t>67 Puntos</t>
        </is>
      </c>
      <c r="F46" s="124" t="inlineStr">
        <is>
          <t>68 Puntos</t>
        </is>
      </c>
      <c r="G46" s="124" t="inlineStr">
        <is>
          <t>69 Puntos</t>
        </is>
      </c>
      <c r="H46" s="124" t="inlineStr">
        <is>
          <t>70 Puntos</t>
        </is>
      </c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5.75" customHeight="1">
      <c r="A47" s="125" t="inlineStr">
        <is>
          <t>0 - 37 = 1</t>
        </is>
      </c>
      <c r="B47" s="126" t="inlineStr">
        <is>
          <t>0 - 37 = 1</t>
        </is>
      </c>
      <c r="C47" s="126" t="inlineStr">
        <is>
          <t>0 - 38 = 1</t>
        </is>
      </c>
      <c r="D47" s="126" t="inlineStr">
        <is>
          <t>0 - 39 = 1</t>
        </is>
      </c>
      <c r="E47" s="126" t="inlineStr">
        <is>
          <t>0 - 39 = 1</t>
        </is>
      </c>
      <c r="F47" s="126" t="inlineStr">
        <is>
          <t>0 - 40 = 1</t>
        </is>
      </c>
      <c r="G47" s="126" t="inlineStr">
        <is>
          <t>0 - 40 = 1</t>
        </is>
      </c>
      <c r="H47" s="126" t="inlineStr">
        <is>
          <t>0 - 41 = 1</t>
        </is>
      </c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5.75" customHeight="1">
      <c r="A48" s="125" t="inlineStr">
        <is>
          <t>38 - 43 = 2</t>
        </is>
      </c>
      <c r="B48" s="126" t="inlineStr">
        <is>
          <t>38 - 44 = 2</t>
        </is>
      </c>
      <c r="C48" s="126" t="inlineStr">
        <is>
          <t>39 - 45 = 2</t>
        </is>
      </c>
      <c r="D48" s="126" t="inlineStr">
        <is>
          <t>40 - 46 = 2</t>
        </is>
      </c>
      <c r="E48" s="126" t="inlineStr">
        <is>
          <t>40 - 46 = 2</t>
        </is>
      </c>
      <c r="F48" s="126" t="inlineStr">
        <is>
          <t>41 - 47 = 2</t>
        </is>
      </c>
      <c r="G48" s="126" t="inlineStr">
        <is>
          <t>41 - 47 = 2</t>
        </is>
      </c>
      <c r="H48" s="126" t="inlineStr">
        <is>
          <t>42 - 48 = 2</t>
        </is>
      </c>
      <c r="I48" s="121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5.75" customHeight="1">
      <c r="A49" s="125" t="inlineStr">
        <is>
          <t>44 - 50 = 3</t>
        </is>
      </c>
      <c r="B49" s="126" t="inlineStr">
        <is>
          <t>45 - 51 = 3</t>
        </is>
      </c>
      <c r="C49" s="126" t="inlineStr">
        <is>
          <t>46 - 52 = 3</t>
        </is>
      </c>
      <c r="D49" s="126" t="inlineStr">
        <is>
          <t>47 - 53 = 3</t>
        </is>
      </c>
      <c r="E49" s="126" t="inlineStr">
        <is>
          <t>47 - 53 = 3</t>
        </is>
      </c>
      <c r="F49" s="126" t="inlineStr">
        <is>
          <t>48 - 54 = 3</t>
        </is>
      </c>
      <c r="G49" s="126" t="inlineStr">
        <is>
          <t>48 - 55 = 3</t>
        </is>
      </c>
      <c r="H49" s="126" t="inlineStr">
        <is>
          <t>49 - 56 = 3</t>
        </is>
      </c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5.75" customHeight="1">
      <c r="A50" s="125" t="inlineStr">
        <is>
          <t>51 - 57 = 4</t>
        </is>
      </c>
      <c r="B50" s="126" t="inlineStr">
        <is>
          <t>52 - 58 = 4</t>
        </is>
      </c>
      <c r="C50" s="126" t="inlineStr">
        <is>
          <t>53 - 59 = 4</t>
        </is>
      </c>
      <c r="D50" s="126" t="inlineStr">
        <is>
          <t>54 - 60 = 4</t>
        </is>
      </c>
      <c r="E50" s="126" t="inlineStr">
        <is>
          <t>54 - 60 = 4</t>
        </is>
      </c>
      <c r="F50" s="126" t="inlineStr">
        <is>
          <t>55 - 61 = 4</t>
        </is>
      </c>
      <c r="G50" s="126" t="inlineStr">
        <is>
          <t>56 - 62 = 4</t>
        </is>
      </c>
      <c r="H50" s="126" t="inlineStr">
        <is>
          <t>57 - 63 = 4</t>
        </is>
      </c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5.75" customHeight="1">
      <c r="A51" s="125" t="inlineStr">
        <is>
          <t>58 - 63 = 5</t>
        </is>
      </c>
      <c r="B51" s="126" t="inlineStr">
        <is>
          <t>59 - 64 = 5</t>
        </is>
      </c>
      <c r="C51" s="126" t="inlineStr">
        <is>
          <t>60 - 65 = 5</t>
        </is>
      </c>
      <c r="D51" s="126" t="inlineStr">
        <is>
          <t>61 - 66 = 5</t>
        </is>
      </c>
      <c r="E51" s="126" t="inlineStr">
        <is>
          <t>61 - 67 = 5</t>
        </is>
      </c>
      <c r="F51" s="126" t="inlineStr">
        <is>
          <t>62 - 68 = 5</t>
        </is>
      </c>
      <c r="G51" s="126" t="inlineStr">
        <is>
          <t>63 - 69 = 5</t>
        </is>
      </c>
      <c r="H51" s="126" t="inlineStr">
        <is>
          <t>64 - 70 = 5</t>
        </is>
      </c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5.75" customHeight="1">
      <c r="A52" s="121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5.75" customHeight="1">
      <c r="A53" s="121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5.75" customHeight="1">
      <c r="A54" s="121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5.75" customHeight="1">
      <c r="A55" s="121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5.75" customHeight="1">
      <c r="A56" s="118" t="inlineStr">
        <is>
          <t>COLEGIO SAGRADA FAMILIA</t>
        </is>
      </c>
      <c r="B56" s="119" t="n"/>
      <c r="C56" s="119" t="n"/>
      <c r="D56" s="119" t="n"/>
      <c r="E56" s="119" t="n"/>
      <c r="F56" s="119" t="n"/>
      <c r="G56" s="119" t="n"/>
      <c r="H56" s="120" t="n"/>
      <c r="I56" s="121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5.75" customHeight="1">
      <c r="A57" s="118" t="inlineStr">
        <is>
          <t>ESCALA DE CALIFICACIONES - 60%</t>
        </is>
      </c>
      <c r="B57" s="119" t="n"/>
      <c r="C57" s="119" t="n"/>
      <c r="D57" s="119" t="n"/>
      <c r="E57" s="119" t="n"/>
      <c r="F57" s="119" t="n"/>
      <c r="G57" s="119" t="n"/>
      <c r="H57" s="120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5.75" customHeight="1">
      <c r="A58" s="122" t="n"/>
      <c r="B58" s="122" t="n"/>
      <c r="C58" s="122" t="n"/>
      <c r="D58" s="122" t="n"/>
      <c r="E58" s="122" t="n"/>
      <c r="F58" s="122" t="n"/>
      <c r="G58" s="122" t="n"/>
      <c r="H58" s="122" t="n"/>
      <c r="I58" s="121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5.75" customHeight="1">
      <c r="A59" s="123" t="inlineStr">
        <is>
          <t>71 Puntos</t>
        </is>
      </c>
      <c r="B59" s="124" t="inlineStr">
        <is>
          <t>72 Puntos</t>
        </is>
      </c>
      <c r="C59" s="124" t="inlineStr">
        <is>
          <t>73 Puntos</t>
        </is>
      </c>
      <c r="D59" s="124" t="inlineStr">
        <is>
          <t>74 Puntos</t>
        </is>
      </c>
      <c r="E59" s="124" t="inlineStr">
        <is>
          <t>75 Puntos</t>
        </is>
      </c>
      <c r="F59" s="124" t="inlineStr">
        <is>
          <t>76 Puntos</t>
        </is>
      </c>
      <c r="G59" s="124" t="inlineStr">
        <is>
          <t>77 Puntos</t>
        </is>
      </c>
      <c r="H59" s="124" t="inlineStr">
        <is>
          <t>78 Puntos</t>
        </is>
      </c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5.75" customHeight="1">
      <c r="A60" s="125" t="inlineStr">
        <is>
          <t>0 - 42 = 1</t>
        </is>
      </c>
      <c r="B60" s="126" t="inlineStr">
        <is>
          <t>0 - 42 = 1</t>
        </is>
      </c>
      <c r="C60" s="126" t="inlineStr">
        <is>
          <t>0 - 43 = 1</t>
        </is>
      </c>
      <c r="D60" s="126" t="inlineStr">
        <is>
          <t>0 - 43 = 1</t>
        </is>
      </c>
      <c r="E60" s="126" t="inlineStr">
        <is>
          <t>0 - 44 = 1</t>
        </is>
      </c>
      <c r="F60" s="126" t="inlineStr">
        <is>
          <t>0 - 45 = 1</t>
        </is>
      </c>
      <c r="G60" s="126" t="inlineStr">
        <is>
          <t>0 - 45 = 1</t>
        </is>
      </c>
      <c r="H60" s="126" t="inlineStr">
        <is>
          <t>0 - 46 = 1</t>
        </is>
      </c>
      <c r="I60" s="121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5.75" customHeight="1">
      <c r="A61" s="125" t="inlineStr">
        <is>
          <t>43 - 49 = 2</t>
        </is>
      </c>
      <c r="B61" s="126" t="inlineStr">
        <is>
          <t>43 - 49 = 2</t>
        </is>
      </c>
      <c r="C61" s="126" t="inlineStr">
        <is>
          <t>44 - 50 = 2</t>
        </is>
      </c>
      <c r="D61" s="126" t="inlineStr">
        <is>
          <t>44 - 51 = 2</t>
        </is>
      </c>
      <c r="E61" s="126" t="inlineStr">
        <is>
          <t>45 - 52 = 2</t>
        </is>
      </c>
      <c r="F61" s="126" t="inlineStr">
        <is>
          <t>46 - 53 = 2</t>
        </is>
      </c>
      <c r="G61" s="126" t="inlineStr">
        <is>
          <t>46 - 53 = 2</t>
        </is>
      </c>
      <c r="H61" s="126" t="inlineStr">
        <is>
          <t>47 - 54 = 2</t>
        </is>
      </c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5.75" customHeight="1">
      <c r="A62" s="125" t="inlineStr">
        <is>
          <t>50 - 57 = 3</t>
        </is>
      </c>
      <c r="B62" s="126" t="inlineStr">
        <is>
          <t>50 - 57 = 3</t>
        </is>
      </c>
      <c r="C62" s="126" t="inlineStr">
        <is>
          <t>51 - 58 = 3</t>
        </is>
      </c>
      <c r="D62" s="126" t="inlineStr">
        <is>
          <t>52 - 59 = 3</t>
        </is>
      </c>
      <c r="E62" s="126" t="inlineStr">
        <is>
          <t>53 - 60 = 3</t>
        </is>
      </c>
      <c r="F62" s="126" t="inlineStr">
        <is>
          <t>54 - 61 = 3</t>
        </is>
      </c>
      <c r="G62" s="126" t="inlineStr">
        <is>
          <t>54 - 61 = 3</t>
        </is>
      </c>
      <c r="H62" s="126" t="inlineStr">
        <is>
          <t>55 - 62 = 3</t>
        </is>
      </c>
      <c r="I62" s="121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5.75" customHeight="1">
      <c r="A63" s="125" t="inlineStr">
        <is>
          <t>58 - 64 = 4</t>
        </is>
      </c>
      <c r="B63" s="126" t="inlineStr">
        <is>
          <t>58 - 65 = 4</t>
        </is>
      </c>
      <c r="C63" s="126" t="inlineStr">
        <is>
          <t>59 - 66 = 4</t>
        </is>
      </c>
      <c r="D63" s="126" t="inlineStr">
        <is>
          <t>60 - 67 = 4</t>
        </is>
      </c>
      <c r="E63" s="126" t="inlineStr">
        <is>
          <t>61 - 68 = 4</t>
        </is>
      </c>
      <c r="F63" s="126" t="inlineStr">
        <is>
          <t>62 - 69 = 4</t>
        </is>
      </c>
      <c r="G63" s="126" t="inlineStr">
        <is>
          <t>62 - 69 = 4</t>
        </is>
      </c>
      <c r="H63" s="126" t="inlineStr">
        <is>
          <t>63 - 70 = 4</t>
        </is>
      </c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5.75" customHeight="1">
      <c r="A64" s="125" t="inlineStr">
        <is>
          <t>65 - 71 = 5</t>
        </is>
      </c>
      <c r="B64" s="126" t="inlineStr">
        <is>
          <t>66 - 72 = 5</t>
        </is>
      </c>
      <c r="C64" s="126" t="inlineStr">
        <is>
          <t>67 - 73 = 5</t>
        </is>
      </c>
      <c r="D64" s="126" t="inlineStr">
        <is>
          <t>68 - 74 = 5</t>
        </is>
      </c>
      <c r="E64" s="126" t="inlineStr">
        <is>
          <t>69 - 75 = 5</t>
        </is>
      </c>
      <c r="F64" s="126" t="inlineStr">
        <is>
          <t>70 - 76 = 5</t>
        </is>
      </c>
      <c r="G64" s="126" t="inlineStr">
        <is>
          <t>70 - 77 = 5</t>
        </is>
      </c>
      <c r="H64" s="126" t="inlineStr">
        <is>
          <t>71 - 78 = 5</t>
        </is>
      </c>
      <c r="I64" s="121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5.75" customHeight="1">
      <c r="A65" s="122" t="n"/>
      <c r="B65" s="122" t="n"/>
      <c r="C65" s="122" t="n"/>
      <c r="D65" s="122" t="n"/>
      <c r="E65" s="122" t="n"/>
      <c r="F65" s="122" t="n"/>
      <c r="G65" s="122" t="n"/>
      <c r="H65" s="122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5.75" customHeight="1">
      <c r="A66" s="123" t="inlineStr">
        <is>
          <t>79 Puntos</t>
        </is>
      </c>
      <c r="B66" s="124" t="inlineStr">
        <is>
          <t>80 Puntos</t>
        </is>
      </c>
      <c r="C66" s="124" t="inlineStr">
        <is>
          <t>81 Puntos</t>
        </is>
      </c>
      <c r="D66" s="124" t="inlineStr">
        <is>
          <t>82 Puntos</t>
        </is>
      </c>
      <c r="E66" s="124" t="inlineStr">
        <is>
          <t>83 Puntos</t>
        </is>
      </c>
      <c r="F66" s="124" t="inlineStr">
        <is>
          <t>84 Puntos</t>
        </is>
      </c>
      <c r="G66" s="124" t="inlineStr">
        <is>
          <t>85 Puntos</t>
        </is>
      </c>
      <c r="H66" s="124" t="inlineStr">
        <is>
          <t>86 Puntos</t>
        </is>
      </c>
      <c r="I66" s="121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5.75" customHeight="1">
      <c r="A67" s="125" t="inlineStr">
        <is>
          <t>0 - 46 = 1</t>
        </is>
      </c>
      <c r="B67" s="126" t="inlineStr">
        <is>
          <t>0 - 47 = 1</t>
        </is>
      </c>
      <c r="C67" s="126" t="inlineStr">
        <is>
          <t>0 - 48 = 1</t>
        </is>
      </c>
      <c r="D67" s="126" t="inlineStr">
        <is>
          <t>0 - 48 = 1</t>
        </is>
      </c>
      <c r="E67" s="126" t="inlineStr">
        <is>
          <t>0 - 48 = 1</t>
        </is>
      </c>
      <c r="F67" s="126" t="inlineStr">
        <is>
          <t>0 - 49 = 1</t>
        </is>
      </c>
      <c r="G67" s="126" t="inlineStr">
        <is>
          <t>0 - 50 = 1</t>
        </is>
      </c>
      <c r="H67" s="126" t="inlineStr">
        <is>
          <t>0 - 51 = 1</t>
        </is>
      </c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5.75" customHeight="1">
      <c r="A68" s="125" t="inlineStr">
        <is>
          <t>47 - 54 = 2</t>
        </is>
      </c>
      <c r="B68" s="126" t="inlineStr">
        <is>
          <t>48 - 55 = 2</t>
        </is>
      </c>
      <c r="C68" s="126" t="inlineStr">
        <is>
          <t>49 - 56 = 2</t>
        </is>
      </c>
      <c r="D68" s="126" t="inlineStr">
        <is>
          <t>49 - 56 = 2</t>
        </is>
      </c>
      <c r="E68" s="126" t="inlineStr">
        <is>
          <t>49 - 57 = 2</t>
        </is>
      </c>
      <c r="F68" s="126" t="inlineStr">
        <is>
          <t>50 - 58 = 2</t>
        </is>
      </c>
      <c r="G68" s="126" t="inlineStr">
        <is>
          <t>51 - 59 = 2</t>
        </is>
      </c>
      <c r="H68" s="126" t="inlineStr">
        <is>
          <t>52 - 60 = 2</t>
        </is>
      </c>
      <c r="I68" s="121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5.75" customHeight="1">
      <c r="A69" s="125" t="inlineStr">
        <is>
          <t>55 - 63 = 3</t>
        </is>
      </c>
      <c r="B69" s="126" t="inlineStr">
        <is>
          <t>56 - 64 = 3</t>
        </is>
      </c>
      <c r="C69" s="126" t="inlineStr">
        <is>
          <t>57 - 65 = 3</t>
        </is>
      </c>
      <c r="D69" s="126" t="inlineStr">
        <is>
          <t>57 - 65 = 3</t>
        </is>
      </c>
      <c r="E69" s="126" t="inlineStr">
        <is>
          <t>58 - 66 = 3</t>
        </is>
      </c>
      <c r="F69" s="126" t="inlineStr">
        <is>
          <t>59 - 67 = 3</t>
        </is>
      </c>
      <c r="G69" s="126" t="inlineStr">
        <is>
          <t>60 - 68 = 3</t>
        </is>
      </c>
      <c r="H69" s="126" t="inlineStr">
        <is>
          <t>61 - 69 = 3</t>
        </is>
      </c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5.75" customHeight="1">
      <c r="A70" s="125" t="inlineStr">
        <is>
          <t>64 - 71 = 4</t>
        </is>
      </c>
      <c r="B70" s="126" t="inlineStr">
        <is>
          <t>65 - 72 = 4</t>
        </is>
      </c>
      <c r="C70" s="126" t="inlineStr">
        <is>
          <t>66 - 73 = 4</t>
        </is>
      </c>
      <c r="D70" s="126" t="inlineStr">
        <is>
          <t>66 - 74 = 4</t>
        </is>
      </c>
      <c r="E70" s="126" t="inlineStr">
        <is>
          <t>67 - 75 = 4</t>
        </is>
      </c>
      <c r="F70" s="126" t="inlineStr">
        <is>
          <t>68 - 76 = 4</t>
        </is>
      </c>
      <c r="G70" s="126" t="inlineStr">
        <is>
          <t>69 - 77 = 4</t>
        </is>
      </c>
      <c r="H70" s="126" t="inlineStr">
        <is>
          <t>70 - 78 = 4</t>
        </is>
      </c>
      <c r="I70" s="121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5.75" customHeight="1">
      <c r="A71" s="125" t="inlineStr">
        <is>
          <t>72 - 79 = 5</t>
        </is>
      </c>
      <c r="B71" s="126" t="inlineStr">
        <is>
          <t>73 - 80 = 5</t>
        </is>
      </c>
      <c r="C71" s="126" t="inlineStr">
        <is>
          <t>74 - 81 = 5</t>
        </is>
      </c>
      <c r="D71" s="126" t="inlineStr">
        <is>
          <t>75 - 82 = 5</t>
        </is>
      </c>
      <c r="E71" s="126" t="inlineStr">
        <is>
          <t>76 - 83 = 5</t>
        </is>
      </c>
      <c r="F71" s="126" t="inlineStr">
        <is>
          <t>77 - 84 = 5</t>
        </is>
      </c>
      <c r="G71" s="126" t="inlineStr">
        <is>
          <t>78 - 85 = 5</t>
        </is>
      </c>
      <c r="H71" s="126" t="inlineStr">
        <is>
          <t>79 - 86 = 5</t>
        </is>
      </c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>
      <c r="A72" s="122" t="n"/>
      <c r="B72" s="122" t="n"/>
      <c r="C72" s="122" t="n"/>
      <c r="D72" s="122" t="n"/>
      <c r="E72" s="122" t="n"/>
      <c r="F72" s="122" t="n"/>
      <c r="G72" s="122" t="n"/>
      <c r="H72" s="122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>
      <c r="A73" s="123" t="inlineStr">
        <is>
          <t>87 Puntos</t>
        </is>
      </c>
      <c r="B73" s="124" t="inlineStr">
        <is>
          <t>88 Puntos</t>
        </is>
      </c>
      <c r="C73" s="124" t="inlineStr">
        <is>
          <t>89 Puntos</t>
        </is>
      </c>
      <c r="D73" s="124" t="inlineStr">
        <is>
          <t>90 Puntos</t>
        </is>
      </c>
      <c r="E73" s="124" t="inlineStr">
        <is>
          <t>91 Puntos</t>
        </is>
      </c>
      <c r="F73" s="124" t="inlineStr">
        <is>
          <t>92 Puntos</t>
        </is>
      </c>
      <c r="G73" s="124" t="inlineStr">
        <is>
          <t>93 Puntos</t>
        </is>
      </c>
      <c r="H73" s="124" t="inlineStr">
        <is>
          <t>94 Puntos</t>
        </is>
      </c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>
      <c r="A74" s="125" t="inlineStr">
        <is>
          <t>0 - 51 = 1</t>
        </is>
      </c>
      <c r="B74" s="126" t="inlineStr">
        <is>
          <t>0 - 52 = 1</t>
        </is>
      </c>
      <c r="C74" s="126" t="inlineStr">
        <is>
          <t>0 - 52 = 1</t>
        </is>
      </c>
      <c r="D74" s="126" t="inlineStr">
        <is>
          <t>0 - 53 = 1</t>
        </is>
      </c>
      <c r="E74" s="126" t="inlineStr">
        <is>
          <t>0 - 54 = 1</t>
        </is>
      </c>
      <c r="F74" s="126" t="inlineStr">
        <is>
          <t>0 - 54 = 1</t>
        </is>
      </c>
      <c r="G74" s="126" t="inlineStr">
        <is>
          <t>0 - 55 = 1</t>
        </is>
      </c>
      <c r="H74" s="126" t="inlineStr">
        <is>
          <t>0 - 55 = 1</t>
        </is>
      </c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>
      <c r="A75" s="125" t="inlineStr">
        <is>
          <t>52 - 60 = 2</t>
        </is>
      </c>
      <c r="B75" s="126" t="inlineStr">
        <is>
          <t>53 - 61 = 2</t>
        </is>
      </c>
      <c r="C75" s="126" t="inlineStr">
        <is>
          <t>53 - 61 = 2</t>
        </is>
      </c>
      <c r="D75" s="126" t="inlineStr">
        <is>
          <t>54 - 62 = 2</t>
        </is>
      </c>
      <c r="E75" s="126" t="inlineStr">
        <is>
          <t>55 - 63 = 2</t>
        </is>
      </c>
      <c r="F75" s="126" t="inlineStr">
        <is>
          <t>55 - 63 = 2</t>
        </is>
      </c>
      <c r="G75" s="126" t="inlineStr">
        <is>
          <t>56 - 64 = 2</t>
        </is>
      </c>
      <c r="H75" s="126" t="inlineStr">
        <is>
          <t>56 - 65 = 2</t>
        </is>
      </c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>
      <c r="A76" s="125" t="inlineStr">
        <is>
          <t>61 - 69 = 3</t>
        </is>
      </c>
      <c r="B76" s="126" t="inlineStr">
        <is>
          <t>62 - 70 = 3</t>
        </is>
      </c>
      <c r="C76" s="126" t="inlineStr">
        <is>
          <t>62 - 71 = 3</t>
        </is>
      </c>
      <c r="D76" s="126" t="inlineStr">
        <is>
          <t>63 - 72 = 3</t>
        </is>
      </c>
      <c r="E76" s="126" t="inlineStr">
        <is>
          <t>64 - 73 = 3</t>
        </is>
      </c>
      <c r="F76" s="126" t="inlineStr">
        <is>
          <t>64 - 73 = 3</t>
        </is>
      </c>
      <c r="G76" s="126" t="inlineStr">
        <is>
          <t>65 - 74 = 3</t>
        </is>
      </c>
      <c r="H76" s="126" t="inlineStr">
        <is>
          <t>66 - 75 = 3</t>
        </is>
      </c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>
      <c r="A77" s="125" t="inlineStr">
        <is>
          <t>70 - 78 = 4</t>
        </is>
      </c>
      <c r="B77" s="126" t="inlineStr">
        <is>
          <t>71 - 79 = 4</t>
        </is>
      </c>
      <c r="C77" s="126" t="inlineStr">
        <is>
          <t>72 - 80 = 4</t>
        </is>
      </c>
      <c r="D77" s="126" t="inlineStr">
        <is>
          <t>73 - 81 = 4</t>
        </is>
      </c>
      <c r="E77" s="126" t="inlineStr">
        <is>
          <t>74 - 82 = 4</t>
        </is>
      </c>
      <c r="F77" s="126" t="inlineStr">
        <is>
          <t>74 - 83 = 4</t>
        </is>
      </c>
      <c r="G77" s="126" t="inlineStr">
        <is>
          <t>75 - 84 = 4</t>
        </is>
      </c>
      <c r="H77" s="126" t="inlineStr">
        <is>
          <t>76 - 85 = 4</t>
        </is>
      </c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>
      <c r="A78" s="125" t="inlineStr">
        <is>
          <t>79 - 87 = 5</t>
        </is>
      </c>
      <c r="B78" s="126" t="inlineStr">
        <is>
          <t>80 - 88 = 5</t>
        </is>
      </c>
      <c r="C78" s="126" t="inlineStr">
        <is>
          <t>81 - 89 = 5</t>
        </is>
      </c>
      <c r="D78" s="126" t="inlineStr">
        <is>
          <t>82 - 90 = 5</t>
        </is>
      </c>
      <c r="E78" s="126" t="inlineStr">
        <is>
          <t>83 - 91 = 5</t>
        </is>
      </c>
      <c r="F78" s="126" t="inlineStr">
        <is>
          <t>84 - 92 = 5</t>
        </is>
      </c>
      <c r="G78" s="126" t="inlineStr">
        <is>
          <t>85 - 93 = 5</t>
        </is>
      </c>
      <c r="H78" s="126" t="inlineStr">
        <is>
          <t>86 - 94= 5</t>
        </is>
      </c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>
      <c r="A79" s="122" t="n"/>
      <c r="B79" s="122" t="n"/>
      <c r="C79" s="122" t="n"/>
      <c r="D79" s="122" t="n"/>
      <c r="E79" s="122" t="n"/>
      <c r="F79" s="122" t="n"/>
      <c r="G79" s="122" t="n"/>
      <c r="H79" s="122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>
      <c r="A80" s="123" t="inlineStr">
        <is>
          <t>95 Puntos</t>
        </is>
      </c>
      <c r="B80" s="124" t="inlineStr">
        <is>
          <t>96 Puntos</t>
        </is>
      </c>
      <c r="C80" s="124" t="inlineStr">
        <is>
          <t>97 Puntos</t>
        </is>
      </c>
      <c r="D80" s="124" t="inlineStr">
        <is>
          <t>98 Puntos</t>
        </is>
      </c>
      <c r="E80" s="124" t="inlineStr">
        <is>
          <t>99 Puntos</t>
        </is>
      </c>
      <c r="F80" s="124" t="inlineStr">
        <is>
          <t>100 Puntos</t>
        </is>
      </c>
      <c r="G80" s="124" t="inlineStr">
        <is>
          <t>101 Puntos</t>
        </is>
      </c>
      <c r="H80" s="124" t="inlineStr">
        <is>
          <t>102 Puntos</t>
        </is>
      </c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>
      <c r="A81" s="125" t="inlineStr">
        <is>
          <t>0 - 56 = 1</t>
        </is>
      </c>
      <c r="B81" s="126" t="inlineStr">
        <is>
          <t>0 - 57 = 1</t>
        </is>
      </c>
      <c r="C81" s="126" t="inlineStr">
        <is>
          <t>0 - 57 = 1</t>
        </is>
      </c>
      <c r="D81" s="126" t="inlineStr">
        <is>
          <t>0 - 58 = 1</t>
        </is>
      </c>
      <c r="E81" s="126" t="inlineStr">
        <is>
          <t>0 - 58 = 1</t>
        </is>
      </c>
      <c r="F81" s="126" t="inlineStr">
        <is>
          <t>0 - 59 = 1</t>
        </is>
      </c>
      <c r="G81" s="126" t="inlineStr">
        <is>
          <t>0 - 60 = 1</t>
        </is>
      </c>
      <c r="H81" s="126" t="inlineStr">
        <is>
          <t>0 - 60 = 1</t>
        </is>
      </c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>
      <c r="A82" s="125" t="inlineStr">
        <is>
          <t>57 - 66 = 2</t>
        </is>
      </c>
      <c r="B82" s="126" t="inlineStr">
        <is>
          <t>58 - 67 = 2</t>
        </is>
      </c>
      <c r="C82" s="126" t="inlineStr">
        <is>
          <t>58 - 67 = 2</t>
        </is>
      </c>
      <c r="D82" s="126" t="inlineStr">
        <is>
          <t>59 - 68 = 2</t>
        </is>
      </c>
      <c r="E82" s="126" t="inlineStr">
        <is>
          <t>59- 68 = 2</t>
        </is>
      </c>
      <c r="F82" s="126" t="inlineStr">
        <is>
          <t>60- 69 = 2</t>
        </is>
      </c>
      <c r="G82" s="126" t="inlineStr">
        <is>
          <t>61- 70 = 2</t>
        </is>
      </c>
      <c r="H82" s="126" t="inlineStr">
        <is>
          <t>61- 70 = 2</t>
        </is>
      </c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>
      <c r="A83" s="125" t="inlineStr">
        <is>
          <t>67 - 76 = 3</t>
        </is>
      </c>
      <c r="B83" s="126" t="inlineStr">
        <is>
          <t>68 - 77 = 3</t>
        </is>
      </c>
      <c r="C83" s="126" t="inlineStr">
        <is>
          <t>68 - 77 = 3</t>
        </is>
      </c>
      <c r="D83" s="126" t="inlineStr">
        <is>
          <t>69 - 78 = 3</t>
        </is>
      </c>
      <c r="E83" s="126" t="inlineStr">
        <is>
          <t>69 - 79 = 3</t>
        </is>
      </c>
      <c r="F83" s="126" t="inlineStr">
        <is>
          <t>70 - 80 = 3</t>
        </is>
      </c>
      <c r="G83" s="126" t="inlineStr">
        <is>
          <t>71 - 81 = 3</t>
        </is>
      </c>
      <c r="H83" s="126" t="inlineStr">
        <is>
          <t>71 - 81 = 3</t>
        </is>
      </c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>
      <c r="A84" s="125" t="inlineStr">
        <is>
          <t>77 - 86 = 4</t>
        </is>
      </c>
      <c r="B84" s="126" t="inlineStr">
        <is>
          <t>78 - 87 = 4</t>
        </is>
      </c>
      <c r="C84" s="126" t="inlineStr">
        <is>
          <t>78 - 87 = 4</t>
        </is>
      </c>
      <c r="D84" s="126" t="inlineStr">
        <is>
          <t>79 - 88 = 4</t>
        </is>
      </c>
      <c r="E84" s="126" t="inlineStr">
        <is>
          <t>80 - 89 = 4</t>
        </is>
      </c>
      <c r="F84" s="126" t="inlineStr">
        <is>
          <t>81 - 90 = 4</t>
        </is>
      </c>
      <c r="G84" s="126" t="inlineStr">
        <is>
          <t>82 - 91 = 4</t>
        </is>
      </c>
      <c r="H84" s="126" t="inlineStr">
        <is>
          <t>82 - 92 = 4</t>
        </is>
      </c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>
      <c r="A85" s="125" t="inlineStr">
        <is>
          <t>87 - 95= 5</t>
        </is>
      </c>
      <c r="B85" s="126" t="inlineStr">
        <is>
          <t>88 - 96= 5</t>
        </is>
      </c>
      <c r="C85" s="126" t="inlineStr">
        <is>
          <t>88 - 97= 5</t>
        </is>
      </c>
      <c r="D85" s="126" t="inlineStr">
        <is>
          <t>89 - 98= 5</t>
        </is>
      </c>
      <c r="E85" s="126" t="inlineStr">
        <is>
          <t>90 - 99= 5</t>
        </is>
      </c>
      <c r="F85" s="126" t="inlineStr">
        <is>
          <t>91 -100= 5</t>
        </is>
      </c>
      <c r="G85" s="126" t="inlineStr">
        <is>
          <t>92 -101= 5</t>
        </is>
      </c>
      <c r="H85" s="126" t="inlineStr">
        <is>
          <t>93 -102= 5</t>
        </is>
      </c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>
      <c r="A86" s="122" t="n"/>
      <c r="B86" s="122" t="n"/>
      <c r="C86" s="122" t="n"/>
      <c r="D86" s="122" t="n"/>
      <c r="E86" s="122" t="n"/>
      <c r="F86" s="122" t="n"/>
      <c r="G86" s="122" t="n"/>
      <c r="H86" s="122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>
      <c r="A87" s="123" t="inlineStr">
        <is>
          <t>103 Puntos</t>
        </is>
      </c>
      <c r="B87" s="124" t="inlineStr">
        <is>
          <t>104 Puntos</t>
        </is>
      </c>
      <c r="C87" s="124" t="inlineStr">
        <is>
          <t>105 Puntos</t>
        </is>
      </c>
      <c r="D87" s="124" t="inlineStr">
        <is>
          <t>106 Puntos</t>
        </is>
      </c>
      <c r="E87" s="124" t="inlineStr">
        <is>
          <t>107 Puntos</t>
        </is>
      </c>
      <c r="F87" s="124" t="inlineStr">
        <is>
          <t>108 Puntos</t>
        </is>
      </c>
      <c r="G87" s="124" t="inlineStr">
        <is>
          <t>109 Puntos</t>
        </is>
      </c>
      <c r="H87" s="124" t="inlineStr">
        <is>
          <t>110 Puntos</t>
        </is>
      </c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>
      <c r="A88" s="125" t="inlineStr">
        <is>
          <t>0 - 61 = 1</t>
        </is>
      </c>
      <c r="B88" s="126" t="inlineStr">
        <is>
          <t>0 - 61 = 1</t>
        </is>
      </c>
      <c r="C88" s="126" t="inlineStr">
        <is>
          <t>0 - 62 = 1</t>
        </is>
      </c>
      <c r="D88" s="126" t="inlineStr">
        <is>
          <t>0 - 63 = 1</t>
        </is>
      </c>
      <c r="E88" s="126" t="inlineStr">
        <is>
          <t>0 - 63 = 1</t>
        </is>
      </c>
      <c r="F88" s="126" t="inlineStr">
        <is>
          <t>0 - 64 = 1</t>
        </is>
      </c>
      <c r="G88" s="126" t="inlineStr">
        <is>
          <t>0 - 64 = 1</t>
        </is>
      </c>
      <c r="H88" s="126" t="inlineStr">
        <is>
          <t>0 - 65 = 1</t>
        </is>
      </c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>
      <c r="A89" s="125" t="inlineStr">
        <is>
          <t>62 - 71 = 2</t>
        </is>
      </c>
      <c r="B89" s="126" t="inlineStr">
        <is>
          <t>62 - 72 = 2</t>
        </is>
      </c>
      <c r="C89" s="126" t="inlineStr">
        <is>
          <t>63 - 73 = 2</t>
        </is>
      </c>
      <c r="D89" s="126" t="inlineStr">
        <is>
          <t>64 - 74 = 2</t>
        </is>
      </c>
      <c r="E89" s="126" t="inlineStr">
        <is>
          <t>64 - 74 = 2</t>
        </is>
      </c>
      <c r="F89" s="126" t="inlineStr">
        <is>
          <t>65 - 75 = 2</t>
        </is>
      </c>
      <c r="G89" s="126" t="inlineStr">
        <is>
          <t>65 - 75 = 2</t>
        </is>
      </c>
      <c r="H89" s="126" t="inlineStr">
        <is>
          <t>66 - 76 = 2</t>
        </is>
      </c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>
      <c r="A90" s="125" t="inlineStr">
        <is>
          <t>72 - 82 = 3</t>
        </is>
      </c>
      <c r="B90" s="126" t="inlineStr">
        <is>
          <t>73 - 83 = 3</t>
        </is>
      </c>
      <c r="C90" s="126" t="inlineStr">
        <is>
          <t>74 - 84 = 3</t>
        </is>
      </c>
      <c r="D90" s="126" t="inlineStr">
        <is>
          <t>75 - 85 = 3</t>
        </is>
      </c>
      <c r="E90" s="126" t="inlineStr">
        <is>
          <t>75 - 85 = 3</t>
        </is>
      </c>
      <c r="F90" s="126" t="inlineStr">
        <is>
          <t>76 - 86 = 3</t>
        </is>
      </c>
      <c r="G90" s="126" t="inlineStr">
        <is>
          <t>76 - 87 = 3</t>
        </is>
      </c>
      <c r="H90" s="126" t="inlineStr">
        <is>
          <t>77 - 88 = 3</t>
        </is>
      </c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>
      <c r="A91" s="125" t="inlineStr">
        <is>
          <t>83 - 93 = 4</t>
        </is>
      </c>
      <c r="B91" s="126" t="inlineStr">
        <is>
          <t>84 - 94 = 4</t>
        </is>
      </c>
      <c r="C91" s="126" t="inlineStr">
        <is>
          <t>85 - 95 = 4</t>
        </is>
      </c>
      <c r="D91" s="126" t="inlineStr">
        <is>
          <t>86 - 96 = 4</t>
        </is>
      </c>
      <c r="E91" s="126" t="inlineStr">
        <is>
          <t>86 - 96 = 4</t>
        </is>
      </c>
      <c r="F91" s="126" t="inlineStr">
        <is>
          <t>87 - 97 = 4</t>
        </is>
      </c>
      <c r="G91" s="126" t="inlineStr">
        <is>
          <t>88 - 98 = 4</t>
        </is>
      </c>
      <c r="H91" s="126" t="inlineStr">
        <is>
          <t>89 - 99 = 4</t>
        </is>
      </c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>
      <c r="A92" s="125" t="inlineStr">
        <is>
          <t>94 -103= 5</t>
        </is>
      </c>
      <c r="B92" s="126" t="inlineStr">
        <is>
          <t>95 -104= 5</t>
        </is>
      </c>
      <c r="C92" s="126" t="inlineStr">
        <is>
          <t>96 -105= 5</t>
        </is>
      </c>
      <c r="D92" s="126" t="inlineStr">
        <is>
          <t>97 -106= 5</t>
        </is>
      </c>
      <c r="E92" s="126" t="inlineStr">
        <is>
          <t>97 -107= 5</t>
        </is>
      </c>
      <c r="F92" s="126" t="inlineStr">
        <is>
          <t>98 -108= 5</t>
        </is>
      </c>
      <c r="G92" s="126" t="inlineStr">
        <is>
          <t>99 -109= 5</t>
        </is>
      </c>
      <c r="H92" s="126" t="inlineStr">
        <is>
          <t>100-110= 5</t>
        </is>
      </c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>
      <c r="A93" s="122" t="n"/>
      <c r="B93" s="122" t="n"/>
      <c r="C93" s="122" t="n"/>
      <c r="D93" s="122" t="n"/>
      <c r="E93" s="122" t="n"/>
      <c r="F93" s="122" t="n"/>
      <c r="G93" s="122" t="n"/>
      <c r="H93" s="122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>
      <c r="A94" s="123" t="inlineStr">
        <is>
          <t>111 Puntos</t>
        </is>
      </c>
      <c r="B94" s="124" t="inlineStr">
        <is>
          <t>112 Puntos</t>
        </is>
      </c>
      <c r="C94" s="124" t="inlineStr">
        <is>
          <t>113 Puntos</t>
        </is>
      </c>
      <c r="D94" s="124" t="inlineStr">
        <is>
          <t>114 Puntos</t>
        </is>
      </c>
      <c r="E94" s="124" t="inlineStr">
        <is>
          <t>115 Puntos</t>
        </is>
      </c>
      <c r="F94" s="124" t="inlineStr">
        <is>
          <t>116 Puntos</t>
        </is>
      </c>
      <c r="G94" s="124" t="inlineStr">
        <is>
          <t>117 Puntos</t>
        </is>
      </c>
      <c r="H94" s="124" t="inlineStr">
        <is>
          <t>118 Puntos</t>
        </is>
      </c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>
      <c r="A95" s="125" t="inlineStr">
        <is>
          <t>0 - 66 = 1</t>
        </is>
      </c>
      <c r="B95" s="126" t="inlineStr">
        <is>
          <t>0 - 66 = 1</t>
        </is>
      </c>
      <c r="C95" s="126" t="inlineStr">
        <is>
          <t>0 - 67 = 1</t>
        </is>
      </c>
      <c r="D95" s="126" t="inlineStr">
        <is>
          <t>0 - 67 = 1</t>
        </is>
      </c>
      <c r="E95" s="126" t="inlineStr">
        <is>
          <t>0 - 68 = 1</t>
        </is>
      </c>
      <c r="F95" s="126" t="inlineStr">
        <is>
          <t>0 - 69 = 1</t>
        </is>
      </c>
      <c r="G95" s="126" t="inlineStr">
        <is>
          <t>0 - 69 = 1</t>
        </is>
      </c>
      <c r="H95" s="126" t="inlineStr">
        <is>
          <t>0 - 70 = 1</t>
        </is>
      </c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>
      <c r="A96" s="125" t="inlineStr">
        <is>
          <t>67 - 77 = 2</t>
        </is>
      </c>
      <c r="B96" s="126" t="inlineStr">
        <is>
          <t>67 - 77 = 2</t>
        </is>
      </c>
      <c r="C96" s="126" t="inlineStr">
        <is>
          <t>68 - 78 = 2</t>
        </is>
      </c>
      <c r="D96" s="126" t="inlineStr">
        <is>
          <t>68 - 79 = 2</t>
        </is>
      </c>
      <c r="E96" s="126" t="inlineStr">
        <is>
          <t>69 - 80 = 2</t>
        </is>
      </c>
      <c r="F96" s="126" t="inlineStr">
        <is>
          <t>70 - 81 = 2</t>
        </is>
      </c>
      <c r="G96" s="126" t="inlineStr">
        <is>
          <t>70 - 81 = 2</t>
        </is>
      </c>
      <c r="H96" s="126" t="inlineStr">
        <is>
          <t>71 - 82 = 2</t>
        </is>
      </c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>
      <c r="A97" s="125" t="inlineStr">
        <is>
          <t>78 - 89 = 3</t>
        </is>
      </c>
      <c r="B97" s="126" t="inlineStr">
        <is>
          <t>78 - 89 = 3</t>
        </is>
      </c>
      <c r="C97" s="126" t="inlineStr">
        <is>
          <t>79 - 90 = 3</t>
        </is>
      </c>
      <c r="D97" s="126" t="inlineStr">
        <is>
          <t>80 - 91 = 3</t>
        </is>
      </c>
      <c r="E97" s="126" t="inlineStr">
        <is>
          <t>81 - 92 = 3</t>
        </is>
      </c>
      <c r="F97" s="126" t="inlineStr">
        <is>
          <t>82 - 93 = 3</t>
        </is>
      </c>
      <c r="G97" s="126" t="inlineStr">
        <is>
          <t>82 - 93 = 3</t>
        </is>
      </c>
      <c r="H97" s="126" t="inlineStr">
        <is>
          <t>83 - 94 = 3</t>
        </is>
      </c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>
      <c r="A98" s="125" t="inlineStr">
        <is>
          <t>90 - 100= 4</t>
        </is>
      </c>
      <c r="B98" s="126" t="inlineStr">
        <is>
          <t>90 - 101= 4</t>
        </is>
      </c>
      <c r="C98" s="126" t="inlineStr">
        <is>
          <t>91 - 102= 4</t>
        </is>
      </c>
      <c r="D98" s="126" t="inlineStr">
        <is>
          <t>92 - 103= 4</t>
        </is>
      </c>
      <c r="E98" s="126" t="inlineStr">
        <is>
          <t>93 - 104= 4</t>
        </is>
      </c>
      <c r="F98" s="126" t="inlineStr">
        <is>
          <t>94 - 105= 4</t>
        </is>
      </c>
      <c r="G98" s="126" t="inlineStr">
        <is>
          <t>94 - 105= 4</t>
        </is>
      </c>
      <c r="H98" s="126" t="inlineStr">
        <is>
          <t>95 - 106= 4</t>
        </is>
      </c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>
      <c r="A99" s="125" t="inlineStr">
        <is>
          <t>101-111= 5</t>
        </is>
      </c>
      <c r="B99" s="126" t="inlineStr">
        <is>
          <t>102-112= 5</t>
        </is>
      </c>
      <c r="C99" s="126" t="inlineStr">
        <is>
          <t>103-113= 5</t>
        </is>
      </c>
      <c r="D99" s="126" t="inlineStr">
        <is>
          <t>104-114= 5</t>
        </is>
      </c>
      <c r="E99" s="126" t="inlineStr">
        <is>
          <t>105-115= 5</t>
        </is>
      </c>
      <c r="F99" s="126" t="inlineStr">
        <is>
          <t>106-116= 5</t>
        </is>
      </c>
      <c r="G99" s="126" t="inlineStr">
        <is>
          <t>106-117= 5</t>
        </is>
      </c>
      <c r="H99" s="126" t="inlineStr">
        <is>
          <t>107-118= 5</t>
        </is>
      </c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>
      <c r="A100" s="122" t="n"/>
      <c r="B100" s="122" t="n"/>
      <c r="C100" s="122" t="n"/>
      <c r="D100" s="122" t="n"/>
      <c r="E100" s="122" t="n"/>
      <c r="F100" s="122" t="n"/>
      <c r="G100" s="122" t="n"/>
      <c r="H100" s="122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>
      <c r="A101" s="123" t="inlineStr">
        <is>
          <t>119 Puntos</t>
        </is>
      </c>
      <c r="B101" s="124" t="inlineStr">
        <is>
          <t>120 Puntos</t>
        </is>
      </c>
      <c r="C101" s="124" t="inlineStr">
        <is>
          <t>121 Puntos</t>
        </is>
      </c>
      <c r="D101" s="124" t="inlineStr">
        <is>
          <t>122 Puntos</t>
        </is>
      </c>
      <c r="E101" s="124" t="inlineStr">
        <is>
          <t>123 Puntos</t>
        </is>
      </c>
      <c r="F101" s="124" t="inlineStr">
        <is>
          <t>124 Puntos</t>
        </is>
      </c>
      <c r="G101" s="124" t="inlineStr">
        <is>
          <t>125 Puntos</t>
        </is>
      </c>
      <c r="H101" s="124" t="inlineStr">
        <is>
          <t>126 Puntos</t>
        </is>
      </c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>
      <c r="A102" s="125" t="inlineStr">
        <is>
          <t>0 - 70 = 1</t>
        </is>
      </c>
      <c r="B102" s="126" t="inlineStr">
        <is>
          <t>0 - 71 = 1</t>
        </is>
      </c>
      <c r="C102" s="126" t="inlineStr">
        <is>
          <t>0 - 72 = 1</t>
        </is>
      </c>
      <c r="D102" s="126" t="inlineStr">
        <is>
          <t>0 - 72 = 1</t>
        </is>
      </c>
      <c r="E102" s="126" t="inlineStr">
        <is>
          <t>0 - 73 = 1</t>
        </is>
      </c>
      <c r="F102" s="126" t="inlineStr">
        <is>
          <t>0 - 73 = 1</t>
        </is>
      </c>
      <c r="G102" s="126" t="inlineStr">
        <is>
          <t>0 - 74 = 1</t>
        </is>
      </c>
      <c r="H102" s="126" t="inlineStr">
        <is>
          <t>0 - 75 = 1</t>
        </is>
      </c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>
      <c r="A103" s="125" t="inlineStr">
        <is>
          <t>71 - 82 = 2</t>
        </is>
      </c>
      <c r="B103" s="126" t="inlineStr">
        <is>
          <t>72 - 83 = 2</t>
        </is>
      </c>
      <c r="C103" s="126" t="inlineStr">
        <is>
          <t>73 - 84 = 2</t>
        </is>
      </c>
      <c r="D103" s="126" t="inlineStr">
        <is>
          <t>73 - 84 = 2</t>
        </is>
      </c>
      <c r="E103" s="126" t="inlineStr">
        <is>
          <t>74 - 85 = 2</t>
        </is>
      </c>
      <c r="F103" s="126" t="inlineStr">
        <is>
          <t>74 - 86 = 2</t>
        </is>
      </c>
      <c r="G103" s="126" t="inlineStr">
        <is>
          <t>75 - 87 = 2</t>
        </is>
      </c>
      <c r="H103" s="126" t="inlineStr">
        <is>
          <t>76 - 88 = 2</t>
        </is>
      </c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>
      <c r="A104" s="125" t="inlineStr">
        <is>
          <t>83 - 95 = 3</t>
        </is>
      </c>
      <c r="B104" s="126" t="inlineStr">
        <is>
          <t>84 - 96 = 3</t>
        </is>
      </c>
      <c r="C104" s="126" t="inlineStr">
        <is>
          <t>85 - 97 = 3</t>
        </is>
      </c>
      <c r="D104" s="126" t="inlineStr">
        <is>
          <t>85 - 97 = 3</t>
        </is>
      </c>
      <c r="E104" s="126" t="inlineStr">
        <is>
          <t>86 - 98 = 3</t>
        </is>
      </c>
      <c r="F104" s="126" t="inlineStr">
        <is>
          <t>87 - 99 = 3</t>
        </is>
      </c>
      <c r="G104" s="126" t="inlineStr">
        <is>
          <t>88 - 100 = 3</t>
        </is>
      </c>
      <c r="H104" s="126" t="inlineStr">
        <is>
          <t>89 - 101 = 3</t>
        </is>
      </c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>
      <c r="A105" s="125" t="inlineStr">
        <is>
          <t>96 - 107= 4</t>
        </is>
      </c>
      <c r="B105" s="126" t="inlineStr">
        <is>
          <t>97 - 108= 4</t>
        </is>
      </c>
      <c r="C105" s="126" t="inlineStr">
        <is>
          <t>98 - 109= 4</t>
        </is>
      </c>
      <c r="D105" s="126" t="inlineStr">
        <is>
          <t>98 - 110= 4</t>
        </is>
      </c>
      <c r="E105" s="126" t="inlineStr">
        <is>
          <t>99 - 111= 4</t>
        </is>
      </c>
      <c r="F105" s="126" t="inlineStr">
        <is>
          <t>100 - 112= 4</t>
        </is>
      </c>
      <c r="G105" s="126" t="inlineStr">
        <is>
          <t>101 - 113= 4</t>
        </is>
      </c>
      <c r="H105" s="126" t="inlineStr">
        <is>
          <t>102 - 114= 4</t>
        </is>
      </c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>
      <c r="A106" s="125" t="inlineStr">
        <is>
          <t>108-119= 5</t>
        </is>
      </c>
      <c r="B106" s="126" t="inlineStr">
        <is>
          <t>109-120= 5</t>
        </is>
      </c>
      <c r="C106" s="126" t="inlineStr">
        <is>
          <t>110-121= 5</t>
        </is>
      </c>
      <c r="D106" s="126" t="inlineStr">
        <is>
          <t>111-122= 5</t>
        </is>
      </c>
      <c r="E106" s="126" t="inlineStr">
        <is>
          <t>112-123= 5</t>
        </is>
      </c>
      <c r="F106" s="126" t="inlineStr">
        <is>
          <t>113-124= 5</t>
        </is>
      </c>
      <c r="G106" s="126" t="inlineStr">
        <is>
          <t>114-125= 5</t>
        </is>
      </c>
      <c r="H106" s="126" t="inlineStr">
        <is>
          <t>115-126= 5</t>
        </is>
      </c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  <c r="G1" t="n">
        <v>1</v>
      </c>
      <c r="H1" t="inlineStr">
        <is>
          <t>ACOSTA FERREIRA, FRANCO JESUS</t>
        </is>
      </c>
    </row>
    <row r="2">
      <c r="A2">
        <f>+H1</f>
        <v/>
      </c>
      <c r="B2">
        <f>TRIM(LEFT(MID(A2, FIND(",", A2) + 1, LEN(A2)), FIND(" ", TRIM(MID(A2, FIND(",", A2) + 1, LEN(A2)))))) &amp; " " &amp; LEFT(A2, FIND(" ", A2) - 1)</f>
        <v/>
      </c>
      <c r="G2" t="n">
        <v>2</v>
      </c>
      <c r="H2" t="inlineStr">
        <is>
          <t>ARCE GAONA, NAOMI JOSELIN</t>
        </is>
      </c>
    </row>
    <row r="3">
      <c r="A3">
        <f>+H2</f>
        <v/>
      </c>
      <c r="B3">
        <f>TRIM(LEFT(MID(A3, FIND(",", A3) + 1, LEN(A3)), FIND(" ", TRIM(MID(A3, FIND(",", A3) + 1, LEN(A3)))))) &amp; " " &amp; LEFT(A3, FIND(" ", A3) - 1)</f>
        <v/>
      </c>
      <c r="G3" t="n">
        <v>3</v>
      </c>
      <c r="H3" t="inlineStr">
        <is>
          <t>ARZAMENDIA GONZALEZ, GUSTAVO ASAEL DEJESUS</t>
        </is>
      </c>
    </row>
    <row r="4">
      <c r="A4">
        <f>+H3</f>
        <v/>
      </c>
      <c r="B4">
        <f>TRIM(LEFT(MID(A4, FIND(",", A4) + 1, LEN(A4)), FIND(" ", TRIM(MID(A4, FIND(",", A4) + 1, LEN(A4)))))) &amp; " " &amp; LEFT(A4, FIND(" ", A4) - 1)</f>
        <v/>
      </c>
      <c r="G4" t="n">
        <v>4</v>
      </c>
      <c r="H4" t="inlineStr">
        <is>
          <t>AYALA MALDONADO, MIGUEL PETROVIC</t>
        </is>
      </c>
    </row>
    <row r="5">
      <c r="A5">
        <f>+H4</f>
        <v/>
      </c>
      <c r="B5">
        <f>TRIM(LEFT(MID(A5, FIND(",", A5) + 1, LEN(A5)), FIND(" ", TRIM(MID(A5, FIND(",", A5) + 1, LEN(A5)))))) &amp; " " &amp; LEFT(A5, FIND(" ", A5) - 1)</f>
        <v/>
      </c>
      <c r="G5" t="n">
        <v>5</v>
      </c>
      <c r="H5" t="inlineStr">
        <is>
          <t>BENITEZ OVELAR, LUNA ARAMI</t>
        </is>
      </c>
    </row>
    <row r="6">
      <c r="A6">
        <f>+H5</f>
        <v/>
      </c>
      <c r="B6">
        <f>TRIM(LEFT(MID(A6, FIND(",", A6) + 1, LEN(A6)), FIND(" ", TRIM(MID(A6, FIND(",", A6) + 1, LEN(A6)))))) &amp; " " &amp; LEFT(A6, FIND(" ", A6) - 1)</f>
        <v/>
      </c>
      <c r="G6" t="n">
        <v>6</v>
      </c>
      <c r="H6" t="inlineStr">
        <is>
          <t>BENITEZ, LURDES ESMERALDA</t>
        </is>
      </c>
    </row>
    <row r="7">
      <c r="A7">
        <f>+H6</f>
        <v/>
      </c>
      <c r="B7">
        <f>TRIM(LEFT(MID(A7, FIND(",", A7) + 1, LEN(A7)), FIND(" ", TRIM(MID(A7, FIND(",", A7) + 1, LEN(A7)))))) &amp; " " &amp; LEFT(A7, FIND(" ", A7) - 1)</f>
        <v/>
      </c>
      <c r="G7" t="n">
        <v>7</v>
      </c>
      <c r="H7" t="inlineStr">
        <is>
          <t>DURE OVIEDO, MYLAN DANILO</t>
        </is>
      </c>
    </row>
    <row r="8">
      <c r="A8">
        <f>+H7</f>
        <v/>
      </c>
      <c r="B8">
        <f>TRIM(LEFT(MID(A8, FIND(",", A8) + 1, LEN(A8)), FIND(" ", TRIM(MID(A8, FIND(",", A8) + 1, LEN(A8)))))) &amp; " " &amp; LEFT(A8, FIND(" ", A8) - 1)</f>
        <v/>
      </c>
      <c r="G8" t="n">
        <v>8</v>
      </c>
      <c r="H8" t="inlineStr">
        <is>
          <t>FERREIRA CACERES, PAULA JAZMIN</t>
        </is>
      </c>
    </row>
    <row r="9">
      <c r="A9">
        <f>+H8</f>
        <v/>
      </c>
      <c r="B9">
        <f>TRIM(LEFT(MID(A9, FIND(",", A9) + 1, LEN(A9)), FIND(" ", TRIM(MID(A9, FIND(",", A9) + 1, LEN(A9)))))) &amp; " " &amp; LEFT(A9, FIND(" ", A9) - 1)</f>
        <v/>
      </c>
      <c r="G9" t="n">
        <v>9</v>
      </c>
      <c r="H9" t="inlineStr">
        <is>
          <t>GIMENEZ AMARILLA, JOSE MARIA</t>
        </is>
      </c>
    </row>
    <row r="10">
      <c r="A10">
        <f>+H9</f>
        <v/>
      </c>
      <c r="B10">
        <f>TRIM(LEFT(MID(A10, FIND(",", A10) + 1, LEN(A10)), FIND(" ", TRIM(MID(A10, FIND(",", A10) + 1, LEN(A10)))))) &amp; " " &amp; LEFT(A10, FIND(" ", A10) - 1)</f>
        <v/>
      </c>
      <c r="G10" t="n">
        <v>10</v>
      </c>
      <c r="H10" t="inlineStr">
        <is>
          <t xml:space="preserve">LEGUIZAMON INSAURRALDE, ANGEL NAHUEL </t>
        </is>
      </c>
    </row>
    <row r="11">
      <c r="A11">
        <f>+H10</f>
        <v/>
      </c>
      <c r="B11">
        <f>TRIM(LEFT(MID(A11, FIND(",", A11) + 1, LEN(A11)), FIND(" ", TRIM(MID(A11, FIND(",", A11) + 1, LEN(A11)))))) &amp; " " &amp; LEFT(A11, FIND(" ", A11) - 1)</f>
        <v/>
      </c>
      <c r="G11" t="n">
        <v>11</v>
      </c>
      <c r="H11" t="inlineStr">
        <is>
          <t>MILLAN BAEZ, GIOVANNA MAILEN</t>
        </is>
      </c>
    </row>
    <row r="12">
      <c r="A12">
        <f>+H11</f>
        <v/>
      </c>
      <c r="B12">
        <f>TRIM(LEFT(MID(A12, FIND(",", A12) + 1, LEN(A12)), FIND(" ", TRIM(MID(A12, FIND(",", A12) + 1, LEN(A12)))))) &amp; " " &amp; LEFT(A12, FIND(" ", A12) - 1)</f>
        <v/>
      </c>
      <c r="G12" t="n">
        <v>12</v>
      </c>
      <c r="H12" t="inlineStr">
        <is>
          <t>RAMIREZ ALFONSO, NELSON DANIEL</t>
        </is>
      </c>
    </row>
    <row r="13">
      <c r="A13">
        <f>+H12</f>
        <v/>
      </c>
      <c r="B13">
        <f>TRIM(LEFT(MID(A13, FIND(",", A13) + 1, LEN(A13)), FIND(" ", TRIM(MID(A13, FIND(",", A13) + 1, LEN(A13)))))) &amp; " " &amp; LEFT(A13, FIND(" ", A13) - 1)</f>
        <v/>
      </c>
      <c r="G13" t="n">
        <v>13</v>
      </c>
      <c r="H13" t="inlineStr">
        <is>
          <t>SILVA SERVIN, EMMANUEL EZEKIEL</t>
        </is>
      </c>
    </row>
    <row r="14">
      <c r="A14">
        <f>+H13</f>
        <v/>
      </c>
      <c r="B14">
        <f>TRIM(LEFT(MID(A14, FIND(",", A14) + 1, LEN(A14)), FIND(" ", TRIM(MID(A14, FIND(",", A14) + 1, LEN(A14)))))) &amp; " " &amp; LEFT(A14, FIND(" ", A14) - 1)</f>
        <v/>
      </c>
      <c r="G14" t="n">
        <v>14</v>
      </c>
      <c r="H14" t="inlineStr">
        <is>
          <t>VILLASANTI SALDIVAR ,GENESIS ABIGAIL</t>
        </is>
      </c>
    </row>
    <row r="15">
      <c r="A15">
        <f>+H14</f>
        <v/>
      </c>
      <c r="B15">
        <f>TRIM(LEFT(MID(A15, FIND(",", A15) + 1, LEN(A15)), FIND(" ", TRIM(MID(A15, FIND(",", A15) + 1, LEN(A15)))))) &amp; " " &amp; LEFT(A15, FIND(" ", A15) - 1)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ESC.EXC. Manuel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Molinas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>TARDE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 xml:space="preserve">FORMACIÓN ETICA 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0" t="inlineStr">
        <is>
          <t>Capacidades</t>
        </is>
      </c>
      <c r="C1" s="30" t="inlineStr">
        <is>
          <t>Contenido</t>
        </is>
      </c>
      <c r="D1" s="30" t="inlineStr">
        <is>
          <t>Estrategias Didácticas</t>
        </is>
      </c>
      <c r="E1" s="30" t="inlineStr">
        <is>
          <t>Indicadores</t>
        </is>
      </c>
      <c r="F1" s="30" t="inlineStr">
        <is>
          <t>Estrategias evaluativas</t>
        </is>
      </c>
      <c r="G1" s="31" t="inlineStr">
        <is>
          <t>Recursos Didácticos</t>
        </is>
      </c>
    </row>
    <row r="2" ht="57" customHeight="1">
      <c r="A2" s="32" t="inlineStr">
        <is>
          <t>Persona y entorno</t>
        </is>
      </c>
      <c r="B2" s="32" t="inlineStr">
        <is>
          <t>Reflexiona acerca de la práctica de los principios y valores democráticos.</t>
        </is>
      </c>
      <c r="C2" s="32" t="inlineStr">
        <is>
          <t>Ética y Moral. Diferencias y moralidad social.</t>
        </is>
      </c>
      <c r="D2" s="32" t="inlineStr">
        <is>
          <t>- Responde preguntas.</t>
        </is>
      </c>
      <c r="E2" s="32" t="inlineStr">
        <is>
          <t>- Identifica principios éticos y morales.</t>
        </is>
      </c>
      <c r="F2" s="32" t="inlineStr">
        <is>
          <t>- Portafolio de trabajo.</t>
        </is>
      </c>
      <c r="G2" s="33" t="inlineStr">
        <is>
          <t>- Cuadernillo Serie Poty.</t>
        </is>
      </c>
    </row>
    <row r="3" ht="57" customHeight="1">
      <c r="A3" s="32" t="inlineStr">
        <is>
          <t>Persona y entorno</t>
        </is>
      </c>
      <c r="B3" s="32" t="inlineStr">
        <is>
          <t>Reflexiona acerca de la práctica de los principios y valores democráticos.</t>
        </is>
      </c>
      <c r="C3" s="32" t="inlineStr">
        <is>
          <t>Ética y Moral. Diferencias y moralidad social.</t>
        </is>
      </c>
      <c r="D3" s="32" t="inlineStr">
        <is>
          <t>- Establece diferencias entre ética y moral.</t>
        </is>
      </c>
      <c r="E3" s="32" t="inlineStr">
        <is>
          <t>- Diferencia moral y moralidad.</t>
        </is>
      </c>
      <c r="F3" s="32" t="inlineStr">
        <is>
          <t>- RSA con indicadores.</t>
        </is>
      </c>
      <c r="G3" s="33" t="inlineStr">
        <is>
          <t>- Cartulinas y pinceles.</t>
        </is>
      </c>
    </row>
    <row r="4" ht="42.75" customHeight="1">
      <c r="A4" s="32" t="inlineStr">
        <is>
          <t>Persona y entorno</t>
        </is>
      </c>
      <c r="B4" s="32" t="inlineStr">
        <is>
          <t>Reflexiona acerca de la práctica de los principios y valores democráticos.</t>
        </is>
      </c>
      <c r="C4" s="32" t="inlineStr">
        <is>
          <t>Ética y Moral. Diferencias y moralidad social.</t>
        </is>
      </c>
      <c r="D4" s="32" t="inlineStr">
        <is>
          <t>- Diseña carteles de concientización.</t>
        </is>
      </c>
      <c r="E4" s="32" t="n"/>
      <c r="F4" s="32" t="n"/>
      <c r="G4" s="33" t="n"/>
    </row>
    <row r="5" ht="57" customHeight="1">
      <c r="A5" s="32" t="inlineStr">
        <is>
          <t>Persona y entorno</t>
        </is>
      </c>
      <c r="B5" s="32" t="inlineStr">
        <is>
          <t>Analiza dilemas éticos contemporáneos y su impacto social.</t>
        </is>
      </c>
      <c r="C5" s="32" t="inlineStr">
        <is>
          <t>**Escándalos éticos de nuestro tiempo:** Pobreza, hambre y mortalidad infantil.</t>
        </is>
      </c>
      <c r="D5" s="32" t="inlineStr">
        <is>
          <t>- Análisis de noticias actuales.</t>
        </is>
      </c>
      <c r="E5" s="32" t="inlineStr">
        <is>
          <t>- Reconoce problemáticas éticas globales.</t>
        </is>
      </c>
      <c r="F5" s="32" t="inlineStr">
        <is>
          <t>- Registro de observación.</t>
        </is>
      </c>
      <c r="G5" s="33" t="inlineStr">
        <is>
          <t>- Material de lectura.</t>
        </is>
      </c>
    </row>
    <row r="6" ht="57" customHeight="1">
      <c r="A6" s="32" t="inlineStr">
        <is>
          <t>Persona y entorno</t>
        </is>
      </c>
      <c r="B6" s="32" t="inlineStr">
        <is>
          <t>Analiza dilemas éticos contemporáneos y su impacto social.</t>
        </is>
      </c>
      <c r="C6" s="32" t="inlineStr">
        <is>
          <t>**Escándalos éticos de nuestro tiempo:** Pobreza, hambre y mortalidad infantil.</t>
        </is>
      </c>
      <c r="D6" s="32" t="inlineStr">
        <is>
          <t>- Debate sobre déficit de agua potable.</t>
        </is>
      </c>
      <c r="E6" s="32" t="inlineStr">
        <is>
          <t>- Analiza causas de la mortalidad infantil.</t>
        </is>
      </c>
      <c r="F6" s="32" t="inlineStr">
        <is>
          <t>- Ensayos escritos.</t>
        </is>
      </c>
      <c r="G6" s="33" t="inlineStr">
        <is>
          <t>- Artículos de prensa.</t>
        </is>
      </c>
    </row>
    <row r="7" ht="28.5" customHeight="1">
      <c r="A7" s="32" t="inlineStr">
        <is>
          <t>Persona y entorno</t>
        </is>
      </c>
      <c r="B7" s="32" t="inlineStr">
        <is>
          <t>Analiza dilemas éticos contemporáneos y su impacto social.</t>
        </is>
      </c>
      <c r="C7" s="32" t="inlineStr">
        <is>
          <t>**Escándalos éticos de nuestro tiempo:** Pobreza, hambre y mortalidad infantil.</t>
        </is>
      </c>
      <c r="D7" s="32" t="inlineStr">
        <is>
          <t>- Elaboración de ensayos breves.</t>
        </is>
      </c>
      <c r="E7" s="32" t="n"/>
      <c r="F7" s="32" t="n"/>
      <c r="G7" s="33" t="n"/>
    </row>
    <row r="8" ht="71.25" customHeight="1">
      <c r="A8" s="32" t="inlineStr">
        <is>
          <t>Persona y entorno</t>
        </is>
      </c>
      <c r="B8" s="32" t="inlineStr">
        <is>
          <t>Comprende la importancia de la convivencia armónica en el ámbito escolar.</t>
        </is>
      </c>
      <c r="C8" s="32" t="inlineStr">
        <is>
          <t>**Acuerdos de relacionamiento:** Código de convivencia docente-estudiante.</t>
        </is>
      </c>
      <c r="D8" s="32" t="inlineStr">
        <is>
          <t>- Lluvia de ideas sobre normas.</t>
        </is>
      </c>
      <c r="E8" s="32" t="inlineStr">
        <is>
          <t>- Valora el código de convivencia.</t>
        </is>
      </c>
      <c r="F8" s="32" t="inlineStr">
        <is>
          <t>- Participación activa.</t>
        </is>
      </c>
      <c r="G8" s="33" t="inlineStr">
        <is>
          <t>- Papelógrafos.</t>
        </is>
      </c>
    </row>
    <row r="9" ht="28.5" customHeight="1">
      <c r="A9" s="32" t="inlineStr">
        <is>
          <t>Persona y entorno</t>
        </is>
      </c>
      <c r="B9" s="32" t="inlineStr">
        <is>
          <t>Comprende la importancia de la convivencia armónica en el ámbito escolar.</t>
        </is>
      </c>
      <c r="C9" s="32" t="inlineStr">
        <is>
          <t>**Acuerdos de relacionamiento:** Código de convivencia docente-estudiante.</t>
        </is>
      </c>
      <c r="D9" s="32" t="inlineStr">
        <is>
          <t>- Redacción participativa de acuerdos de aula.</t>
        </is>
      </c>
      <c r="E9" s="32" t="inlineStr">
        <is>
          <t>- Propone normas de respeto mutuo.</t>
        </is>
      </c>
      <c r="F9" s="32" t="inlineStr">
        <is>
          <t>- Documento de acuerdos.</t>
        </is>
      </c>
      <c r="G9" s="33" t="inlineStr">
        <is>
          <t>- Marcadores.</t>
        </is>
      </c>
    </row>
    <row r="10" ht="57" customHeight="1">
      <c r="A10" s="32" t="inlineStr">
        <is>
          <t>Persona y entorno</t>
        </is>
      </c>
      <c r="B10" s="32" t="inlineStr">
        <is>
          <t>Identifica situaciones de acoso escolar y propone medidas de prevención.</t>
        </is>
      </c>
      <c r="C10" s="32" t="inlineStr">
        <is>
          <t>Bullying: Concepto, tipos, causas y consecuencias.</t>
        </is>
      </c>
      <c r="D10" s="32" t="inlineStr">
        <is>
          <t>(Abordaje &gt; 2 horas)</t>
        </is>
      </c>
      <c r="E10" s="32" t="inlineStr">
        <is>
          <t>- Define tipos de bullying.</t>
        </is>
      </c>
      <c r="F10" s="32" t="inlineStr">
        <is>
          <t>- Guía de trabajo grupal.</t>
        </is>
      </c>
      <c r="G10" s="33" t="inlineStr">
        <is>
          <t>- Proyector / Videos.</t>
        </is>
      </c>
    </row>
    <row r="11" ht="60" customHeight="1">
      <c r="A11" s="34" t="inlineStr">
        <is>
          <t>Persona y entorno</t>
        </is>
      </c>
      <c r="B11" s="35" t="inlineStr">
        <is>
          <t>Identifica situaciones de acoso escolar y propone medidas de prevención.</t>
        </is>
      </c>
      <c r="C11" s="35" t="inlineStr">
        <is>
          <t>Bullying: Concepto, tipos, causas y consecuencias.</t>
        </is>
      </c>
      <c r="D11" s="35" t="inlineStr">
        <is>
          <t>- Cine debate sobre casos reales.</t>
        </is>
      </c>
      <c r="E11" s="35" t="inlineStr">
        <is>
          <t>- Identifica consecuencias psicológicas.</t>
        </is>
      </c>
      <c r="F11" s="35" t="n"/>
      <c r="G11" s="35" t="n"/>
    </row>
    <row r="12" ht="60" customHeight="1">
      <c r="A12" s="34" t="inlineStr">
        <is>
          <t>Persona y entorno</t>
        </is>
      </c>
      <c r="B12" s="35" t="inlineStr">
        <is>
          <t>Identifica situaciones de acoso escolar y propone medidas de prevención.</t>
        </is>
      </c>
      <c r="C12" s="35" t="inlineStr">
        <is>
          <t>Bullying: Concepto, tipos, causas y consecuencias.</t>
        </is>
      </c>
      <c r="D12" s="35" t="inlineStr">
        <is>
          <t>- Talleres de rol (agresor/víctima).</t>
        </is>
      </c>
      <c r="E12" s="35" t="inlineStr">
        <is>
          <t>- Propone acciones de prevención.</t>
        </is>
      </c>
      <c r="F12" s="35" t="inlineStr">
        <is>
          <t>- RSA.</t>
        </is>
      </c>
      <c r="G12" s="35" t="inlineStr">
        <is>
          <t>- Fichas de casos.</t>
        </is>
      </c>
    </row>
    <row r="13" ht="60" customHeight="1">
      <c r="A13" s="34" t="inlineStr">
        <is>
          <t>Persona y entorno</t>
        </is>
      </c>
      <c r="B13" s="35" t="inlineStr">
        <is>
          <t>Identifica situaciones de acoso escolar y propone medidas de prevención.</t>
        </is>
      </c>
      <c r="C13" s="35" t="inlineStr">
        <is>
          <t>Bullying: Concepto, tipos, causas y consecuencias.</t>
        </is>
      </c>
      <c r="D13" s="35" t="inlineStr">
        <is>
          <t>- Elaboración de protocolos de ayuda.</t>
        </is>
      </c>
      <c r="E13" s="35" t="n"/>
      <c r="F13" s="35" t="n"/>
      <c r="G13" s="35" t="n"/>
    </row>
    <row r="14" ht="60" customHeight="1">
      <c r="A14" s="34" t="inlineStr">
        <is>
          <t>Persona y entorno</t>
        </is>
      </c>
      <c r="B14" s="35" t="inlineStr">
        <is>
          <t>Aplica técnicas básicas de resolución de conflictos en situaciones cotidianas.</t>
        </is>
      </c>
      <c r="C14" s="35" t="inlineStr">
        <is>
          <t>Mediación, Negociación y Confrontación.</t>
        </is>
      </c>
      <c r="D14" s="35" t="inlineStr">
        <is>
          <t>(Abordaje &gt; 2 horas)</t>
        </is>
      </c>
      <c r="E14" s="35" t="inlineStr">
        <is>
          <t>- Diferencia mediación de negociación.</t>
        </is>
      </c>
      <c r="F14" s="35" t="inlineStr">
        <is>
          <t>- Evaluación de desempeño (Role-play).</t>
        </is>
      </c>
      <c r="G14" s="35" t="inlineStr">
        <is>
          <t>- Guiones de casos.</t>
        </is>
      </c>
    </row>
    <row r="15" ht="60" customHeight="1">
      <c r="A15" s="34" t="inlineStr">
        <is>
          <t>Persona y entorno</t>
        </is>
      </c>
      <c r="B15" s="35" t="inlineStr">
        <is>
          <t>Aplica técnicas básicas de resolución de conflictos en situaciones cotidianas.</t>
        </is>
      </c>
      <c r="C15" s="35" t="inlineStr">
        <is>
          <t>Mediación, Negociación y Confrontación.</t>
        </is>
      </c>
      <c r="D15" s="35" t="inlineStr">
        <is>
          <t>- Simulacros de mediación escolar.</t>
        </is>
      </c>
      <c r="E15" s="35" t="n"/>
      <c r="F15" s="35" t="n"/>
      <c r="G15" s="35" t="n"/>
    </row>
    <row r="16" ht="60" customHeight="1">
      <c r="A16" s="34" t="inlineStr">
        <is>
          <t>Persona y entorno</t>
        </is>
      </c>
      <c r="B16" s="35" t="inlineStr">
        <is>
          <t>Aplica técnicas básicas de resolución de conflictos en situaciones cotidianas.</t>
        </is>
      </c>
      <c r="C16" s="35" t="inlineStr">
        <is>
          <t>Mediación, Negociación y Confrontación.</t>
        </is>
      </c>
      <c r="D16" s="35" t="inlineStr">
        <is>
          <t>- Ejercicios de comunicación asertiva.</t>
        </is>
      </c>
      <c r="E16" s="35" t="inlineStr">
        <is>
          <t>- Aplica pasos de la negociación asertiva.</t>
        </is>
      </c>
      <c r="F16" s="35" t="n"/>
      <c r="G16" s="35" t="inlineStr">
        <is>
          <t>- Pizarra.</t>
        </is>
      </c>
    </row>
    <row r="17" ht="60" customHeight="1">
      <c r="A17" s="34" t="inlineStr">
        <is>
          <t>Persona y entorno</t>
        </is>
      </c>
      <c r="B17" s="35" t="inlineStr">
        <is>
          <t>Aplica técnicas básicas de resolución de conflictos en situaciones cotidianas.</t>
        </is>
      </c>
      <c r="C17" s="35" t="inlineStr">
        <is>
          <t>Mediación, Negociación y Confrontación.</t>
        </is>
      </c>
      <c r="D17" s="35" t="inlineStr">
        <is>
          <t>- Análisis de casos de conflicto.</t>
        </is>
      </c>
      <c r="E17" s="35" t="n"/>
      <c r="F17" s="35" t="n"/>
      <c r="G17" s="35" t="n"/>
    </row>
    <row r="18" ht="45" customHeight="1">
      <c r="A18" s="36" t="inlineStr">
        <is>
          <t>La Familia</t>
        </is>
      </c>
      <c r="B18" s="37" t="inlineStr">
        <is>
          <t>Analiza la situación socioeconómica de las familias paraguayas.</t>
        </is>
      </c>
      <c r="C18" s="37" t="inlineStr">
        <is>
          <t>Pobreza y Canasta Básica Familiar.</t>
        </is>
      </c>
      <c r="D18" s="37" t="inlineStr">
        <is>
          <t>- Investigación de precios actuales.</t>
        </is>
      </c>
      <c r="E18" s="37" t="inlineStr">
        <is>
          <t>- Define el concepto de canasta básica.</t>
        </is>
      </c>
      <c r="F18" s="37" t="inlineStr">
        <is>
          <t>- Informe de investigación.</t>
        </is>
      </c>
      <c r="G18" s="37" t="inlineStr">
        <is>
          <t>- Datos estadísticos.</t>
        </is>
      </c>
    </row>
    <row r="19" ht="45" customHeight="1">
      <c r="A19" s="36" t="inlineStr">
        <is>
          <t>La Familia</t>
        </is>
      </c>
      <c r="B19" s="37" t="inlineStr">
        <is>
          <t>Analiza la situación socioeconómica de las familias paraguayas.</t>
        </is>
      </c>
      <c r="C19" s="37" t="inlineStr">
        <is>
          <t>Pobreza y Canasta Básica Familiar.</t>
        </is>
      </c>
      <c r="D19" s="37" t="inlineStr">
        <is>
          <t>- Comparación de ingresos y costos básicos.</t>
        </is>
      </c>
      <c r="E19" s="37" t="inlineStr">
        <is>
          <t>- Analiza el impacto de la pobreza.</t>
        </is>
      </c>
      <c r="F19" s="37" t="inlineStr">
        <is>
          <t>- Cuadro comparativo.</t>
        </is>
      </c>
      <c r="G19" s="37" t="inlineStr">
        <is>
          <t>- Calculadora.</t>
        </is>
      </c>
    </row>
    <row r="20" ht="45" customHeight="1">
      <c r="A20" s="36" t="inlineStr">
        <is>
          <t>La Familia</t>
        </is>
      </c>
      <c r="B20" s="37" t="inlineStr">
        <is>
          <t>Reconoce factores que inciden en la violencia intrafamiliar.</t>
        </is>
      </c>
      <c r="C20" s="37" t="inlineStr">
        <is>
          <t>Violencia Intrafamiliar: Causas y prevención.</t>
        </is>
      </c>
      <c r="D20" s="37" t="inlineStr">
        <is>
          <t>(Abordaje &gt; 2 horas)</t>
        </is>
      </c>
      <c r="E20" s="37" t="inlineStr">
        <is>
          <t>- Identifica tipos de violencia familiar.</t>
        </is>
      </c>
      <c r="F20" s="37" t="inlineStr">
        <is>
          <t>- Cuestionario reflexivo.</t>
        </is>
      </c>
      <c r="G20" s="37" t="inlineStr">
        <is>
          <t>- Trípticos informativos.</t>
        </is>
      </c>
    </row>
    <row r="21" ht="45" customHeight="1">
      <c r="A21" s="36" t="inlineStr">
        <is>
          <t>La Familia</t>
        </is>
      </c>
      <c r="B21" s="37" t="inlineStr">
        <is>
          <t>Reconoce factores que inciden en la violencia intrafamiliar.</t>
        </is>
      </c>
      <c r="C21" s="37" t="inlineStr">
        <is>
          <t>Violencia Intrafamiliar: Causas y prevención.</t>
        </is>
      </c>
      <c r="D21" s="37" t="inlineStr">
        <is>
          <t>- Charla con especialistas o videos informativos.</t>
        </is>
      </c>
      <c r="E21" s="37" t="inlineStr">
        <is>
          <t>- Conoce rutas de denuncia en Paraguay.</t>
        </is>
      </c>
      <c r="F21" s="37" t="inlineStr">
        <is>
          <t>- RSA.</t>
        </is>
      </c>
      <c r="G21" s="37" t="inlineStr">
        <is>
          <t>- Proyector.</t>
        </is>
      </c>
    </row>
    <row r="22" ht="45" customHeight="1">
      <c r="A22" s="36" t="inlineStr">
        <is>
          <t>La Familia</t>
        </is>
      </c>
      <c r="B22" s="37" t="inlineStr">
        <is>
          <t>Reconoce factores que inciden en la violencia intrafamiliar.</t>
        </is>
      </c>
      <c r="C22" s="37" t="inlineStr">
        <is>
          <t>Violencia Intrafamiliar: Causas y prevención.</t>
        </is>
      </c>
      <c r="D22" s="37" t="inlineStr">
        <is>
          <t>- Análisis de la Ley contra violencia doméstica.</t>
        </is>
      </c>
      <c r="E22" s="37" t="n"/>
      <c r="F22" s="37" t="n"/>
      <c r="G22" s="37" t="n"/>
    </row>
    <row r="23" ht="45" customHeight="1">
      <c r="A23" s="36" t="inlineStr">
        <is>
          <t>La Familia</t>
        </is>
      </c>
      <c r="B23" s="37" t="inlineStr">
        <is>
          <t>Reconoce factores que inciden en la violencia intrafamiliar.</t>
        </is>
      </c>
      <c r="C23" s="37" t="inlineStr">
        <is>
          <t>Violencia Intrafamiliar: Causas y prevención.</t>
        </is>
      </c>
      <c r="D23" s="37" t="inlineStr">
        <is>
          <t>- Mapa de instituciones de denuncia.</t>
        </is>
      </c>
      <c r="E23" s="37" t="n"/>
      <c r="F23" s="37" t="n"/>
      <c r="G23" s="37" t="n"/>
    </row>
    <row r="24" ht="60" customHeight="1">
      <c r="A24" s="34" t="inlineStr">
        <is>
          <t>Derechos Humanos</t>
        </is>
      </c>
      <c r="B24" s="35" t="inlineStr">
        <is>
          <t>Reconoce los principios básicos que rigen los Derechos Humanos.</t>
        </is>
      </c>
      <c r="C24" s="35" t="inlineStr">
        <is>
          <t>Principios de los DD.HH.: Universalidad, progresividad e irreversibilidad.</t>
        </is>
      </c>
      <c r="D24" s="35" t="inlineStr">
        <is>
          <t>(Abordaje &gt; 2 horas)</t>
        </is>
      </c>
      <c r="E24" s="35" t="inlineStr">
        <is>
          <t>- Explica la universalidad de los derechos.</t>
        </is>
      </c>
      <c r="F24" s="35" t="inlineStr">
        <is>
          <t>- Mapa conceptual.</t>
        </is>
      </c>
      <c r="G24" s="35" t="inlineStr">
        <is>
          <t>- Constitución Nacional.</t>
        </is>
      </c>
    </row>
    <row r="25" ht="60" customHeight="1">
      <c r="A25" s="34" t="inlineStr">
        <is>
          <t>Derechos Humanos</t>
        </is>
      </c>
      <c r="B25" s="35" t="inlineStr">
        <is>
          <t>Reconoce los principios básicos que rigen los Derechos Humanos.</t>
        </is>
      </c>
      <c r="C25" s="35" t="inlineStr">
        <is>
          <t>Principios de los DD.HH.: Universalidad, progresividad e irreversibilidad.</t>
        </is>
      </c>
      <c r="D25" s="35" t="inlineStr">
        <is>
          <t>- Lectura comprensiva de la Declaración Universal.</t>
        </is>
      </c>
      <c r="E25" s="35" t="n"/>
      <c r="F25" s="35" t="n"/>
      <c r="G25" s="35" t="n"/>
    </row>
    <row r="26" ht="60" customHeight="1">
      <c r="A26" s="34" t="inlineStr">
        <is>
          <t>Derechos Humanos</t>
        </is>
      </c>
      <c r="B26" s="35" t="inlineStr">
        <is>
          <t>Reconoce los principios básicos que rigen los Derechos Humanos.</t>
        </is>
      </c>
      <c r="C26" s="35" t="inlineStr">
        <is>
          <t>Principios de los DD.HH.: Universalidad, progresividad e irreversibilidad.</t>
        </is>
      </c>
      <c r="D26" s="35" t="inlineStr">
        <is>
          <t>- Análisis de casos históricos.</t>
        </is>
      </c>
      <c r="E26" s="35" t="inlineStr">
        <is>
          <t>- Distingue progresividad de irreversibilidad.</t>
        </is>
      </c>
      <c r="F26" s="35" t="inlineStr">
        <is>
          <t>- Prueba escrita formativa.</t>
        </is>
      </c>
      <c r="G26" s="35" t="inlineStr">
        <is>
          <t>- Textos guía.</t>
        </is>
      </c>
    </row>
    <row r="27" ht="60" customHeight="1">
      <c r="A27" s="34" t="inlineStr">
        <is>
          <t>Derechos Humanos</t>
        </is>
      </c>
      <c r="B27" s="35" t="inlineStr">
        <is>
          <t>Reconoce los principios básicos que rigen los Derechos Humanos.</t>
        </is>
      </c>
      <c r="C27" s="35" t="inlineStr">
        <is>
          <t>Principios de los DD.HH.: Universalidad, progresividad e irreversibilidad.</t>
        </is>
      </c>
      <c r="D27" s="35" t="inlineStr">
        <is>
          <t>- Debate sobre la temporalidad de los derechos.</t>
        </is>
      </c>
      <c r="E27" s="35" t="n"/>
      <c r="F27" s="35" t="n"/>
      <c r="G27" s="35" t="n"/>
    </row>
    <row r="28" ht="60" customHeight="1">
      <c r="A28" s="34" t="inlineStr">
        <is>
          <t>Derechos Humanos</t>
        </is>
      </c>
      <c r="B28" s="35" t="inlineStr">
        <is>
          <t>Analiza situaciones de vulneración de derechos en la niñez y adolescencia.</t>
        </is>
      </c>
      <c r="C28" s="35" t="inlineStr">
        <is>
          <t>**Causas de explotación:** Sexual, laboral y trabajos forzados.</t>
        </is>
      </c>
      <c r="D28" s="35" t="inlineStr">
        <is>
          <t>- Análisis de estadísticas nacionales.</t>
        </is>
      </c>
      <c r="E28" s="35" t="inlineStr">
        <is>
          <t>- Reconoce formas de explotación infantil.</t>
        </is>
      </c>
      <c r="F28" s="35" t="inlineStr">
        <is>
          <t>- Murales preventivos.</t>
        </is>
      </c>
      <c r="G28" s="35" t="inlineStr">
        <is>
          <t>- Afiches.</t>
        </is>
      </c>
    </row>
    <row r="29" ht="60" customHeight="1">
      <c r="A29" s="34" t="inlineStr">
        <is>
          <t>Derechos Humanos</t>
        </is>
      </c>
      <c r="B29" s="35" t="inlineStr">
        <is>
          <t>Analiza situaciones de vulneración de derechos en la niñez y adolescencia.</t>
        </is>
      </c>
      <c r="C29" s="35" t="inlineStr">
        <is>
          <t>**Causas de explotación:** Sexual, laboral y trabajos forzados.</t>
        </is>
      </c>
      <c r="D29" s="35" t="inlineStr">
        <is>
          <t>- Identificación de señales de riesgo.</t>
        </is>
      </c>
      <c r="E29" s="35" t="inlineStr">
        <is>
          <t>- Valora la protección contra el trabajo forzado.</t>
        </is>
      </c>
      <c r="F29" s="35" t="inlineStr">
        <is>
          <t>- Portafolio.</t>
        </is>
      </c>
      <c r="G29" s="35" t="inlineStr">
        <is>
          <t>- Material audiovisual.</t>
        </is>
      </c>
    </row>
    <row r="30" ht="60" customHeight="1">
      <c r="A30" s="34" t="inlineStr">
        <is>
          <t>Derechos Humanos</t>
        </is>
      </c>
      <c r="B30" s="35" t="inlineStr">
        <is>
          <t>Analiza situaciones de vulneración de derechos en la niñez y adolescencia.</t>
        </is>
      </c>
      <c r="C30" s="35" t="inlineStr">
        <is>
          <t>**Causas de explotación:** Sexual, laboral y trabajos forzados.</t>
        </is>
      </c>
      <c r="D30" s="35" t="inlineStr">
        <is>
          <t>- Elaboración de campañas preventivas.</t>
        </is>
      </c>
      <c r="E30" s="35" t="n"/>
      <c r="F30" s="35" t="n"/>
      <c r="G30" s="35" t="n"/>
    </row>
    <row r="31" ht="45" customHeight="1">
      <c r="A31" s="36" t="inlineStr">
        <is>
          <t>Democracia y Estado</t>
        </is>
      </c>
      <c r="B31" s="37" t="inlineStr">
        <is>
          <t>Analiza la situación de la mujer en la estructura social actual.</t>
        </is>
      </c>
      <c r="C31" s="37" t="inlineStr">
        <is>
          <t>**Pobreza, desigualdad y exclusión a la mujer.**</t>
        </is>
      </c>
      <c r="D31" s="37" t="inlineStr">
        <is>
          <t>- Debate sobre brecha salarial y acceso a educación.</t>
        </is>
      </c>
      <c r="E31" s="37" t="inlineStr">
        <is>
          <t>- Identifica factores de exclusión femenina.</t>
        </is>
      </c>
      <c r="F31" s="37" t="inlineStr">
        <is>
          <t>- RSA.</t>
        </is>
      </c>
      <c r="G31" s="37" t="inlineStr">
        <is>
          <t>- Material de lectura.</t>
        </is>
      </c>
    </row>
    <row r="32" ht="45" customHeight="1">
      <c r="A32" s="36" t="inlineStr">
        <is>
          <t>Democracia y Estado</t>
        </is>
      </c>
      <c r="B32" s="37" t="inlineStr">
        <is>
          <t>Analiza la situación de la mujer en la estructura social actual.</t>
        </is>
      </c>
      <c r="C32" s="37" t="inlineStr">
        <is>
          <t>**Pobreza, desigualdad y exclusión a la mujer.**</t>
        </is>
      </c>
      <c r="D32" s="37" t="inlineStr">
        <is>
          <t>- Biografías de mujeres líderes en Paraguay.</t>
        </is>
      </c>
      <c r="E32" s="37" t="inlineStr">
        <is>
          <t>- Propone acciones para la igualdad.</t>
        </is>
      </c>
      <c r="F32" s="37" t="inlineStr">
        <is>
          <t>- Debate dirigido.</t>
        </is>
      </c>
      <c r="G32" s="37" t="inlineStr">
        <is>
          <t>- Artículos de género.</t>
        </is>
      </c>
    </row>
    <row r="33" ht="60" customHeight="1">
      <c r="A33" s="36" t="inlineStr">
        <is>
          <t>Democracia y Estado</t>
        </is>
      </c>
      <c r="B33" s="37" t="inlineStr">
        <is>
          <t>Analiza el Sistema Tributario en función al fortalecimiento institucional.</t>
        </is>
      </c>
      <c r="C33" s="37" t="inlineStr">
        <is>
          <t>Sistema Tributario y funciones de la S.E.T.</t>
        </is>
      </c>
      <c r="D33" s="37" t="inlineStr">
        <is>
          <t>(Abordaje &gt; 2 horas)</t>
        </is>
      </c>
      <c r="E33" s="37" t="inlineStr">
        <is>
          <t>- Identifica la función tributaria.</t>
        </is>
      </c>
      <c r="F33" s="37" t="inlineStr">
        <is>
          <t>- Ejercicios prácticos.</t>
        </is>
      </c>
      <c r="G33" s="37" t="inlineStr">
        <is>
          <t>- Formularios de práctica.</t>
        </is>
      </c>
    </row>
    <row r="34" ht="60" customHeight="1">
      <c r="A34" s="36" t="inlineStr">
        <is>
          <t>Democracia y Estado</t>
        </is>
      </c>
      <c r="B34" s="37" t="inlineStr">
        <is>
          <t>Analiza el Sistema Tributario en función al fortalecimiento institucional.</t>
        </is>
      </c>
      <c r="C34" s="37" t="inlineStr">
        <is>
          <t>Sistema Tributario y funciones de la S.E.T.</t>
        </is>
      </c>
      <c r="D34" s="37" t="inlineStr">
        <is>
          <t>- Taller sobre el IVA y su importancia social.</t>
        </is>
      </c>
      <c r="E34" s="37" t="n"/>
      <c r="F34" s="37" t="n"/>
      <c r="G34" s="37" t="n"/>
    </row>
    <row r="35" ht="60" customHeight="1">
      <c r="A35" s="36" t="inlineStr">
        <is>
          <t>Democracia y Estado</t>
        </is>
      </c>
      <c r="B35" s="37" t="inlineStr">
        <is>
          <t>Analiza el Sistema Tributario en función al fortalecimiento institucional.</t>
        </is>
      </c>
      <c r="C35" s="37" t="inlineStr">
        <is>
          <t>Sistema Tributario y funciones de la S.E.T.</t>
        </is>
      </c>
      <c r="D35" s="37" t="inlineStr">
        <is>
          <t>- Visita virtual o análisis de la página de la SET.</t>
        </is>
      </c>
      <c r="E35" s="37" t="inlineStr">
        <is>
          <t>- Valora la función social de los tributos.</t>
        </is>
      </c>
      <c r="F35" s="37" t="inlineStr">
        <is>
          <t>- Portafolio.</t>
        </is>
      </c>
      <c r="G35" s="37" t="inlineStr">
        <is>
          <t>- Internet.</t>
        </is>
      </c>
    </row>
    <row r="36" ht="60" customHeight="1">
      <c r="A36" s="36" t="inlineStr">
        <is>
          <t>Democracia y Estado</t>
        </is>
      </c>
      <c r="B36" s="37" t="inlineStr">
        <is>
          <t>Analiza el Sistema Tributario en función al fortalecimiento institucional.</t>
        </is>
      </c>
      <c r="C36" s="37" t="inlineStr">
        <is>
          <t>Sistema Tributario y funciones de la S.E.T.</t>
        </is>
      </c>
      <c r="D36" s="37" t="inlineStr">
        <is>
          <t>- Ejercicios de cálculo básico de impuestos.</t>
        </is>
      </c>
      <c r="E36" s="37" t="n"/>
      <c r="F36" s="37" t="n"/>
      <c r="G36" s="37" t="n"/>
    </row>
    <row r="37" ht="60" customHeight="1">
      <c r="A37" s="36" t="inlineStr">
        <is>
          <t>Democracia y Estado</t>
        </is>
      </c>
      <c r="B37" s="37" t="inlineStr">
        <is>
          <t>Analiza la estructura y funciones de los organismos del Estado.</t>
        </is>
      </c>
      <c r="C37" s="37" t="inlineStr">
        <is>
          <t>Ministerio de Hacienda y Autoridades Locales (Intendencias/Gobernaciones).</t>
        </is>
      </c>
      <c r="D37" s="37" t="inlineStr">
        <is>
          <t>- Elaboración de organigrama del Estado.</t>
        </is>
      </c>
      <c r="E37" s="37" t="inlineStr">
        <is>
          <t>- Reconoce funciones del Ministerio de Hacienda.</t>
        </is>
      </c>
      <c r="F37" s="37" t="inlineStr">
        <is>
          <t>- Mapa conceptual.</t>
        </is>
      </c>
      <c r="G37" s="37" t="inlineStr">
        <is>
          <t>- Organigrama estatal.</t>
        </is>
      </c>
    </row>
    <row r="38" ht="60" customHeight="1">
      <c r="A38" s="36" t="inlineStr">
        <is>
          <t>Democracia y Estado</t>
        </is>
      </c>
      <c r="B38" s="37" t="inlineStr">
        <is>
          <t>Analiza la estructura y funciones de los organismos del Estado.</t>
        </is>
      </c>
      <c r="C38" s="37" t="inlineStr">
        <is>
          <t>Ministerio de Hacienda y Autoridades Locales (Intendencias/Gobernaciones).</t>
        </is>
      </c>
      <c r="D38" s="37" t="inlineStr">
        <is>
          <t>- Investigación sobre funciones municipales.</t>
        </is>
      </c>
      <c r="E38" s="37" t="inlineStr">
        <is>
          <t>- Diferencia roles de Intendentes y Gobernadores.</t>
        </is>
      </c>
      <c r="F38" s="37" t="inlineStr">
        <is>
          <t>- RSA.</t>
        </is>
      </c>
      <c r="G38" s="37" t="inlineStr">
        <is>
          <t>- Páginas web oficiales.</t>
        </is>
      </c>
    </row>
    <row r="39" ht="60" customHeight="1">
      <c r="A39" s="36" t="inlineStr">
        <is>
          <t>Democracia y Estado</t>
        </is>
      </c>
      <c r="B39" s="37" t="inlineStr">
        <is>
          <t>Analiza la estructura y funciones de los organismos del Estado.</t>
        </is>
      </c>
      <c r="C39" s="37" t="inlineStr">
        <is>
          <t>Ministerio de Hacienda y Autoridades Locales (Intendencias/Gobernaciones).</t>
        </is>
      </c>
      <c r="D39" s="37" t="inlineStr">
        <is>
          <t>- Entrevista a autoridades o análisis de gestión.</t>
        </is>
      </c>
      <c r="E39" s="37" t="n"/>
      <c r="F39" s="37" t="n"/>
      <c r="G39" s="3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0.85546875" customWidth="1" min="1" max="1"/>
    <col width="14.28515625" customWidth="1" min="2" max="2"/>
    <col width="35.140625" customWidth="1" min="3" max="3"/>
    <col width="21.42578125" customWidth="1" min="4" max="4"/>
    <col width="29.140625" customWidth="1" min="5" max="5"/>
    <col width="26.7109375" customWidth="1" min="7" max="7"/>
    <col width="11.28515625" customWidth="1" min="8" max="8"/>
  </cols>
  <sheetData>
    <row r="1" ht="18" customHeight="1">
      <c r="B1" s="38" t="inlineStr">
        <is>
          <t>PLANILLA DE EJECUCIÓN DE CLASES</t>
        </is>
      </c>
      <c r="C1" s="39" t="n"/>
      <c r="D1" s="40" t="n"/>
      <c r="E1" t="n">
        <v>2026</v>
      </c>
    </row>
    <row r="2" ht="18.75" customHeight="1">
      <c r="B2" s="41" t="n"/>
      <c r="C2" s="42" t="inlineStr">
        <is>
          <t>Plan de Clases</t>
        </is>
      </c>
      <c r="D2" s="41" t="inlineStr">
        <is>
          <t>ESTADO</t>
        </is>
      </c>
      <c r="E2" s="41" t="inlineStr">
        <is>
          <t xml:space="preserve">Ejecutado </t>
        </is>
      </c>
    </row>
    <row r="3" ht="29.25" customHeight="1">
      <c r="A3" s="43">
        <f>+B3</f>
        <v/>
      </c>
      <c r="B3" s="44" t="n">
        <v>46079</v>
      </c>
      <c r="C3" s="45" t="n"/>
      <c r="D3" s="46">
        <f>IFERROR(VLOOKUP(B3, fechaMEC, 3, FALSE), "Clase Normal")</f>
        <v/>
      </c>
      <c r="E3" s="46">
        <f>IFERROR(VLOOKUP(B3, fechaMEC, 2, FALSE), "Ejecutado")</f>
        <v/>
      </c>
    </row>
    <row r="4">
      <c r="A4" s="43">
        <f>+B4</f>
        <v/>
      </c>
      <c r="B4" s="44" t="n">
        <v>46086</v>
      </c>
      <c r="C4" s="45" t="inlineStr">
        <is>
          <t xml:space="preserve">Dinamica -concepto de etica y moral </t>
        </is>
      </c>
      <c r="D4" s="46">
        <f>IFERROR(VLOOKUP(B4, fechaMEC, 3, FALSE), "Clase Normal")</f>
        <v/>
      </c>
      <c r="E4" s="46">
        <f>IFERROR(VLOOKUP(B4, fechaMEC, 2, FALSE), "Ejecutado")</f>
        <v/>
      </c>
    </row>
    <row r="5">
      <c r="A5" s="43">
        <f>+B5</f>
        <v/>
      </c>
      <c r="B5" s="44" t="n">
        <v>46093</v>
      </c>
      <c r="C5" s="45" t="inlineStr">
        <is>
          <t xml:space="preserve">concepto de etica y moral </t>
        </is>
      </c>
      <c r="D5" s="46">
        <f>IFERROR(VLOOKUP(B5, fechaMEC, 3, FALSE), "Clase Normal")</f>
        <v/>
      </c>
      <c r="E5" s="46">
        <f>IFERROR(VLOOKUP(B5, fechaMEC, 2, FALSE), "Ejecutado")</f>
        <v/>
      </c>
    </row>
    <row r="6">
      <c r="A6" s="43">
        <f>+B6</f>
        <v/>
      </c>
      <c r="B6" s="44" t="n">
        <v>46100</v>
      </c>
      <c r="C6" s="45" t="inlineStr">
        <is>
          <t xml:space="preserve">concepto de etica y moral </t>
        </is>
      </c>
      <c r="D6" s="46">
        <f>IFERROR(VLOOKUP(B6, fechaMEC, 3, FALSE), "Clase Normal")</f>
        <v/>
      </c>
      <c r="E6" s="46">
        <f>IFERROR(VLOOKUP(B6, fechaMEC, 2, FALSE), "Ejecutado")</f>
        <v/>
      </c>
    </row>
    <row r="7">
      <c r="A7" s="43">
        <f>+B7</f>
        <v/>
      </c>
      <c r="B7" s="44" t="n">
        <v>46107</v>
      </c>
      <c r="C7" s="45" t="inlineStr">
        <is>
          <t>Moralidad y normas morales</t>
        </is>
      </c>
      <c r="D7" s="46">
        <f>IFERROR(VLOOKUP(B7, fechaMEC, 3, FALSE), "Clase Normal")</f>
        <v/>
      </c>
      <c r="E7" s="46">
        <f>IFERROR(VLOOKUP(B7, fechaMEC, 2, FALSE), "Ejecutado")</f>
        <v/>
      </c>
    </row>
    <row r="8">
      <c r="A8" s="43">
        <f>+B8</f>
        <v/>
      </c>
      <c r="B8" s="44" t="n">
        <v>46114</v>
      </c>
      <c r="C8" s="47" t="n"/>
      <c r="D8" s="46">
        <f>IFERROR(VLOOKUP(B8, fechaMEC, 3, FALSE), "Clase Normal")</f>
        <v/>
      </c>
      <c r="E8" s="46">
        <f>IFERROR(VLOOKUP(B8, fechaMEC, 2, FALSE), "Ejecutado")</f>
        <v/>
      </c>
    </row>
    <row r="9">
      <c r="A9" s="43">
        <f>+B9</f>
        <v/>
      </c>
      <c r="B9" s="44" t="n">
        <v>46121</v>
      </c>
      <c r="C9" s="48" t="inlineStr">
        <is>
          <t>Moralidad y normas morales</t>
        </is>
      </c>
      <c r="D9" s="46">
        <f>IFERROR(VLOOKUP(B9, fechaMEC, 3, FALSE), "Clase Normal")</f>
        <v/>
      </c>
      <c r="E9" s="46">
        <f>IFERROR(VLOOKUP(B9, fechaMEC, 2, FALSE), "Ejecutado")</f>
        <v/>
      </c>
    </row>
    <row r="10">
      <c r="A10" s="43">
        <f>+B10</f>
        <v/>
      </c>
      <c r="B10" s="44" t="n">
        <v>46128</v>
      </c>
      <c r="C10" s="48" t="n"/>
      <c r="D10" s="46">
        <f>IFERROR(VLOOKUP(B10, fechaMEC, 3, FALSE), "Clase Normal")</f>
        <v/>
      </c>
      <c r="E10" s="46">
        <f>IFERROR(VLOOKUP(B10, fechaMEC, 2, FALSE), "Ejecutado")</f>
        <v/>
      </c>
    </row>
    <row r="11">
      <c r="A11" s="43">
        <f>+B11</f>
        <v/>
      </c>
      <c r="B11" s="44" t="n">
        <v>46135</v>
      </c>
      <c r="C11" s="48" t="n"/>
      <c r="D11" s="46">
        <f>IFERROR(VLOOKUP(B11, fechaMEC, 3, FALSE), "Clase Normal")</f>
        <v/>
      </c>
      <c r="E11" s="46" t="n"/>
    </row>
    <row r="12" ht="29.25" customHeight="1">
      <c r="A12" s="43">
        <f>+B12</f>
        <v/>
      </c>
      <c r="B12" s="44" t="n">
        <v>46142</v>
      </c>
      <c r="C12" s="49" t="n"/>
      <c r="D12" s="46">
        <f>IFERROR(VLOOKUP(B12, fechaMEC, 3, FALSE), "Clase Normal")</f>
        <v/>
      </c>
      <c r="E12" s="50">
        <f>IFERROR(VLOOKUP(B12, fechaMEC, 2, FALSE), "Ejecutado")</f>
        <v/>
      </c>
    </row>
    <row r="13">
      <c r="A13" s="43">
        <f>+B13</f>
        <v/>
      </c>
      <c r="B13" s="44" t="n">
        <v>46149</v>
      </c>
      <c r="C13" s="48" t="n"/>
      <c r="D13" s="46">
        <f>IFERROR(VLOOKUP(B13, fechaMEC, 3, FALSE), "Clase Normal")</f>
        <v/>
      </c>
      <c r="E13" s="46" t="n"/>
    </row>
    <row r="14" ht="29.25" customHeight="1">
      <c r="A14" s="43">
        <f>+B14</f>
        <v/>
      </c>
      <c r="B14" s="44" t="n">
        <v>46156</v>
      </c>
      <c r="C14" s="49" t="n"/>
      <c r="D14" s="46">
        <f>IFERROR(VLOOKUP(B14, fechaMEC, 3, FALSE), "Clase Normal")</f>
        <v/>
      </c>
      <c r="E14" s="50">
        <f>IFERROR(VLOOKUP(B14, fechaMEC, 2, FALSE), "Ejecutado")</f>
        <v/>
      </c>
    </row>
    <row r="15">
      <c r="A15" s="43">
        <f>+B15</f>
        <v/>
      </c>
      <c r="B15" s="44" t="n">
        <v>46163</v>
      </c>
      <c r="C15" s="48" t="n"/>
      <c r="D15" s="46">
        <f>IFERROR(VLOOKUP(B15, fechaMEC, 3, FALSE), "Clase Normal")</f>
        <v/>
      </c>
      <c r="E15" s="46" t="n"/>
    </row>
    <row r="16">
      <c r="A16" s="43">
        <f>+B16</f>
        <v/>
      </c>
      <c r="B16" s="44" t="n">
        <v>46170</v>
      </c>
      <c r="C16" s="48" t="n"/>
      <c r="D16" s="46">
        <f>IFERROR(VLOOKUP(B16, fechaMEC, 3, FALSE), "Clase Normal")</f>
        <v/>
      </c>
      <c r="E16" s="46" t="n"/>
    </row>
    <row r="17">
      <c r="A17" s="43">
        <f>+B17</f>
        <v/>
      </c>
      <c r="B17" s="44" t="n">
        <v>46177</v>
      </c>
      <c r="C17" s="48" t="n"/>
      <c r="D17" s="46">
        <f>IFERROR(VLOOKUP(B17, fechaMEC, 3, FALSE), "Clase Normal")</f>
        <v/>
      </c>
      <c r="E17" s="46" t="n"/>
    </row>
    <row r="18" ht="43.5" customHeight="1">
      <c r="A18" s="43">
        <f>+B18</f>
        <v/>
      </c>
      <c r="B18" s="44" t="n">
        <v>46184</v>
      </c>
      <c r="C18" s="49" t="n"/>
      <c r="D18" s="46">
        <f>IFERROR(VLOOKUP(B18, fechaMEC, 3, FALSE), "Clase Normal")</f>
        <v/>
      </c>
      <c r="E18" s="50">
        <f>IFERROR(VLOOKUP(B18, fechaMEC, 2, FALSE), "Ejecutado")</f>
        <v/>
      </c>
      <c r="H18" s="44" t="inlineStr">
        <is>
          <t>Fecha (DD/MM/YYYY)</t>
        </is>
      </c>
      <c r="I18" t="inlineStr">
        <is>
          <t>Evento / Conmemoración</t>
        </is>
      </c>
      <c r="J18" t="inlineStr">
        <is>
          <t>Tipo</t>
        </is>
      </c>
    </row>
    <row r="19">
      <c r="A19" s="43">
        <f>+B19</f>
        <v/>
      </c>
      <c r="B19" s="44" t="n">
        <v>46191</v>
      </c>
      <c r="C19" s="48" t="n"/>
      <c r="D19" s="46">
        <f>IFERROR(VLOOKUP(B19, fechaMEC, 3, FALSE), "Clase Normal")</f>
        <v/>
      </c>
      <c r="E19" s="46">
        <f>IFERROR(VLOOKUP(B19, fechaMEC, 2, FALSE), "Ejecutado")</f>
        <v/>
      </c>
      <c r="H19" s="44" t="n">
        <v>46023</v>
      </c>
      <c r="I19" t="inlineStr">
        <is>
          <t>Año Nuevo</t>
        </is>
      </c>
      <c r="J19" t="inlineStr">
        <is>
          <t>Feriado Nacional</t>
        </is>
      </c>
    </row>
    <row r="20">
      <c r="A20" s="43">
        <f>+B20</f>
        <v/>
      </c>
      <c r="B20" s="44" t="n">
        <v>46198</v>
      </c>
      <c r="C20" s="48" t="n"/>
      <c r="D20" s="46">
        <f>IFERROR(VLOOKUP(B20, fechaMEC, 3, FALSE), "Clase Normal")</f>
        <v/>
      </c>
      <c r="E20" s="46" t="n"/>
      <c r="H20" s="44" t="n">
        <v>46063</v>
      </c>
      <c r="I20" t="inlineStr">
        <is>
          <t>Apertura Institucional y Retorno Docente</t>
        </is>
      </c>
      <c r="J20" t="inlineStr">
        <is>
          <t>MEC - INSTITUCIONAL</t>
        </is>
      </c>
    </row>
    <row r="21">
      <c r="A21" s="43">
        <f>+B21</f>
        <v/>
      </c>
      <c r="B21" s="44" t="n">
        <v>46205</v>
      </c>
      <c r="C21" s="51" t="inlineStr">
        <is>
          <t>Examen Primera Etapa</t>
        </is>
      </c>
      <c r="D21" s="46">
        <f>IFERROR(VLOOKUP(B21, fechaMEC, 3, FALSE), "Clase Normal")</f>
        <v/>
      </c>
      <c r="E21" s="46" t="n"/>
      <c r="H21" s="44" t="n">
        <v>46076</v>
      </c>
      <c r="I21" t="inlineStr">
        <is>
          <t>Inicio de Clases (Sector Oficial)</t>
        </is>
      </c>
      <c r="J21" t="inlineStr">
        <is>
          <t>MEC - INSTITUCIONAL</t>
        </is>
      </c>
    </row>
    <row r="22">
      <c r="A22" s="43">
        <f>+B22</f>
        <v/>
      </c>
      <c r="B22" s="44" t="n">
        <v>46212</v>
      </c>
      <c r="C22" s="48" t="n"/>
      <c r="D22" s="46">
        <f>IFERROR(VLOOKUP(B22, fechaMEC, 3, FALSE), "Clase Normal")</f>
        <v/>
      </c>
      <c r="E22" s="46" t="n"/>
      <c r="H22" s="44" t="n">
        <v>46077</v>
      </c>
      <c r="I22" t="inlineStr">
        <is>
          <t>Día de la Mujer Paraguaya (Homenaje a las Residentas)</t>
        </is>
      </c>
      <c r="J22" t="inlineStr">
        <is>
          <t>Dia para conmemorar</t>
        </is>
      </c>
    </row>
    <row r="23">
      <c r="A23" s="43">
        <f>+B23</f>
        <v/>
      </c>
      <c r="B23" s="44" t="n">
        <v>46219</v>
      </c>
      <c r="C23" s="49" t="inlineStr">
        <is>
          <t>Vacaciones de Invierno</t>
        </is>
      </c>
      <c r="D23" s="46">
        <f>IFERROR(VLOOKUP(B23, fechaMEC, 3, FALSE), "Clase Normal")</f>
        <v/>
      </c>
      <c r="E23" s="50">
        <f>IFERROR(VLOOKUP(B23, fechaMEC, 2, FALSE), "Ejecutado")</f>
        <v/>
      </c>
      <c r="H23" s="44" t="n">
        <v>46082</v>
      </c>
      <c r="I23" t="inlineStr">
        <is>
          <t>Día de los Héroes</t>
        </is>
      </c>
      <c r="J23" t="inlineStr">
        <is>
          <t>Feriado Nacional</t>
        </is>
      </c>
    </row>
    <row r="24">
      <c r="A24" s="43">
        <f>+B24</f>
        <v/>
      </c>
      <c r="B24" s="44" t="n">
        <v>46226</v>
      </c>
      <c r="C24" s="49" t="inlineStr">
        <is>
          <t>Vacaciones de Invierno</t>
        </is>
      </c>
      <c r="D24" s="46">
        <f>IFERROR(VLOOKUP(B24, fechaMEC, 3, FALSE), "Clase Normal")</f>
        <v/>
      </c>
      <c r="E24" s="50">
        <f>IFERROR(VLOOKUP(B24, fechaMEC, 2, FALSE), "Ejecutado")</f>
        <v/>
      </c>
      <c r="H24" s="44" t="n">
        <v>46082</v>
      </c>
      <c r="I24" t="inlineStr">
        <is>
          <t>Día de los Héroes (Muerte del Mcal. López en Cerro Corá)</t>
        </is>
      </c>
      <c r="J24" t="inlineStr">
        <is>
          <t>Dia para conmemorar</t>
        </is>
      </c>
    </row>
    <row r="25" ht="29.25" customHeight="1">
      <c r="A25" s="43">
        <f>+B25</f>
        <v/>
      </c>
      <c r="B25" s="44" t="n">
        <v>46233</v>
      </c>
      <c r="C25" s="48" t="n"/>
      <c r="D25" s="46">
        <f>IFERROR(VLOOKUP(B25, fechaMEC, 3, FALSE), "Clase Normal")</f>
        <v/>
      </c>
      <c r="E25" s="46" t="n"/>
      <c r="H25" s="44" t="n">
        <v>46102</v>
      </c>
      <c r="I25" t="inlineStr">
        <is>
          <t>Día Mundial de la Poesía y Día del Síndrome de Down</t>
        </is>
      </c>
      <c r="J25" t="inlineStr">
        <is>
          <t>Dia para conmemorar</t>
        </is>
      </c>
    </row>
    <row r="26">
      <c r="A26" s="43">
        <f>+B26</f>
        <v/>
      </c>
      <c r="B26" s="44" t="n">
        <v>46240</v>
      </c>
      <c r="C26" s="48" t="n"/>
      <c r="D26" s="46">
        <f>IFERROR(VLOOKUP(B26, fechaMEC, 3, FALSE), "Clase Normal")</f>
        <v/>
      </c>
      <c r="E26" s="46" t="n"/>
      <c r="H26" s="44" t="n">
        <v>46114</v>
      </c>
      <c r="I26" t="inlineStr">
        <is>
          <t>Jueves Santo (Receso)</t>
        </is>
      </c>
      <c r="J26" t="inlineStr">
        <is>
          <t>Feriado Nacional</t>
        </is>
      </c>
    </row>
    <row r="27">
      <c r="A27" s="43">
        <f>+B27</f>
        <v/>
      </c>
      <c r="B27" s="44" t="n">
        <v>46247</v>
      </c>
      <c r="C27" s="48" t="n"/>
      <c r="D27" s="46">
        <f>IFERROR(VLOOKUP(B27, fechaMEC, 3, FALSE), "Clase Normal")</f>
        <v/>
      </c>
      <c r="E27" s="46">
        <f>IFERROR(VLOOKUP(B27, fechaMEC, 2, FALSE), "Ejecutado")</f>
        <v/>
      </c>
      <c r="H27" s="44" t="n">
        <v>46115</v>
      </c>
      <c r="I27" t="inlineStr">
        <is>
          <t>Viernes Santo (Receso)</t>
        </is>
      </c>
      <c r="J27" t="inlineStr">
        <is>
          <t>Feriado Nacional</t>
        </is>
      </c>
    </row>
    <row r="28">
      <c r="A28" s="43">
        <f>+B28</f>
        <v/>
      </c>
      <c r="B28" s="44" t="n">
        <v>46254</v>
      </c>
      <c r="C28" s="48" t="n"/>
      <c r="D28" s="46">
        <f>IFERROR(VLOOKUP(B28, fechaMEC, 3, FALSE), "Clase Normal")</f>
        <v/>
      </c>
      <c r="E28" s="46" t="n"/>
      <c r="H28" s="44" t="n">
        <v>46135</v>
      </c>
      <c r="I28" t="inlineStr">
        <is>
          <t>Día del Libro y del Derecho de Autor</t>
        </is>
      </c>
      <c r="J28" t="inlineStr">
        <is>
          <t>Dia para conmemorar</t>
        </is>
      </c>
    </row>
    <row r="29">
      <c r="A29" s="43">
        <f>+B29</f>
        <v/>
      </c>
      <c r="B29" s="44" t="n">
        <v>46261</v>
      </c>
      <c r="C29" s="48" t="n"/>
      <c r="D29" s="46">
        <f>IFERROR(VLOOKUP(B29, fechaMEC, 3, FALSE), "Clase Normal")</f>
        <v/>
      </c>
      <c r="E29" s="46" t="n"/>
      <c r="H29" s="44" t="n">
        <v>46138</v>
      </c>
      <c r="I29" t="inlineStr">
        <is>
          <t>Día del Periodista (Muerte de Santiago Leguizamón)</t>
        </is>
      </c>
      <c r="J29" t="inlineStr">
        <is>
          <t>Dia para conmemorar</t>
        </is>
      </c>
    </row>
    <row r="30">
      <c r="A30" s="43">
        <f>+B30</f>
        <v/>
      </c>
      <c r="B30" s="44" t="n">
        <v>46268</v>
      </c>
      <c r="C30" s="48" t="n"/>
      <c r="D30" s="46">
        <f>IFERROR(VLOOKUP(B30, fechaMEC, 3, FALSE), "Clase Normal")</f>
        <v/>
      </c>
      <c r="E30" s="46" t="n"/>
      <c r="H30" s="44" t="n">
        <v>46142</v>
      </c>
      <c r="I30" t="inlineStr">
        <is>
          <t>Día del Maestro (En Paraguay)</t>
        </is>
      </c>
      <c r="J30" t="inlineStr">
        <is>
          <t>Dia para conmemorar</t>
        </is>
      </c>
    </row>
    <row r="31">
      <c r="A31" s="43">
        <f>+B31</f>
        <v/>
      </c>
      <c r="B31" s="44" t="n">
        <v>46275</v>
      </c>
      <c r="C31" s="48" t="n"/>
      <c r="D31" s="46">
        <f>IFERROR(VLOOKUP(B31, fechaMEC, 3, FALSE), "Clase Normal")</f>
        <v/>
      </c>
      <c r="E31" s="46" t="n"/>
      <c r="H31" s="44" t="n">
        <v>46143</v>
      </c>
      <c r="I31" t="inlineStr">
        <is>
          <t>Día de los Trabajadores</t>
        </is>
      </c>
      <c r="J31" t="inlineStr">
        <is>
          <t>Feriado Nacional</t>
        </is>
      </c>
    </row>
    <row r="32">
      <c r="A32" s="43">
        <f>+B32</f>
        <v/>
      </c>
      <c r="B32" s="44" t="n">
        <v>46282</v>
      </c>
      <c r="C32" s="48" t="n"/>
      <c r="D32" s="46">
        <f>IFERROR(VLOOKUP(B32, fechaMEC, 3, FALSE), "Clase Normal")</f>
        <v/>
      </c>
      <c r="E32" s="46" t="n"/>
      <c r="H32" s="44" t="n">
        <v>46156</v>
      </c>
      <c r="I32" t="inlineStr">
        <is>
          <t>Día de la Independencia Nacional</t>
        </is>
      </c>
      <c r="J32" t="inlineStr">
        <is>
          <t>Feriado Nacional</t>
        </is>
      </c>
    </row>
    <row r="33">
      <c r="A33" s="43">
        <f>+B33</f>
        <v/>
      </c>
      <c r="B33" s="44" t="n">
        <v>46289</v>
      </c>
      <c r="C33" s="48" t="n"/>
      <c r="D33" s="46">
        <f>IFERROR(VLOOKUP(B33, fechaMEC, 3, FALSE), "Clase Normal")</f>
        <v/>
      </c>
      <c r="E33" s="46" t="n"/>
      <c r="H33" s="44" t="n">
        <v>46156</v>
      </c>
      <c r="I33" t="inlineStr">
        <is>
          <t>Día de la Madre</t>
        </is>
      </c>
      <c r="J33" t="inlineStr">
        <is>
          <t>Dia para conmemorar</t>
        </is>
      </c>
    </row>
    <row r="34">
      <c r="A34" s="43">
        <f>+B34</f>
        <v/>
      </c>
      <c r="B34" s="44" t="n">
        <v>46296</v>
      </c>
      <c r="C34" s="48" t="n"/>
      <c r="D34" s="46">
        <f>IFERROR(VLOOKUP(B34, fechaMEC, 3, FALSE), "Clase Normal")</f>
        <v/>
      </c>
      <c r="E34" s="46" t="n"/>
      <c r="H34" s="44" t="n">
        <v>46157</v>
      </c>
      <c r="I34" t="inlineStr">
        <is>
          <t>Día de la Independencia Nacional</t>
        </is>
      </c>
      <c r="J34" t="inlineStr">
        <is>
          <t>Feriado Nacional</t>
        </is>
      </c>
    </row>
    <row r="35">
      <c r="A35" s="43">
        <f>+B35</f>
        <v/>
      </c>
      <c r="B35" s="44" t="n">
        <v>46303</v>
      </c>
      <c r="C35" s="51" t="inlineStr">
        <is>
          <t>Examen Segunda Etapa</t>
        </is>
      </c>
      <c r="D35" s="46">
        <f>IFERROR(VLOOKUP(B35, fechaMEC, 3, FALSE), "Clase Normal")</f>
        <v/>
      </c>
      <c r="E35" s="46" t="n"/>
      <c r="H35" s="44" t="n">
        <v>46157</v>
      </c>
      <c r="I35" t="inlineStr">
        <is>
          <t>Día de la Independencia Nacional</t>
        </is>
      </c>
      <c r="J35" t="inlineStr">
        <is>
          <t>Dia para conmemorar</t>
        </is>
      </c>
    </row>
    <row r="36">
      <c r="A36" s="43">
        <f>+B36</f>
        <v/>
      </c>
      <c r="B36" s="44" t="n">
        <v>46310</v>
      </c>
      <c r="C36" s="48" t="n"/>
      <c r="D36" s="46">
        <f>IFERROR(VLOOKUP(B36, fechaMEC, 3, FALSE), "Clase Normal")</f>
        <v/>
      </c>
      <c r="E36" s="46" t="n"/>
      <c r="H36" s="44" t="n">
        <v>46171</v>
      </c>
      <c r="I36" t="inlineStr">
        <is>
          <t>Día del Ejército Paraguayo</t>
        </is>
      </c>
      <c r="J36" t="inlineStr">
        <is>
          <t>Dia para conmemorar</t>
        </is>
      </c>
    </row>
    <row r="37">
      <c r="A37" s="43">
        <f>+B37</f>
        <v/>
      </c>
      <c r="B37" s="44" t="n">
        <v>46317</v>
      </c>
      <c r="C37" s="48" t="n"/>
      <c r="D37" s="46">
        <f>IFERROR(VLOOKUP(B37, fechaMEC, 3, FALSE), "Clase Normal")</f>
        <v/>
      </c>
      <c r="E37" s="46">
        <f>IFERROR(VLOOKUP(B37, fechaMEC, 2, FALSE), "Ejecutado")</f>
        <v/>
      </c>
      <c r="H37" s="44" t="n">
        <v>46185</v>
      </c>
      <c r="I37" t="inlineStr">
        <is>
          <t>Paz del Chaco</t>
        </is>
      </c>
      <c r="J37" t="inlineStr">
        <is>
          <t>Feriado Nacional</t>
        </is>
      </c>
    </row>
    <row r="38">
      <c r="A38" s="43">
        <f>+B38</f>
        <v/>
      </c>
      <c r="B38" s="44" t="n">
        <v>46324</v>
      </c>
      <c r="C38" s="48" t="n"/>
      <c r="D38" s="46">
        <f>IFERROR(VLOOKUP(B38, fechaMEC, 3, FALSE), "Clase Normal")</f>
        <v/>
      </c>
      <c r="E38" s="46" t="n"/>
      <c r="H38" s="44" t="n">
        <v>46185</v>
      </c>
      <c r="I38" t="inlineStr">
        <is>
          <t>Paz del Chaco (Firma del Protocolo de Paz, 1935)</t>
        </is>
      </c>
      <c r="J38" t="inlineStr">
        <is>
          <t>Asueto - Departamental / Desfile</t>
        </is>
      </c>
    </row>
    <row r="39">
      <c r="A39" s="43">
        <f>+B39</f>
        <v/>
      </c>
      <c r="B39" s="44" t="n">
        <v>46331</v>
      </c>
      <c r="C39" s="48" t="n"/>
      <c r="D39" s="46">
        <f>IFERROR(VLOOKUP(B39, fechaMEC, 3, FALSE), "Clase Normal")</f>
        <v/>
      </c>
      <c r="E39" s="46" t="n"/>
      <c r="H39" s="44" t="n">
        <v>46192</v>
      </c>
      <c r="I39" t="inlineStr">
        <is>
          <t>Día del Árbol (En Paraguay)</t>
        </is>
      </c>
      <c r="J39" t="inlineStr">
        <is>
          <t>Clase Normal</t>
        </is>
      </c>
    </row>
    <row r="40">
      <c r="A40" s="43">
        <f>+B40</f>
        <v/>
      </c>
      <c r="B40" s="44" t="n">
        <v>46338</v>
      </c>
      <c r="C40" s="48" t="n"/>
      <c r="D40" s="46">
        <f>IFERROR(VLOOKUP(B40, fechaMEC, 3, FALSE), "Clase Normal")</f>
        <v/>
      </c>
      <c r="E40" s="46" t="n"/>
      <c r="H40" s="44" t="n">
        <v>46216</v>
      </c>
      <c r="I40" t="inlineStr">
        <is>
          <t>Inicio Vacaciones de Invierno</t>
        </is>
      </c>
      <c r="J40" t="inlineStr">
        <is>
          <t>MEC - VACACIONES</t>
        </is>
      </c>
    </row>
    <row r="41">
      <c r="A41" s="43">
        <f>+B41</f>
        <v/>
      </c>
      <c r="B41" s="44" t="n">
        <v>46345</v>
      </c>
      <c r="C41" s="48" t="n"/>
      <c r="D41" s="46">
        <f>IFERROR(VLOOKUP(B41, fechaMEC, 3, FALSE), "Clase Normal")</f>
        <v/>
      </c>
      <c r="E41" s="46" t="n"/>
      <c r="G41" s="18" t="n"/>
      <c r="H41" s="44" t="n">
        <v>46217</v>
      </c>
      <c r="I41" t="inlineStr">
        <is>
          <t>Inicio Vacaciones de Invierno</t>
        </is>
      </c>
      <c r="J41" t="inlineStr">
        <is>
          <t>MEC - VACACIONES</t>
        </is>
      </c>
    </row>
    <row r="42">
      <c r="A42" s="43">
        <f>+B42</f>
        <v/>
      </c>
      <c r="B42" s="44" t="n">
        <v>46352</v>
      </c>
      <c r="C42" s="48" t="n"/>
      <c r="D42" s="46">
        <f>IFERROR(VLOOKUP(B42, fechaMEC, 3, FALSE), "Clase Normal")</f>
        <v/>
      </c>
      <c r="E42" s="46" t="n"/>
      <c r="H42" s="44" t="n">
        <v>46218</v>
      </c>
      <c r="I42" t="inlineStr">
        <is>
          <t>Inicio Vacaciones de Invierno</t>
        </is>
      </c>
      <c r="J42" t="inlineStr">
        <is>
          <t>MEC - VACACIONES</t>
        </is>
      </c>
    </row>
    <row r="43" ht="4.5" customHeight="1">
      <c r="B43" s="52" t="n"/>
      <c r="C43" s="53" t="n"/>
      <c r="D43" s="54" t="n"/>
      <c r="E43" s="54" t="n"/>
      <c r="H43" s="44" t="n">
        <v>46219</v>
      </c>
      <c r="I43" t="inlineStr">
        <is>
          <t>Inicio Vacaciones de Invierno</t>
        </is>
      </c>
      <c r="J43" t="inlineStr">
        <is>
          <t>MEC - VACACIONES</t>
        </is>
      </c>
    </row>
    <row r="44">
      <c r="H44" s="44" t="n">
        <v>46220</v>
      </c>
      <c r="I44" t="inlineStr">
        <is>
          <t>Inicio Vacaciones de Invierno</t>
        </is>
      </c>
      <c r="J44" t="inlineStr">
        <is>
          <t>MEC - VACACIONES</t>
        </is>
      </c>
    </row>
    <row r="45">
      <c r="H45" s="44" t="n">
        <v>46221</v>
      </c>
      <c r="I45" t="inlineStr">
        <is>
          <t>Inicio Vacaciones de Invierno</t>
        </is>
      </c>
      <c r="J45" t="inlineStr">
        <is>
          <t>MEC - VACACIONES</t>
        </is>
      </c>
    </row>
    <row r="46">
      <c r="H46" s="44" t="n">
        <v>46222</v>
      </c>
      <c r="I46" t="inlineStr">
        <is>
          <t>Inicio Vacaciones de Invierno</t>
        </is>
      </c>
      <c r="J46" t="inlineStr">
        <is>
          <t>MEC - VACACIONES</t>
        </is>
      </c>
    </row>
    <row r="47">
      <c r="H47" s="44" t="n">
        <v>46223</v>
      </c>
      <c r="I47" t="inlineStr">
        <is>
          <t>Inicio Vacaciones de Invierno</t>
        </is>
      </c>
      <c r="J47" t="inlineStr">
        <is>
          <t>MEC - VACACIONES</t>
        </is>
      </c>
    </row>
    <row r="48">
      <c r="H48" s="44" t="n">
        <v>46224</v>
      </c>
      <c r="I48" t="inlineStr">
        <is>
          <t>Inicio Vacaciones de Invierno</t>
        </is>
      </c>
      <c r="J48" t="inlineStr">
        <is>
          <t>MEC - VACACIONES</t>
        </is>
      </c>
    </row>
    <row r="49">
      <c r="H49" s="44" t="n">
        <v>46225</v>
      </c>
      <c r="I49" t="inlineStr">
        <is>
          <t>Inicio Vacaciones de Invierno</t>
        </is>
      </c>
      <c r="J49" t="inlineStr">
        <is>
          <t>MEC - VACACIONES</t>
        </is>
      </c>
    </row>
    <row r="50">
      <c r="H50" s="44" t="n">
        <v>46226</v>
      </c>
      <c r="I50" t="inlineStr">
        <is>
          <t>Inicio Vacaciones de Invierno</t>
        </is>
      </c>
      <c r="J50" t="inlineStr">
        <is>
          <t>MEC - VACACIONES</t>
        </is>
      </c>
    </row>
    <row r="51">
      <c r="H51" s="44" t="n">
        <v>46227</v>
      </c>
      <c r="I51" t="inlineStr">
        <is>
          <t>Fin Vacaciones de Invierno</t>
        </is>
      </c>
      <c r="J51" t="inlineStr">
        <is>
          <t>MEC - VACACIONES</t>
        </is>
      </c>
    </row>
    <row r="52">
      <c r="H52" s="44" t="n">
        <v>46227</v>
      </c>
      <c r="I52" t="inlineStr">
        <is>
          <t>Natalicio del Mcal. Francisco Solano López</t>
        </is>
      </c>
      <c r="J52" t="inlineStr">
        <is>
          <t>Dia para conmemorar</t>
        </is>
      </c>
    </row>
    <row r="53">
      <c r="H53" s="44" t="n">
        <v>46233</v>
      </c>
      <c r="I53" t="inlineStr">
        <is>
          <t>Día de la Amistad (Cruzada Mundial de la Amistad)</t>
        </is>
      </c>
      <c r="J53" t="inlineStr">
        <is>
          <t>Dia para conmemorar</t>
        </is>
      </c>
    </row>
    <row r="54">
      <c r="H54" s="44" t="n">
        <v>46248</v>
      </c>
      <c r="I54" t="inlineStr">
        <is>
          <t>Día de la Bandera</t>
        </is>
      </c>
      <c r="J54" t="inlineStr">
        <is>
          <t>Dia para conmemorar</t>
        </is>
      </c>
    </row>
    <row r="55">
      <c r="H55" s="44" t="n">
        <v>46249</v>
      </c>
      <c r="I55" t="inlineStr">
        <is>
          <t>Fundación de Asunción</t>
        </is>
      </c>
      <c r="J55" t="inlineStr">
        <is>
          <t>Feriado Nacional</t>
        </is>
      </c>
    </row>
    <row r="56">
      <c r="H56" s="44" t="n">
        <v>46249</v>
      </c>
      <c r="I56" t="inlineStr">
        <is>
          <t>Fundación de Asunción y Día del Niño (En Paraguay)</t>
        </is>
      </c>
      <c r="J56" t="inlineStr">
        <is>
          <t>Dia para conmemorar</t>
        </is>
      </c>
    </row>
    <row r="57">
      <c r="H57" s="44" t="n">
        <v>46250</v>
      </c>
      <c r="I57" t="inlineStr">
        <is>
          <t>Día de los Niños Mártires de Acosta Ñu</t>
        </is>
      </c>
      <c r="J57" t="inlineStr">
        <is>
          <t>Dia para conmemorar</t>
        </is>
      </c>
    </row>
    <row r="58">
      <c r="H58" s="44" t="n">
        <v>46256</v>
      </c>
      <c r="I58" t="inlineStr">
        <is>
          <t>Día del Folklore Paraguayo</t>
        </is>
      </c>
      <c r="J58" t="inlineStr">
        <is>
          <t>Dia para conmemorar</t>
        </is>
      </c>
    </row>
    <row r="59">
      <c r="H59" s="44" t="n">
        <v>46259</v>
      </c>
      <c r="I59" t="inlineStr">
        <is>
          <t>Día del Idioma Guaraní</t>
        </is>
      </c>
      <c r="J59" t="inlineStr">
        <is>
          <t>Dia para conmemorar</t>
        </is>
      </c>
    </row>
    <row r="60">
      <c r="H60" s="44" t="n">
        <v>46286</v>
      </c>
      <c r="I60" t="inlineStr">
        <is>
          <t>Día de la Juventud y de la Primavera</t>
        </is>
      </c>
      <c r="J60" t="inlineStr">
        <is>
          <t>Clase Normal</t>
        </is>
      </c>
    </row>
    <row r="61">
      <c r="H61" s="44" t="n">
        <v>46294</v>
      </c>
      <c r="I61" t="inlineStr">
        <is>
          <t>Victoria de Boquerón</t>
        </is>
      </c>
      <c r="J61" t="inlineStr">
        <is>
          <t>Feriado Nacional</t>
        </is>
      </c>
    </row>
    <row r="62">
      <c r="H62" s="44" t="n">
        <v>46294</v>
      </c>
      <c r="I62" t="inlineStr">
        <is>
          <t>Batalla de Boquerón (Victoria paraguaya, 1932)</t>
        </is>
      </c>
      <c r="J62" t="inlineStr">
        <is>
          <t>Dia para conmemorar</t>
        </is>
      </c>
    </row>
    <row r="63">
      <c r="H63" s="44" t="n">
        <v>46307</v>
      </c>
      <c r="I63" t="inlineStr">
        <is>
          <t>Día de la Raza (Descubrimiento de América)</t>
        </is>
      </c>
      <c r="J63" t="inlineStr">
        <is>
          <t>Dia para conmemorar</t>
        </is>
      </c>
    </row>
    <row r="64">
      <c r="H64" s="44" t="n">
        <v>46318</v>
      </c>
      <c r="I64" t="inlineStr">
        <is>
          <t>Día del Diseñador Gráfico y del Radiooperador</t>
        </is>
      </c>
      <c r="J64" t="inlineStr">
        <is>
          <t>Dia para conmemorar</t>
        </is>
      </c>
    </row>
    <row r="65">
      <c r="H65" s="44" t="n">
        <v>46351</v>
      </c>
      <c r="I65" t="inlineStr">
        <is>
          <t>Día Internacional de la Eliminación de la Violencia contra la Mujer</t>
        </is>
      </c>
      <c r="J65" t="inlineStr">
        <is>
          <t>Dia para conmemorar</t>
        </is>
      </c>
    </row>
    <row r="66">
      <c r="H66" s="44" t="n">
        <v>46356</v>
      </c>
      <c r="I66" t="inlineStr">
        <is>
          <t>Finalización de Clases</t>
        </is>
      </c>
      <c r="J66" t="inlineStr">
        <is>
          <t>MEC - CIERRE PEDAGOGICAS</t>
        </is>
      </c>
    </row>
    <row r="67">
      <c r="H67" s="44" t="n">
        <v>46364</v>
      </c>
      <c r="I67" t="inlineStr">
        <is>
          <t>Día de la Virgen de Caacupé</t>
        </is>
      </c>
      <c r="J67" t="inlineStr">
        <is>
          <t>Feriado Nacional</t>
        </is>
      </c>
    </row>
    <row r="68">
      <c r="H68" s="44" t="n">
        <v>46367</v>
      </c>
      <c r="I68" t="inlineStr">
        <is>
          <t>Cierre de Actividades Administrativas</t>
        </is>
      </c>
      <c r="J68" t="inlineStr">
        <is>
          <t>MEC - CIERRE ADM.</t>
        </is>
      </c>
    </row>
    <row r="69">
      <c r="H69" s="44" t="n">
        <v>46381</v>
      </c>
      <c r="I69" t="inlineStr">
        <is>
          <t>Navidad</t>
        </is>
      </c>
      <c r="J69" t="inlineStr">
        <is>
          <t>Feriado Nacional</t>
        </is>
      </c>
    </row>
  </sheetData>
  <mergeCells count="1">
    <mergeCell ref="B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N17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3.7109375" customWidth="1" min="6" max="6"/>
    <col width="10.7109375" customWidth="1" min="144" max="144"/>
  </cols>
  <sheetData>
    <row r="1" ht="6" customHeight="1"/>
    <row r="2" ht="21" customHeight="1">
      <c r="C2" s="55" t="inlineStr">
        <is>
          <t>PLANILLA DE ASISTENCIA</t>
        </is>
      </c>
      <c r="D2" s="56">
        <f>+AVERAGE(D4:D17)</f>
        <v/>
      </c>
      <c r="E2" s="57" t="n"/>
      <c r="I2" s="21" t="inlineStr">
        <is>
          <t>CIENCIAS NATURALES</t>
        </is>
      </c>
      <c r="O2" s="58" t="inlineStr">
        <is>
          <t>SEPTIMO</t>
        </is>
      </c>
      <c r="R2" s="59" t="n"/>
      <c r="S2" s="59" t="inlineStr">
        <is>
          <t>TT</t>
        </is>
      </c>
      <c r="T2" s="60" t="n">
        <v>2026</v>
      </c>
      <c r="U2" s="61" t="n"/>
      <c r="V2" s="61" t="n"/>
    </row>
    <row r="3" ht="61.5" customHeight="1">
      <c r="A3" s="62" t="inlineStr">
        <is>
          <t>N° Orden</t>
        </is>
      </c>
      <c r="B3" s="62" t="n"/>
      <c r="C3" s="62" t="inlineStr">
        <is>
          <t>Apellido/s Nombre/s</t>
        </is>
      </c>
      <c r="D3" s="63" t="inlineStr">
        <is>
          <t>% DE ASISTENCIA</t>
        </is>
      </c>
      <c r="E3" s="64" t="inlineStr">
        <is>
          <t>FIRMAS</t>
        </is>
      </c>
      <c r="F3" s="65" t="n">
        <v>46079</v>
      </c>
      <c r="G3" s="65" t="n">
        <v>46086</v>
      </c>
      <c r="H3" s="65" t="n">
        <v>46093</v>
      </c>
      <c r="I3" s="65" t="n">
        <v>46100</v>
      </c>
      <c r="J3" s="65" t="n">
        <v>46107</v>
      </c>
      <c r="K3" s="65" t="n">
        <v>46114</v>
      </c>
      <c r="L3" s="65" t="n">
        <v>46121</v>
      </c>
      <c r="M3" s="65" t="n">
        <v>46128</v>
      </c>
      <c r="N3" s="65" t="n">
        <v>46135</v>
      </c>
      <c r="O3" s="65" t="n">
        <v>46142</v>
      </c>
      <c r="P3" s="65" t="n">
        <v>46149</v>
      </c>
      <c r="Q3" s="65" t="n">
        <v>46156</v>
      </c>
      <c r="R3" s="65" t="n">
        <v>46163</v>
      </c>
      <c r="S3" s="65" t="n">
        <v>46170</v>
      </c>
      <c r="T3" s="65" t="n">
        <v>46177</v>
      </c>
      <c r="U3" s="65" t="n">
        <v>46184</v>
      </c>
      <c r="V3" s="65" t="n">
        <v>46191</v>
      </c>
      <c r="W3" s="65" t="n">
        <v>46198</v>
      </c>
      <c r="X3" s="65" t="n">
        <v>46205</v>
      </c>
      <c r="Y3" s="65" t="n">
        <v>46212</v>
      </c>
      <c r="Z3" s="65" t="n">
        <v>46219</v>
      </c>
      <c r="AA3" s="65" t="n">
        <v>46226</v>
      </c>
      <c r="AB3" s="65" t="n">
        <v>46233</v>
      </c>
      <c r="AC3" s="65" t="n">
        <v>46240</v>
      </c>
      <c r="AD3" s="65" t="n">
        <v>46247</v>
      </c>
      <c r="AE3" s="65" t="n">
        <v>46254</v>
      </c>
      <c r="AF3" s="65" t="n">
        <v>46261</v>
      </c>
      <c r="AG3" s="65" t="n">
        <v>46268</v>
      </c>
      <c r="AH3" s="65" t="n">
        <v>46275</v>
      </c>
      <c r="AI3" s="65" t="n">
        <v>46282</v>
      </c>
      <c r="AJ3" s="65" t="n">
        <v>46289</v>
      </c>
      <c r="AK3" s="65" t="n">
        <v>46296</v>
      </c>
      <c r="AL3" s="65" t="n">
        <v>46303</v>
      </c>
      <c r="AM3" s="65" t="n">
        <v>46310</v>
      </c>
      <c r="AN3" s="65" t="n">
        <v>46317</v>
      </c>
      <c r="AO3" s="65" t="n">
        <v>46324</v>
      </c>
      <c r="AP3" s="65" t="n">
        <v>46331</v>
      </c>
      <c r="AQ3" s="65" t="n">
        <v>46338</v>
      </c>
      <c r="AR3" s="65" t="n">
        <v>46345</v>
      </c>
      <c r="AS3" s="65" t="n">
        <v>46352</v>
      </c>
      <c r="EN3" s="66">
        <f>+TODAY()</f>
        <v/>
      </c>
    </row>
    <row r="4" ht="15.75" customHeight="1">
      <c r="A4" s="67" t="n">
        <v>1</v>
      </c>
      <c r="B4" s="67" t="n"/>
      <c r="C4" s="68">
        <f>+'Datos '!H1</f>
        <v/>
      </c>
      <c r="D4" s="69">
        <f>_xlfn.LET(_xlpm.rango, F4:AJ4, (COUNTIF(_xlpm.rango, "P") + COUNTIF(_xlpm.rango, "PF")) / (COUNTIF(_xlpm.rango, "P") + COUNTIF(_xlpm.rango, "A") + COUNTIF(_xlpm.rango, "PF")))</f>
        <v/>
      </c>
      <c r="E4" s="70">
        <f>COUNTIF(F4:W4,"PF")</f>
        <v/>
      </c>
      <c r="F4" s="71" t="inlineStr">
        <is>
          <t>P</t>
        </is>
      </c>
      <c r="G4" s="71" t="inlineStr">
        <is>
          <t>PF</t>
        </is>
      </c>
      <c r="H4" s="71" t="inlineStr">
        <is>
          <t>P</t>
        </is>
      </c>
      <c r="I4" s="71" t="inlineStr">
        <is>
          <t>PF</t>
        </is>
      </c>
      <c r="J4" s="71" t="inlineStr">
        <is>
          <t>P</t>
        </is>
      </c>
      <c r="K4" s="71" t="inlineStr">
        <is>
          <t>F</t>
        </is>
      </c>
      <c r="L4" s="71" t="inlineStr">
        <is>
          <t>PF</t>
        </is>
      </c>
      <c r="M4" s="71" t="inlineStr">
        <is>
          <t>PF</t>
        </is>
      </c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  <c r="AG4" s="71" t="n"/>
      <c r="AH4" s="71" t="n"/>
      <c r="AI4" s="71" t="n"/>
      <c r="AJ4" s="71" t="n"/>
    </row>
    <row r="5" ht="15.75" customHeight="1">
      <c r="A5" s="67" t="n">
        <v>2</v>
      </c>
      <c r="B5" s="67" t="n"/>
      <c r="C5" s="68">
        <f>+'Datos '!H2</f>
        <v/>
      </c>
      <c r="D5" s="69">
        <f>_xlfn.LET(_xlpm.rango, F5:AJ5, (COUNTIF(_xlpm.rango, "P") + COUNTIF(_xlpm.rango, "PF")) / (COUNTIF(_xlpm.rango, "P") + COUNTIF(_xlpm.rango, "A") + COUNTIF(_xlpm.rango, "PF")))</f>
        <v/>
      </c>
      <c r="E5" s="70">
        <f>COUNTIF(F5:W5,"PF")</f>
        <v/>
      </c>
      <c r="F5" s="71" t="inlineStr">
        <is>
          <t>P</t>
        </is>
      </c>
      <c r="G5" s="71" t="inlineStr">
        <is>
          <t>PF</t>
        </is>
      </c>
      <c r="H5" s="71" t="inlineStr">
        <is>
          <t>P</t>
        </is>
      </c>
      <c r="I5" s="71" t="inlineStr">
        <is>
          <t>PF</t>
        </is>
      </c>
      <c r="J5" s="71" t="inlineStr">
        <is>
          <t>P</t>
        </is>
      </c>
      <c r="K5" s="71" t="inlineStr">
        <is>
          <t>F</t>
        </is>
      </c>
      <c r="L5" s="71" t="inlineStr">
        <is>
          <t>PF</t>
        </is>
      </c>
      <c r="M5" s="71" t="inlineStr">
        <is>
          <t>P</t>
        </is>
      </c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  <c r="AI5" s="71" t="n"/>
      <c r="AJ5" s="71" t="n"/>
    </row>
    <row r="6" ht="15.75" customHeight="1">
      <c r="A6" s="67" t="n">
        <v>3</v>
      </c>
      <c r="B6" s="67" t="n"/>
      <c r="C6" s="68">
        <f>+'Datos '!H3</f>
        <v/>
      </c>
      <c r="D6" s="69">
        <f>_xlfn.LET(_xlpm.rango, F6:AJ6, (COUNTIF(_xlpm.rango, "P") + COUNTIF(_xlpm.rango, "PF")) / (COUNTIF(_xlpm.rango, "P") + COUNTIF(_xlpm.rango, "A") + COUNTIF(_xlpm.rango, "PF")))</f>
        <v/>
      </c>
      <c r="E6" s="70">
        <f>COUNTIF(F6:W6,"PF")</f>
        <v/>
      </c>
      <c r="F6" s="71" t="inlineStr">
        <is>
          <t>P</t>
        </is>
      </c>
      <c r="G6" s="71" t="inlineStr">
        <is>
          <t>PF</t>
        </is>
      </c>
      <c r="H6" s="71" t="inlineStr">
        <is>
          <t>P</t>
        </is>
      </c>
      <c r="I6" s="71" t="inlineStr">
        <is>
          <t>PF</t>
        </is>
      </c>
      <c r="J6" s="71" t="inlineStr">
        <is>
          <t>P</t>
        </is>
      </c>
      <c r="K6" s="71" t="inlineStr">
        <is>
          <t>F</t>
        </is>
      </c>
      <c r="L6" s="71" t="inlineStr">
        <is>
          <t>PF</t>
        </is>
      </c>
      <c r="M6" s="71" t="inlineStr">
        <is>
          <t>P</t>
        </is>
      </c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  <c r="AI6" s="71" t="n"/>
      <c r="AJ6" s="71" t="n"/>
    </row>
    <row r="7" ht="15.75" customHeight="1">
      <c r="A7" s="67" t="n">
        <v>4</v>
      </c>
      <c r="B7" s="67" t="n"/>
      <c r="C7" s="68">
        <f>+'Datos '!H4</f>
        <v/>
      </c>
      <c r="D7" s="69">
        <f>_xlfn.LET(_xlpm.rango, F7:AJ7, (COUNTIF(_xlpm.rango, "P") + COUNTIF(_xlpm.rango, "PF")) / (COUNTIF(_xlpm.rango, "P") + COUNTIF(_xlpm.rango, "A") + COUNTIF(_xlpm.rango, "PF")))</f>
        <v/>
      </c>
      <c r="E7" s="70">
        <f>COUNTIF(F7:W7,"PF")</f>
        <v/>
      </c>
      <c r="F7" s="71" t="inlineStr">
        <is>
          <t>P</t>
        </is>
      </c>
      <c r="G7" s="71" t="inlineStr">
        <is>
          <t>PF</t>
        </is>
      </c>
      <c r="H7" s="71" t="inlineStr">
        <is>
          <t>P</t>
        </is>
      </c>
      <c r="I7" s="71" t="inlineStr">
        <is>
          <t>PF</t>
        </is>
      </c>
      <c r="J7" s="71" t="inlineStr">
        <is>
          <t>P</t>
        </is>
      </c>
      <c r="K7" s="71" t="inlineStr">
        <is>
          <t>F</t>
        </is>
      </c>
      <c r="L7" s="71" t="inlineStr">
        <is>
          <t>PF</t>
        </is>
      </c>
      <c r="M7" s="71" t="inlineStr">
        <is>
          <t>PF</t>
        </is>
      </c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  <c r="AI7" s="71" t="n"/>
      <c r="AJ7" s="71" t="n"/>
    </row>
    <row r="8" ht="15.75" customHeight="1">
      <c r="A8" s="67" t="n">
        <v>5</v>
      </c>
      <c r="B8" s="67" t="n"/>
      <c r="C8" s="68">
        <f>+'Datos '!H5</f>
        <v/>
      </c>
      <c r="D8" s="69">
        <f>_xlfn.LET(_xlpm.rango, F8:AJ8, (COUNTIF(_xlpm.rango, "P") + COUNTIF(_xlpm.rango, "PF")) / (COUNTIF(_xlpm.rango, "P") + COUNTIF(_xlpm.rango, "A") + COUNTIF(_xlpm.rango, "PF")))</f>
        <v/>
      </c>
      <c r="E8" s="70">
        <f>COUNTIF(F8:W8,"PF")</f>
        <v/>
      </c>
      <c r="F8" s="71" t="inlineStr">
        <is>
          <t>P</t>
        </is>
      </c>
      <c r="G8" s="71" t="inlineStr">
        <is>
          <t>PF</t>
        </is>
      </c>
      <c r="H8" s="71" t="inlineStr">
        <is>
          <t>P</t>
        </is>
      </c>
      <c r="I8" s="71" t="inlineStr">
        <is>
          <t>PF</t>
        </is>
      </c>
      <c r="J8" s="71" t="inlineStr">
        <is>
          <t>P</t>
        </is>
      </c>
      <c r="K8" s="71" t="inlineStr">
        <is>
          <t>F</t>
        </is>
      </c>
      <c r="L8" s="71" t="inlineStr">
        <is>
          <t>PF</t>
        </is>
      </c>
      <c r="M8" s="71" t="inlineStr">
        <is>
          <t>PF</t>
        </is>
      </c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</row>
    <row r="9" ht="15.75" customHeight="1">
      <c r="A9" s="67" t="n">
        <v>6</v>
      </c>
      <c r="B9" s="67" t="n"/>
      <c r="C9" s="68">
        <f>+'Datos '!H6</f>
        <v/>
      </c>
      <c r="D9" s="69">
        <f>_xlfn.LET(_xlpm.rango, F9:AJ9, (COUNTIF(_xlpm.rango, "P") + COUNTIF(_xlpm.rango, "PF")) / (COUNTIF(_xlpm.rango, "P") + COUNTIF(_xlpm.rango, "A") + COUNTIF(_xlpm.rango, "PF")))</f>
        <v/>
      </c>
      <c r="E9" s="70">
        <f>COUNTIF(F9:W9,"PF")</f>
        <v/>
      </c>
      <c r="F9" s="71" t="inlineStr">
        <is>
          <t>P</t>
        </is>
      </c>
      <c r="G9" s="71" t="inlineStr">
        <is>
          <t>PF</t>
        </is>
      </c>
      <c r="H9" s="71" t="inlineStr">
        <is>
          <t>P</t>
        </is>
      </c>
      <c r="I9" s="71" t="inlineStr">
        <is>
          <t>PF</t>
        </is>
      </c>
      <c r="J9" s="71" t="inlineStr">
        <is>
          <t>P</t>
        </is>
      </c>
      <c r="K9" s="71" t="inlineStr">
        <is>
          <t>F</t>
        </is>
      </c>
      <c r="L9" s="71" t="inlineStr">
        <is>
          <t>PF</t>
        </is>
      </c>
      <c r="M9" s="71" t="inlineStr">
        <is>
          <t>P</t>
        </is>
      </c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</row>
    <row r="10" ht="15.75" customHeight="1">
      <c r="A10" s="67" t="n">
        <v>7</v>
      </c>
      <c r="B10" s="67" t="n"/>
      <c r="C10" s="68">
        <f>+'Datos '!H7</f>
        <v/>
      </c>
      <c r="D10" s="69">
        <f>_xlfn.LET(_xlpm.rango, F10:AJ10, (COUNTIF(_xlpm.rango, "P") + COUNTIF(_xlpm.rango, "PF")) / (COUNTIF(_xlpm.rango, "P") + COUNTIF(_xlpm.rango, "A") + COUNTIF(_xlpm.rango, "PF")))</f>
        <v/>
      </c>
      <c r="E10" s="70">
        <f>COUNTIF(F10:W10,"PF")</f>
        <v/>
      </c>
      <c r="F10" s="71" t="inlineStr">
        <is>
          <t>P</t>
        </is>
      </c>
      <c r="G10" s="71" t="inlineStr">
        <is>
          <t>PF</t>
        </is>
      </c>
      <c r="H10" s="71" t="inlineStr">
        <is>
          <t>P</t>
        </is>
      </c>
      <c r="I10" s="71" t="inlineStr">
        <is>
          <t>PF</t>
        </is>
      </c>
      <c r="J10" s="71" t="inlineStr">
        <is>
          <t>P</t>
        </is>
      </c>
      <c r="K10" s="71" t="inlineStr">
        <is>
          <t>F</t>
        </is>
      </c>
      <c r="L10" s="71" t="inlineStr">
        <is>
          <t>PF</t>
        </is>
      </c>
      <c r="M10" s="71" t="inlineStr">
        <is>
          <t>PF</t>
        </is>
      </c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  <c r="AJ10" s="71" t="n"/>
    </row>
    <row r="11" ht="15.75" customHeight="1">
      <c r="A11" s="67" t="n">
        <v>8</v>
      </c>
      <c r="B11" s="67" t="n"/>
      <c r="C11" s="68">
        <f>+'Datos '!H8</f>
        <v/>
      </c>
      <c r="D11" s="69">
        <f>_xlfn.LET(_xlpm.rango, F11:AJ11, (COUNTIF(_xlpm.rango, "P") + COUNTIF(_xlpm.rango, "PF")) / (COUNTIF(_xlpm.rango, "P") + COUNTIF(_xlpm.rango, "A") + COUNTIF(_xlpm.rango, "PF")))</f>
        <v/>
      </c>
      <c r="E11" s="70">
        <f>COUNTIF(F11:W11,"PF")</f>
        <v/>
      </c>
      <c r="F11" s="71" t="inlineStr">
        <is>
          <t>P</t>
        </is>
      </c>
      <c r="G11" s="71" t="inlineStr">
        <is>
          <t>PF</t>
        </is>
      </c>
      <c r="H11" s="71" t="inlineStr">
        <is>
          <t>P</t>
        </is>
      </c>
      <c r="I11" s="71" t="inlineStr">
        <is>
          <t>PF</t>
        </is>
      </c>
      <c r="J11" s="71" t="inlineStr">
        <is>
          <t>P</t>
        </is>
      </c>
      <c r="K11" s="71" t="inlineStr">
        <is>
          <t>F</t>
        </is>
      </c>
      <c r="L11" s="71" t="inlineStr">
        <is>
          <t>PF</t>
        </is>
      </c>
      <c r="M11" s="71" t="inlineStr">
        <is>
          <t>P</t>
        </is>
      </c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  <c r="AI11" s="71" t="n"/>
      <c r="AJ11" s="71" t="n"/>
    </row>
    <row r="12" ht="15.75" customHeight="1">
      <c r="A12" s="67" t="n">
        <v>9</v>
      </c>
      <c r="B12" s="67" t="inlineStr">
        <is>
          <t>D</t>
        </is>
      </c>
      <c r="C12" s="68">
        <f>+'Datos '!H9</f>
        <v/>
      </c>
      <c r="D12" s="69">
        <f>_xlfn.LET(_xlpm.rango, F12:AJ12, (COUNTIF(_xlpm.rango, "P") + COUNTIF(_xlpm.rango, "PF")) / (COUNTIF(_xlpm.rango, "P") + COUNTIF(_xlpm.rango, "A") + COUNTIF(_xlpm.rango, "PF")))</f>
        <v/>
      </c>
      <c r="E12" s="70">
        <f>COUNTIF(F12:W12,"PF")</f>
        <v/>
      </c>
      <c r="F12" s="71" t="inlineStr">
        <is>
          <t>P</t>
        </is>
      </c>
      <c r="G12" s="71" t="inlineStr">
        <is>
          <t>PF</t>
        </is>
      </c>
      <c r="H12" s="71" t="inlineStr">
        <is>
          <t>P</t>
        </is>
      </c>
      <c r="I12" s="71" t="inlineStr">
        <is>
          <t>PF</t>
        </is>
      </c>
      <c r="J12" s="71" t="inlineStr">
        <is>
          <t>P</t>
        </is>
      </c>
      <c r="K12" s="71" t="inlineStr">
        <is>
          <t>F</t>
        </is>
      </c>
      <c r="L12" s="71" t="inlineStr">
        <is>
          <t>PF</t>
        </is>
      </c>
      <c r="M12" s="71" t="inlineStr">
        <is>
          <t>PF</t>
        </is>
      </c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</row>
    <row r="13" ht="15.75" customHeight="1">
      <c r="A13" s="67" t="n">
        <v>10</v>
      </c>
      <c r="B13" s="67" t="n"/>
      <c r="C13" s="68">
        <f>+'Datos '!H10</f>
        <v/>
      </c>
      <c r="D13" s="69">
        <f>_xlfn.LET(_xlpm.rango, F13:AJ13, (COUNTIF(_xlpm.rango, "P") + COUNTIF(_xlpm.rango, "PF")) / (COUNTIF(_xlpm.rango, "P") + COUNTIF(_xlpm.rango, "A") + COUNTIF(_xlpm.rango, "PF")))</f>
        <v/>
      </c>
      <c r="E13" s="70">
        <f>COUNTIF(F13:W13,"PF")</f>
        <v/>
      </c>
      <c r="F13" s="71" t="inlineStr">
        <is>
          <t>P</t>
        </is>
      </c>
      <c r="G13" s="71" t="inlineStr">
        <is>
          <t>PF</t>
        </is>
      </c>
      <c r="H13" s="71" t="inlineStr">
        <is>
          <t>P</t>
        </is>
      </c>
      <c r="I13" s="71" t="inlineStr">
        <is>
          <t>PF</t>
        </is>
      </c>
      <c r="J13" s="71" t="inlineStr">
        <is>
          <t>P</t>
        </is>
      </c>
      <c r="K13" s="71" t="inlineStr">
        <is>
          <t>F</t>
        </is>
      </c>
      <c r="L13" s="71" t="inlineStr">
        <is>
          <t>PF</t>
        </is>
      </c>
      <c r="M13" s="71" t="inlineStr">
        <is>
          <t>PF</t>
        </is>
      </c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</row>
    <row r="14" ht="15.75" customHeight="1">
      <c r="A14" s="67" t="n">
        <v>11</v>
      </c>
      <c r="B14" s="67" t="n"/>
      <c r="C14" s="68">
        <f>+'Datos '!H11</f>
        <v/>
      </c>
      <c r="D14" s="69">
        <f>_xlfn.LET(_xlpm.rango, F14:AJ14, (COUNTIF(_xlpm.rango, "P") + COUNTIF(_xlpm.rango, "PF")) / (COUNTIF(_xlpm.rango, "P") + COUNTIF(_xlpm.rango, "A") + COUNTIF(_xlpm.rango, "PF")))</f>
        <v/>
      </c>
      <c r="E14" s="70">
        <f>COUNTIF(F14:W14,"PF")</f>
        <v/>
      </c>
      <c r="F14" s="71" t="inlineStr">
        <is>
          <t>P</t>
        </is>
      </c>
      <c r="G14" s="71" t="inlineStr">
        <is>
          <t>PF</t>
        </is>
      </c>
      <c r="H14" s="71" t="inlineStr">
        <is>
          <t>P</t>
        </is>
      </c>
      <c r="I14" s="71" t="inlineStr">
        <is>
          <t>PF</t>
        </is>
      </c>
      <c r="J14" s="71" t="inlineStr">
        <is>
          <t>P</t>
        </is>
      </c>
      <c r="K14" s="71" t="inlineStr">
        <is>
          <t>F</t>
        </is>
      </c>
      <c r="L14" s="71" t="inlineStr">
        <is>
          <t>PF</t>
        </is>
      </c>
      <c r="M14" s="71" t="inlineStr">
        <is>
          <t>PF</t>
        </is>
      </c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</row>
    <row r="15" ht="15.75" customHeight="1">
      <c r="A15" s="67" t="n">
        <v>12</v>
      </c>
      <c r="B15" s="67" t="n"/>
      <c r="C15" s="68">
        <f>+'Datos '!H12</f>
        <v/>
      </c>
      <c r="D15" s="69">
        <f>_xlfn.LET(_xlpm.rango, F15:AJ15, (COUNTIF(_xlpm.rango, "P") + COUNTIF(_xlpm.rango, "PF")) / (COUNTIF(_xlpm.rango, "P") + COUNTIF(_xlpm.rango, "A") + COUNTIF(_xlpm.rango, "PF")))</f>
        <v/>
      </c>
      <c r="E15" s="70">
        <f>COUNTIF(F15:W15,"PF")</f>
        <v/>
      </c>
      <c r="F15" s="71" t="inlineStr">
        <is>
          <t>P</t>
        </is>
      </c>
      <c r="G15" s="71" t="inlineStr">
        <is>
          <t>PF</t>
        </is>
      </c>
      <c r="H15" s="71" t="inlineStr">
        <is>
          <t>P</t>
        </is>
      </c>
      <c r="I15" s="71" t="inlineStr">
        <is>
          <t>PF</t>
        </is>
      </c>
      <c r="J15" s="71" t="inlineStr">
        <is>
          <t>P</t>
        </is>
      </c>
      <c r="K15" s="71" t="inlineStr">
        <is>
          <t>F</t>
        </is>
      </c>
      <c r="L15" s="71" t="inlineStr">
        <is>
          <t>PF</t>
        </is>
      </c>
      <c r="M15" s="71" t="inlineStr">
        <is>
          <t>PF</t>
        </is>
      </c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</row>
    <row r="16" ht="15.75" customHeight="1">
      <c r="A16" s="67" t="n">
        <v>13</v>
      </c>
      <c r="B16" s="67" t="n"/>
      <c r="C16" s="68">
        <f>+'Datos '!H13</f>
        <v/>
      </c>
      <c r="D16" s="69">
        <f>_xlfn.LET(_xlpm.rango, F16:AJ16, (COUNTIF(_xlpm.rango, "P") + COUNTIF(_xlpm.rango, "PF")) / (COUNTIF(_xlpm.rango, "P") + COUNTIF(_xlpm.rango, "A") + COUNTIF(_xlpm.rango, "PF")))</f>
        <v/>
      </c>
      <c r="E16" s="70">
        <f>COUNTIF(F16:W16,"PF")</f>
        <v/>
      </c>
      <c r="F16" s="71" t="inlineStr">
        <is>
          <t>P</t>
        </is>
      </c>
      <c r="G16" s="71" t="inlineStr">
        <is>
          <t>PF</t>
        </is>
      </c>
      <c r="H16" s="71" t="inlineStr">
        <is>
          <t>P</t>
        </is>
      </c>
      <c r="I16" s="71" t="inlineStr">
        <is>
          <t>PF</t>
        </is>
      </c>
      <c r="J16" s="71" t="inlineStr">
        <is>
          <t>P</t>
        </is>
      </c>
      <c r="K16" s="71" t="inlineStr">
        <is>
          <t>F</t>
        </is>
      </c>
      <c r="L16" s="71" t="inlineStr">
        <is>
          <t>PF</t>
        </is>
      </c>
      <c r="M16" s="71" t="inlineStr">
        <is>
          <t>P</t>
        </is>
      </c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</row>
    <row r="17" ht="15.75" customHeight="1">
      <c r="A17" s="67" t="n">
        <v>14</v>
      </c>
      <c r="B17" s="67" t="n"/>
      <c r="C17" s="68">
        <f>+'Datos '!H14</f>
        <v/>
      </c>
      <c r="D17" s="69">
        <f>_xlfn.LET(_xlpm.rango, F17:AJ17, (COUNTIF(_xlpm.rango, "P") + COUNTIF(_xlpm.rango, "PF")) / (COUNTIF(_xlpm.rango, "P") + COUNTIF(_xlpm.rango, "A") + COUNTIF(_xlpm.rango, "PF")))</f>
        <v/>
      </c>
      <c r="E17" s="70">
        <f>COUNTIF(F17:W17,"PF")</f>
        <v/>
      </c>
      <c r="F17" s="71" t="inlineStr">
        <is>
          <t>P</t>
        </is>
      </c>
      <c r="G17" s="71" t="inlineStr">
        <is>
          <t>PF</t>
        </is>
      </c>
      <c r="H17" s="71" t="inlineStr">
        <is>
          <t>P</t>
        </is>
      </c>
      <c r="I17" s="71" t="inlineStr">
        <is>
          <t>PF</t>
        </is>
      </c>
      <c r="J17" s="71" t="inlineStr">
        <is>
          <t>P</t>
        </is>
      </c>
      <c r="K17" s="71" t="inlineStr">
        <is>
          <t>F</t>
        </is>
      </c>
      <c r="L17" s="71" t="inlineStr">
        <is>
          <t>PF</t>
        </is>
      </c>
      <c r="M17" s="71" t="inlineStr">
        <is>
          <t>PFP</t>
        </is>
      </c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</row>
  </sheetData>
  <mergeCells count="1">
    <mergeCell ref="T2:V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3" customWidth="1" min="1" max="1"/>
    <col width="39.85546875" customWidth="1" min="2" max="2"/>
    <col width="11.7109375" customWidth="1" min="3" max="3"/>
    <col width="12" customWidth="1" min="4" max="4"/>
    <col width="13.140625" customWidth="1" min="5" max="5"/>
    <col width="14.140625" customWidth="1" min="6" max="6"/>
    <col width="11.5703125" customWidth="1" min="7" max="7"/>
    <col width="12.140625" customWidth="1" min="8" max="8"/>
    <col width="9.7109375" customWidth="1" min="9" max="9"/>
    <col width="12.140625" customWidth="1" min="10" max="10"/>
    <col width="11.28515625" customWidth="1" min="11" max="11"/>
    <col width="12.140625" customWidth="1" min="12" max="12"/>
    <col width="10.7109375" customWidth="1" min="13" max="13"/>
    <col width="10.28515625" customWidth="1" min="14" max="14"/>
    <col width="10.5703125" customWidth="1" min="16" max="16"/>
    <col width="11.85546875" customWidth="1" min="17" max="17"/>
    <col width="10.28515625" customWidth="1" min="18" max="18"/>
    <col width="15.140625" customWidth="1" min="19" max="19"/>
    <col width="10.7109375" customWidth="1" min="20" max="20"/>
    <col width="15" customWidth="1" min="21" max="21"/>
    <col width="10.85546875" customWidth="1" min="22" max="22"/>
    <col width="9.7109375" customWidth="1" min="23" max="23"/>
    <col width="9.85546875" customWidth="1" min="24" max="24"/>
    <col width="11.5703125" customWidth="1" min="25" max="25"/>
    <col width="13" customWidth="1" min="26" max="26"/>
    <col width="14.140625" customWidth="1" min="27" max="27"/>
  </cols>
  <sheetData>
    <row r="1" ht="15.75" customHeight="1">
      <c r="C1" s="74" t="n"/>
      <c r="D1" s="39" t="n"/>
      <c r="E1" s="39" t="n"/>
      <c r="F1" s="40" t="n"/>
      <c r="G1" s="74" t="n"/>
      <c r="H1" s="75" t="n"/>
      <c r="I1" s="39" t="n"/>
      <c r="J1" s="39" t="n"/>
      <c r="K1" s="40" t="n"/>
      <c r="L1" s="76" t="n"/>
      <c r="M1" s="40" t="n"/>
      <c r="N1" s="75" t="n"/>
      <c r="O1" s="75" t="inlineStr">
        <is>
          <t>Promoción de la Salud</t>
        </is>
      </c>
      <c r="P1" s="40" t="n"/>
    </row>
    <row r="2" ht="69" customHeight="1">
      <c r="A2" s="77" t="inlineStr">
        <is>
          <t>ID</t>
        </is>
      </c>
      <c r="B2" s="77" t="inlineStr">
        <is>
          <t>Nombre del Alumno</t>
        </is>
      </c>
      <c r="C2" s="78" t="inlineStr">
        <is>
          <t>- Identifica principios éticos y morales.</t>
        </is>
      </c>
      <c r="D2" s="78" t="inlineStr">
        <is>
          <t>- Diferencia moral y moralidad.</t>
        </is>
      </c>
      <c r="E2" s="78" t="inlineStr">
        <is>
          <t>- Reconoce problemáticas éticas globales.</t>
        </is>
      </c>
      <c r="F2" s="78" t="inlineStr">
        <is>
          <t>- Analiza causas de la mortalidad infantil.</t>
        </is>
      </c>
      <c r="G2" s="78" t="inlineStr">
        <is>
          <t>- Valora el código de convivencia.</t>
        </is>
      </c>
      <c r="H2" s="78" t="inlineStr">
        <is>
          <t>- Propone normas de respeto mutuo.</t>
        </is>
      </c>
      <c r="I2" s="78" t="inlineStr">
        <is>
          <t>- Define tipos de bullying.</t>
        </is>
      </c>
      <c r="J2" s="79" t="inlineStr">
        <is>
          <t>- Identifica consecuencias psicológicas.</t>
        </is>
      </c>
      <c r="K2" s="79" t="inlineStr">
        <is>
          <t>- Propone acciones de prevención.</t>
        </is>
      </c>
      <c r="L2" s="79" t="inlineStr">
        <is>
          <t>- Diferencia mediación de negociación.</t>
        </is>
      </c>
      <c r="M2" s="79" t="inlineStr">
        <is>
          <t>- Aplica pasos de la negociación asertiva.</t>
        </is>
      </c>
      <c r="N2" s="80" t="inlineStr">
        <is>
          <t>- Define el concepto de canasta básica.</t>
        </is>
      </c>
      <c r="O2" s="80" t="inlineStr">
        <is>
          <t>- Analiza el impacto de la pobreza.</t>
        </is>
      </c>
      <c r="P2" s="80" t="inlineStr">
        <is>
          <t>- Identifica tipos de violencia familiar.</t>
        </is>
      </c>
      <c r="Q2" s="80" t="inlineStr">
        <is>
          <t>- Conoce rutas de denuncia en Paraguay.</t>
        </is>
      </c>
      <c r="R2" s="79" t="inlineStr">
        <is>
          <t>- Explica la universalidad de los derechos.</t>
        </is>
      </c>
      <c r="S2" s="79" t="inlineStr">
        <is>
          <t>- Distingue progresividad de irreversibilidad.</t>
        </is>
      </c>
      <c r="T2" s="79" t="inlineStr">
        <is>
          <t>- Reconoce formas de explotación infantil.</t>
        </is>
      </c>
      <c r="U2" s="79" t="inlineStr">
        <is>
          <t>- Valora la protección contra el trabajo forzado.</t>
        </is>
      </c>
      <c r="V2" s="80" t="inlineStr">
        <is>
          <t>- Identifica factores de exclusión femenina.</t>
        </is>
      </c>
      <c r="W2" s="80" t="inlineStr">
        <is>
          <t>- Propone acciones para la igualdad.</t>
        </is>
      </c>
      <c r="X2" s="80" t="inlineStr">
        <is>
          <t>- Identifica la función tributaria.</t>
        </is>
      </c>
      <c r="Y2" s="80" t="inlineStr">
        <is>
          <t>- Valora la función social de los tributos.</t>
        </is>
      </c>
      <c r="Z2" s="80" t="inlineStr">
        <is>
          <t>- Reconoce funciones del Ministerio de Hacienda.</t>
        </is>
      </c>
      <c r="AA2" s="80" t="inlineStr">
        <is>
          <t>- Diferencia roles de Intendentes y Gobernadores.</t>
        </is>
      </c>
    </row>
    <row r="3">
      <c r="A3" s="81" t="n">
        <v>1</v>
      </c>
      <c r="B3" s="81">
        <f>+'03-ASISTENCIA'!C3</f>
        <v/>
      </c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82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</row>
    <row r="4">
      <c r="A4" s="81" t="n">
        <v>2</v>
      </c>
      <c r="B4" s="81">
        <f>+'03-ASISTENCIA'!C4</f>
        <v/>
      </c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</row>
    <row r="5">
      <c r="A5" s="81" t="n">
        <v>3</v>
      </c>
      <c r="B5" s="81">
        <f>+'03-ASISTENCIA'!C5</f>
        <v/>
      </c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</row>
    <row r="6">
      <c r="A6" s="81" t="n">
        <v>4</v>
      </c>
      <c r="B6" s="81">
        <f>+'03-ASISTENCIA'!C6</f>
        <v/>
      </c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</row>
    <row r="7">
      <c r="A7" s="81" t="n">
        <v>5</v>
      </c>
      <c r="B7" s="81">
        <f>+'03-ASISTENCIA'!C7</f>
        <v/>
      </c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</row>
    <row r="8">
      <c r="A8" s="81" t="n">
        <v>6</v>
      </c>
      <c r="B8" s="81">
        <f>+'03-ASISTENCIA'!C8</f>
        <v/>
      </c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</row>
    <row r="9">
      <c r="A9" s="81" t="n">
        <v>7</v>
      </c>
      <c r="B9" s="81">
        <f>+'03-ASISTENCIA'!C9</f>
        <v/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</row>
    <row r="10">
      <c r="A10" s="81" t="n">
        <v>8</v>
      </c>
      <c r="B10" s="81">
        <f>+'03-ASISTENCIA'!C10</f>
        <v/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</row>
    <row r="11">
      <c r="A11" s="81" t="n">
        <v>9</v>
      </c>
      <c r="B11" s="81">
        <f>+'03-ASISTENCIA'!C11</f>
        <v/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</row>
    <row r="12">
      <c r="A12" s="81" t="n">
        <v>10</v>
      </c>
      <c r="B12" s="81">
        <f>+'03-ASISTENCIA'!C12</f>
        <v/>
      </c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</row>
    <row r="13">
      <c r="A13" s="81" t="n">
        <v>11</v>
      </c>
      <c r="B13" s="81">
        <f>+'03-ASISTENCIA'!C13</f>
        <v/>
      </c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2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</row>
    <row r="14">
      <c r="A14" s="81" t="n">
        <v>12</v>
      </c>
      <c r="B14" s="81">
        <f>+'03-ASISTENCIA'!C14</f>
        <v/>
      </c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2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</row>
    <row r="15">
      <c r="A15" s="81" t="n">
        <v>13</v>
      </c>
      <c r="B15" s="81">
        <f>+'03-ASISTENCIA'!C15</f>
        <v/>
      </c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2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</row>
    <row r="16">
      <c r="A16" s="81" t="n">
        <v>14</v>
      </c>
      <c r="B16" s="81">
        <f>+'03-ASISTENCIA'!C16</f>
        <v/>
      </c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</row>
    <row r="17">
      <c r="A17" s="81" t="n">
        <v>15</v>
      </c>
      <c r="B17" s="81">
        <f>+'03-ASISTENCIA'!C17</f>
        <v/>
      </c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</row>
    <row r="18">
      <c r="A18" s="81" t="n">
        <v>16</v>
      </c>
      <c r="B18" s="81">
        <f>+'03-ASISTENCIA'!#REF!</f>
        <v/>
      </c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</row>
    <row r="19">
      <c r="A19" s="81" t="n">
        <v>17</v>
      </c>
      <c r="B19" s="81">
        <f>+'03-ASISTENCIA'!#REF!</f>
        <v/>
      </c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</row>
    <row r="20">
      <c r="A20" s="81" t="n">
        <v>18</v>
      </c>
      <c r="B20" s="81">
        <f>+'03-ASISTENCIA'!#REF!</f>
        <v/>
      </c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1" t="n"/>
    </row>
    <row r="21">
      <c r="A21" s="81" t="n">
        <v>19</v>
      </c>
      <c r="B21" s="81">
        <f>+'03-ASISTENCIA'!#REF!</f>
        <v/>
      </c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1" t="n"/>
    </row>
    <row r="22">
      <c r="A22" s="81" t="n">
        <v>20</v>
      </c>
      <c r="B22" s="81">
        <f>+'03-ASISTENCIA'!#REF!</f>
        <v/>
      </c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</row>
    <row r="23">
      <c r="A23" s="81" t="n">
        <v>21</v>
      </c>
      <c r="B23" s="81">
        <f>+'03-ASISTENCIA'!#REF!</f>
        <v/>
      </c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</row>
  </sheetData>
  <mergeCells count="4">
    <mergeCell ref="L1:M1"/>
    <mergeCell ref="H1:K1"/>
    <mergeCell ref="O1:P1"/>
    <mergeCell ref="C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</cols>
  <sheetData>
    <row r="1">
      <c r="A1" s="84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85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87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87" t="inlineStr">
        <is>
          <t>Total general</t>
        </is>
      </c>
      <c r="C5" t="n">
        <v>1</v>
      </c>
      <c r="E5" s="87" t="inlineStr">
        <is>
          <t>Nombre y Apellido</t>
        </is>
      </c>
      <c r="F5" t="n">
        <v>1</v>
      </c>
      <c r="G5" t="n">
        <v>1</v>
      </c>
    </row>
    <row r="6">
      <c r="E6" s="87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87" t="inlineStr">
        <is>
          <t>Total general</t>
        </is>
      </c>
    </row>
    <row r="10"/>
    <row r="11"/>
    <row r="12">
      <c r="I12" s="86" t="n">
        <v>46136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L18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3.7109375" customWidth="1" min="23" max="23"/>
    <col width="10.7109375" customWidth="1" min="142" max="142"/>
  </cols>
  <sheetData>
    <row r="1" ht="6" customHeight="1"/>
    <row r="2" ht="31.5" customHeight="1">
      <c r="C2" s="55" t="inlineStr">
        <is>
          <t>PLANILLA DE ASISTENCIA</t>
        </is>
      </c>
      <c r="D2" s="56">
        <f>+AVERAGE(D5:D18)</f>
        <v/>
      </c>
      <c r="E2" s="57" t="n"/>
      <c r="F2" s="93" t="n"/>
      <c r="G2" s="93" t="n"/>
      <c r="H2" s="94" t="inlineStr">
        <is>
          <t>CIENCIAS NATURALES</t>
        </is>
      </c>
      <c r="I2" s="61" t="n"/>
      <c r="J2" s="61" t="n"/>
      <c r="K2" s="61" t="n"/>
      <c r="L2" s="61" t="n"/>
      <c r="M2" s="93" t="n"/>
      <c r="N2" s="95" t="inlineStr">
        <is>
          <t>SEPTIMO</t>
        </is>
      </c>
      <c r="O2" s="93" t="n"/>
      <c r="P2" s="93" t="n"/>
      <c r="Q2" s="96" t="n"/>
      <c r="R2" s="96" t="inlineStr">
        <is>
          <t>TT</t>
        </is>
      </c>
      <c r="S2" s="94" t="n">
        <v>2026</v>
      </c>
      <c r="T2" s="61" t="n"/>
      <c r="U2" s="61" t="n"/>
      <c r="V2" s="93" t="n"/>
    </row>
    <row r="3" ht="21.75" customHeight="1">
      <c r="C3" s="55" t="n"/>
      <c r="D3" s="56" t="n"/>
      <c r="E3" s="57" t="n"/>
      <c r="F3" s="93" t="n"/>
      <c r="G3" s="93" t="n"/>
      <c r="H3" s="94" t="n"/>
      <c r="I3" s="94" t="n"/>
      <c r="J3" s="94" t="n"/>
      <c r="K3" s="94" t="n"/>
      <c r="L3" s="94" t="n"/>
      <c r="M3" s="93" t="n"/>
      <c r="N3" s="95" t="n"/>
      <c r="O3" s="93" t="n"/>
      <c r="P3" s="93" t="n"/>
      <c r="Q3" s="96" t="n"/>
      <c r="R3" s="96" t="n"/>
      <c r="S3" s="94" t="n"/>
      <c r="T3" s="94" t="n"/>
      <c r="U3" s="94" t="n"/>
      <c r="V3" s="93" t="n"/>
    </row>
    <row r="4" ht="120.75" customHeight="1">
      <c r="A4" s="62" t="inlineStr">
        <is>
          <t>N° Orden</t>
        </is>
      </c>
      <c r="B4" s="62" t="n"/>
      <c r="C4" s="62" t="inlineStr">
        <is>
          <t>Apellido/s Nombre/s</t>
        </is>
      </c>
      <c r="D4" s="63" t="inlineStr">
        <is>
          <t>% DE ASISTENCIA</t>
        </is>
      </c>
      <c r="E4" s="64" t="inlineStr">
        <is>
          <t>FIRMAS</t>
        </is>
      </c>
      <c r="F4" s="97">
        <f>+'04-RSA'!C2</f>
        <v/>
      </c>
      <c r="G4" s="97">
        <f>+'04-RSA'!D2</f>
        <v/>
      </c>
      <c r="H4" s="97">
        <f>+'04-RSA'!E2</f>
        <v/>
      </c>
      <c r="I4" s="97">
        <f>+'04-RSA'!F2</f>
        <v/>
      </c>
      <c r="J4" s="97">
        <f>+'04-RSA'!G2</f>
        <v/>
      </c>
      <c r="K4" s="97">
        <f>+'04-RSA'!H2</f>
        <v/>
      </c>
      <c r="L4" s="97">
        <f>+'04-RSA'!I2</f>
        <v/>
      </c>
      <c r="M4" s="97">
        <f>+'04-RSA'!J2</f>
        <v/>
      </c>
      <c r="N4" s="97">
        <f>+'04-RSA'!K2</f>
        <v/>
      </c>
      <c r="O4" s="97">
        <f>+'04-RSA'!L2</f>
        <v/>
      </c>
      <c r="P4" s="97">
        <f>+'04-RSA'!M2</f>
        <v/>
      </c>
      <c r="Q4" s="97">
        <f>+'04-RSA'!N2</f>
        <v/>
      </c>
      <c r="R4" s="97">
        <f>+'04-RSA'!O2</f>
        <v/>
      </c>
      <c r="S4" s="97">
        <f>+'04-RSA'!P2</f>
        <v/>
      </c>
      <c r="T4" s="97">
        <f>+'04-RSA'!Q2</f>
        <v/>
      </c>
      <c r="U4" s="97">
        <f>+'04-RSA'!R2</f>
        <v/>
      </c>
      <c r="V4" s="97">
        <f>+'04-RSA'!S2</f>
        <v/>
      </c>
      <c r="W4" s="97">
        <f>+'04-RSA'!T2</f>
        <v/>
      </c>
      <c r="X4" s="97">
        <f>+'04-RSA'!U2</f>
        <v/>
      </c>
      <c r="Y4" s="97">
        <f>+'04-RSA'!V2</f>
        <v/>
      </c>
      <c r="Z4" s="97">
        <f>+'04-RSA'!W2</f>
        <v/>
      </c>
      <c r="AA4" s="97">
        <f>+'04-RSA'!X2</f>
        <v/>
      </c>
      <c r="AB4" s="97">
        <f>+'04-RSA'!Y2</f>
        <v/>
      </c>
      <c r="AC4" s="97">
        <f>+'04-RSA'!Z2</f>
        <v/>
      </c>
      <c r="AD4" s="97">
        <f>+'04-RSA'!AA2</f>
        <v/>
      </c>
      <c r="AE4" s="97">
        <f>+'04-RSA'!AB2</f>
        <v/>
      </c>
      <c r="AF4" s="97">
        <f>+'04-RSA'!AC2</f>
        <v/>
      </c>
      <c r="AG4" s="97">
        <f>+'04-RSA'!AD2</f>
        <v/>
      </c>
      <c r="AH4" s="97">
        <f>+'04-RSA'!AE2</f>
        <v/>
      </c>
      <c r="AI4" s="98" t="n"/>
      <c r="EL4" s="66">
        <f>+TODAY()</f>
        <v/>
      </c>
    </row>
    <row r="5" ht="15.75" customHeight="1">
      <c r="A5" s="67" t="n">
        <v>1</v>
      </c>
      <c r="B5" s="67" t="n"/>
      <c r="C5" s="68">
        <f>+'Datos '!B2</f>
        <v/>
      </c>
      <c r="D5" s="69">
        <f>+'03-ASISTENCIA'!D4</f>
        <v/>
      </c>
      <c r="E5" s="70">
        <f>+'03-ASISTENCIA'!E4</f>
        <v/>
      </c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</row>
    <row r="6" ht="15.75" customHeight="1">
      <c r="A6" s="67" t="n">
        <v>2</v>
      </c>
      <c r="B6" s="67" t="n"/>
      <c r="C6" s="68">
        <f>+'Datos '!B3</f>
        <v/>
      </c>
      <c r="D6" s="69">
        <f>+'03-ASISTENCIA'!D5</f>
        <v/>
      </c>
      <c r="E6" s="70">
        <f>+'03-ASISTENCIA'!E5</f>
        <v/>
      </c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</row>
    <row r="7" ht="15.75" customHeight="1">
      <c r="A7" s="67" t="n">
        <v>3</v>
      </c>
      <c r="B7" s="67" t="n"/>
      <c r="C7" s="68">
        <f>+'Datos '!B4</f>
        <v/>
      </c>
      <c r="D7" s="69">
        <f>+'03-ASISTENCIA'!D6</f>
        <v/>
      </c>
      <c r="E7" s="70">
        <f>+'03-ASISTENCIA'!E6</f>
        <v/>
      </c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</row>
    <row r="8" ht="15.75" customHeight="1">
      <c r="A8" s="67" t="n">
        <v>4</v>
      </c>
      <c r="B8" s="67" t="n"/>
      <c r="C8" s="68">
        <f>+'Datos '!B5</f>
        <v/>
      </c>
      <c r="D8" s="69">
        <f>+'03-ASISTENCIA'!D7</f>
        <v/>
      </c>
      <c r="E8" s="70">
        <f>+'03-ASISTENCIA'!E7</f>
        <v/>
      </c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</row>
    <row r="9" ht="15.75" customHeight="1">
      <c r="A9" s="67" t="n">
        <v>5</v>
      </c>
      <c r="B9" s="67" t="n"/>
      <c r="C9" s="68">
        <f>+'Datos '!B6</f>
        <v/>
      </c>
      <c r="D9" s="69">
        <f>+'03-ASISTENCIA'!D8</f>
        <v/>
      </c>
      <c r="E9" s="70">
        <f>+'03-ASISTENCIA'!E8</f>
        <v/>
      </c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</row>
    <row r="10" ht="15.75" customHeight="1">
      <c r="A10" s="67" t="n">
        <v>6</v>
      </c>
      <c r="B10" s="67" t="n"/>
      <c r="C10" s="68">
        <f>+'Datos '!B7</f>
        <v/>
      </c>
      <c r="D10" s="69">
        <f>+'03-ASISTENCIA'!D9</f>
        <v/>
      </c>
      <c r="E10" s="70">
        <f>+'03-ASISTENCIA'!E9</f>
        <v/>
      </c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</row>
    <row r="11" ht="15.75" customHeight="1">
      <c r="A11" s="67" t="n">
        <v>7</v>
      </c>
      <c r="B11" s="67" t="n"/>
      <c r="C11" s="68">
        <f>+'Datos '!B8</f>
        <v/>
      </c>
      <c r="D11" s="69">
        <f>+'03-ASISTENCIA'!D10</f>
        <v/>
      </c>
      <c r="E11" s="70">
        <f>+'03-ASISTENCIA'!E10</f>
        <v/>
      </c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</row>
    <row r="12" ht="15.75" customHeight="1">
      <c r="A12" s="67" t="n">
        <v>8</v>
      </c>
      <c r="B12" s="67" t="n"/>
      <c r="C12" s="68">
        <f>+'Datos '!B9</f>
        <v/>
      </c>
      <c r="D12" s="69">
        <f>+'03-ASISTENCIA'!D11</f>
        <v/>
      </c>
      <c r="E12" s="70">
        <f>+'03-ASISTENCIA'!E11</f>
        <v/>
      </c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</row>
    <row r="13" ht="15.75" customHeight="1">
      <c r="A13" s="67" t="n">
        <v>9</v>
      </c>
      <c r="B13" s="67" t="inlineStr">
        <is>
          <t>D</t>
        </is>
      </c>
      <c r="C13" s="68">
        <f>+'Datos '!B10</f>
        <v/>
      </c>
      <c r="D13" s="69">
        <f>+'03-ASISTENCIA'!D12</f>
        <v/>
      </c>
      <c r="E13" s="70">
        <f>+'03-ASISTENCIA'!E12</f>
        <v/>
      </c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</row>
    <row r="14" ht="15.75" customHeight="1">
      <c r="A14" s="67" t="n">
        <v>10</v>
      </c>
      <c r="B14" s="67" t="n"/>
      <c r="C14" s="68">
        <f>+'Datos '!B11</f>
        <v/>
      </c>
      <c r="D14" s="69">
        <f>+'03-ASISTENCIA'!D13</f>
        <v/>
      </c>
      <c r="E14" s="70">
        <f>+'03-ASISTENCIA'!E13</f>
        <v/>
      </c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</row>
    <row r="15" ht="15.75" customHeight="1">
      <c r="A15" s="67" t="n">
        <v>11</v>
      </c>
      <c r="B15" s="67" t="n"/>
      <c r="C15" s="68">
        <f>+'Datos '!B12</f>
        <v/>
      </c>
      <c r="D15" s="69">
        <f>+'03-ASISTENCIA'!D14</f>
        <v/>
      </c>
      <c r="E15" s="70">
        <f>+'03-ASISTENCIA'!E14</f>
        <v/>
      </c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</row>
    <row r="16" ht="15.75" customHeight="1">
      <c r="A16" s="67" t="n">
        <v>12</v>
      </c>
      <c r="B16" s="67" t="n"/>
      <c r="C16" s="68">
        <f>+'Datos '!B13</f>
        <v/>
      </c>
      <c r="D16" s="69">
        <f>+'03-ASISTENCIA'!D15</f>
        <v/>
      </c>
      <c r="E16" s="70">
        <f>+'03-ASISTENCIA'!E15</f>
        <v/>
      </c>
      <c r="F16" s="99" t="n"/>
      <c r="G16" s="99" t="n"/>
      <c r="H16" s="99" t="n"/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</row>
    <row r="17" ht="15.75" customHeight="1">
      <c r="A17" s="67" t="n">
        <v>13</v>
      </c>
      <c r="B17" s="67" t="n"/>
      <c r="C17" s="68">
        <f>+'Datos '!B14</f>
        <v/>
      </c>
      <c r="D17" s="69">
        <f>+'03-ASISTENCIA'!D16</f>
        <v/>
      </c>
      <c r="E17" s="70">
        <f>+'03-ASISTENCIA'!E16</f>
        <v/>
      </c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</row>
    <row r="18" ht="15.75" customHeight="1">
      <c r="A18" s="67" t="n">
        <v>14</v>
      </c>
      <c r="B18" s="67" t="n"/>
      <c r="C18" s="68">
        <f>+'Datos '!B15</f>
        <v/>
      </c>
      <c r="D18" s="69">
        <f>+'03-ASISTENCIA'!D17</f>
        <v/>
      </c>
      <c r="E18" s="70">
        <f>+'03-ASISTENCIA'!E17</f>
        <v/>
      </c>
      <c r="F18" s="99" t="n"/>
      <c r="G18" s="99" t="n"/>
      <c r="H18" s="99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</row>
  </sheetData>
  <mergeCells count="2">
    <mergeCell ref="H2:L2"/>
    <mergeCell ref="S2:U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</cols>
  <sheetData>
    <row r="1" ht="30" customHeight="1">
      <c r="A1" s="100" t="inlineStr">
        <is>
          <t>Fecha (DD/MM/YYYY)</t>
        </is>
      </c>
      <c r="B1" s="100" t="inlineStr">
        <is>
          <t>Evento / Conmemoración</t>
        </is>
      </c>
      <c r="C1" s="101" t="inlineStr">
        <is>
          <t>Tipo</t>
        </is>
      </c>
    </row>
    <row r="2">
      <c r="A2" s="102" t="n">
        <v>46023</v>
      </c>
      <c r="B2" s="103" t="inlineStr">
        <is>
          <t>Año Nuevo</t>
        </is>
      </c>
      <c r="C2" s="104" t="inlineStr">
        <is>
          <t>Feriado Nacional</t>
        </is>
      </c>
    </row>
    <row r="3" ht="28.5" customHeight="1">
      <c r="A3" s="102" t="n">
        <v>46063</v>
      </c>
      <c r="B3" s="103" t="inlineStr">
        <is>
          <t>Apertura Institucional y Retorno Docente</t>
        </is>
      </c>
      <c r="C3" s="104" t="inlineStr">
        <is>
          <t>MEC - INSTITUCIONAL</t>
        </is>
      </c>
    </row>
    <row r="4">
      <c r="A4" s="102" t="n">
        <v>46076</v>
      </c>
      <c r="B4" s="100" t="inlineStr">
        <is>
          <t>Inicio de Clases (Sector Oficial)</t>
        </is>
      </c>
      <c r="C4" s="104" t="inlineStr">
        <is>
          <t>MEC - INSTITUCIONAL</t>
        </is>
      </c>
    </row>
    <row r="5" ht="28.5" customHeight="1">
      <c r="A5" s="105" t="n">
        <v>46077</v>
      </c>
      <c r="B5" s="104" t="inlineStr">
        <is>
          <t>Día de la Mujer Paraguaya (Homenaje a las Residentas)</t>
        </is>
      </c>
      <c r="C5" s="104" t="inlineStr">
        <is>
          <t>Dia para conmemorar</t>
        </is>
      </c>
    </row>
    <row r="6">
      <c r="A6" s="102" t="n">
        <v>46082</v>
      </c>
      <c r="B6" s="103" t="inlineStr">
        <is>
          <t>Día de los Héroes</t>
        </is>
      </c>
      <c r="C6" s="104" t="inlineStr">
        <is>
          <t>Feriado Nacional</t>
        </is>
      </c>
    </row>
    <row r="7" ht="28.5" customHeight="1">
      <c r="A7" s="105" t="n">
        <v>46082</v>
      </c>
      <c r="B7" s="104" t="inlineStr">
        <is>
          <t>Día de los Héroes (Muerte del Mcal. López en Cerro Corá)</t>
        </is>
      </c>
      <c r="C7" s="104" t="inlineStr">
        <is>
          <t>Dia para conmemorar</t>
        </is>
      </c>
    </row>
    <row r="8" ht="28.5" customHeight="1">
      <c r="A8" s="105" t="n">
        <v>46102</v>
      </c>
      <c r="B8" s="104" t="inlineStr">
        <is>
          <t>Día Mundial de la Poesía y Día del Síndrome de Down</t>
        </is>
      </c>
      <c r="C8" s="104" t="inlineStr">
        <is>
          <t>Dia para conmemorar</t>
        </is>
      </c>
    </row>
    <row r="9">
      <c r="A9" s="102" t="n">
        <v>46114</v>
      </c>
      <c r="B9" s="103" t="inlineStr">
        <is>
          <t>Jueves Santo (Receso)</t>
        </is>
      </c>
      <c r="C9" s="104" t="inlineStr">
        <is>
          <t>Feriado Nacional</t>
        </is>
      </c>
    </row>
    <row r="10">
      <c r="A10" s="102" t="n">
        <v>46115</v>
      </c>
      <c r="B10" s="103" t="inlineStr">
        <is>
          <t>Viernes Santo (Receso)</t>
        </is>
      </c>
      <c r="C10" s="104" t="inlineStr">
        <is>
          <t>Feriado Nacional</t>
        </is>
      </c>
    </row>
    <row r="11">
      <c r="A11" s="105" t="n">
        <v>46135</v>
      </c>
      <c r="B11" s="104" t="inlineStr">
        <is>
          <t>Día del Libro y del Derecho de Autor</t>
        </is>
      </c>
      <c r="C11" s="104" t="inlineStr">
        <is>
          <t>Dia para conmemorar</t>
        </is>
      </c>
    </row>
    <row r="12" ht="28.5" customHeight="1">
      <c r="A12" s="105" t="n">
        <v>46138</v>
      </c>
      <c r="B12" s="104" t="inlineStr">
        <is>
          <t>Día del Periodista (Muerte de Santiago Leguizamón)</t>
        </is>
      </c>
      <c r="C12" s="104" t="inlineStr">
        <is>
          <t>Dia para conmemorar</t>
        </is>
      </c>
    </row>
    <row r="13">
      <c r="A13" s="105" t="n">
        <v>46142</v>
      </c>
      <c r="B13" s="104" t="inlineStr">
        <is>
          <t>Día del Maestro (En Paraguay)</t>
        </is>
      </c>
      <c r="C13" s="104" t="inlineStr">
        <is>
          <t>Dia para conmemorar</t>
        </is>
      </c>
    </row>
    <row r="14">
      <c r="A14" s="102" t="n">
        <v>46143</v>
      </c>
      <c r="B14" s="103" t="inlineStr">
        <is>
          <t>Día de los Trabajadores</t>
        </is>
      </c>
      <c r="C14" s="104" t="inlineStr">
        <is>
          <t>Feriado Nacional</t>
        </is>
      </c>
    </row>
    <row r="15">
      <c r="A15" s="102" t="n">
        <v>46156</v>
      </c>
      <c r="B15" s="103" t="inlineStr">
        <is>
          <t>Día de la Independencia Nacional</t>
        </is>
      </c>
      <c r="C15" s="104" t="inlineStr">
        <is>
          <t>Feriado Nacional</t>
        </is>
      </c>
    </row>
    <row r="16">
      <c r="A16" s="105" t="n">
        <v>46156</v>
      </c>
      <c r="B16" s="104" t="inlineStr">
        <is>
          <t>Día de la Madre</t>
        </is>
      </c>
      <c r="C16" s="104" t="inlineStr">
        <is>
          <t>Dia para conmemorar</t>
        </is>
      </c>
    </row>
    <row r="17">
      <c r="A17" s="102" t="n">
        <v>46157</v>
      </c>
      <c r="B17" s="103" t="inlineStr">
        <is>
          <t>Día de la Independencia Nacional</t>
        </is>
      </c>
      <c r="C17" s="104" t="inlineStr">
        <is>
          <t>Feriado Nacional</t>
        </is>
      </c>
    </row>
    <row r="18">
      <c r="A18" s="105" t="n">
        <v>46157</v>
      </c>
      <c r="B18" s="104" t="inlineStr">
        <is>
          <t>Día de la Independencia Nacional</t>
        </is>
      </c>
      <c r="C18" s="104" t="inlineStr">
        <is>
          <t>Dia para conmemorar</t>
        </is>
      </c>
    </row>
    <row r="19">
      <c r="A19" s="105" t="n">
        <v>46171</v>
      </c>
      <c r="B19" s="104" t="inlineStr">
        <is>
          <t>Día del Ejército Paraguayo</t>
        </is>
      </c>
      <c r="C19" s="104" t="inlineStr">
        <is>
          <t>Dia para conmemorar</t>
        </is>
      </c>
    </row>
    <row r="20">
      <c r="A20" s="102" t="n">
        <v>46185</v>
      </c>
      <c r="B20" s="103" t="inlineStr">
        <is>
          <t>Paz del Chaco</t>
        </is>
      </c>
      <c r="C20" s="104" t="inlineStr">
        <is>
          <t>Feriado Nacional</t>
        </is>
      </c>
    </row>
    <row r="21" ht="28.5" customHeight="1">
      <c r="A21" s="105" t="n">
        <v>46185</v>
      </c>
      <c r="B21" s="104" t="inlineStr">
        <is>
          <t>Paz del Chaco (Firma del Protocolo de Paz, 1935)</t>
        </is>
      </c>
      <c r="C21" s="104" t="inlineStr">
        <is>
          <t>Asueto - Departamental / Desfile</t>
        </is>
      </c>
    </row>
    <row r="22">
      <c r="A22" s="105" t="n">
        <v>46192</v>
      </c>
      <c r="B22" s="104" t="inlineStr">
        <is>
          <t>Día del Árbol (En Paraguay)</t>
        </is>
      </c>
      <c r="C22" s="104" t="inlineStr">
        <is>
          <t>Clase Normal</t>
        </is>
      </c>
    </row>
    <row r="23">
      <c r="A23" s="102" t="n">
        <v>46216</v>
      </c>
      <c r="B23" s="100" t="inlineStr">
        <is>
          <t>Inicio Vacaciones de Invierno</t>
        </is>
      </c>
      <c r="C23" s="104" t="inlineStr">
        <is>
          <t>MEC - VACACIONES</t>
        </is>
      </c>
    </row>
    <row r="24">
      <c r="A24" s="102" t="n">
        <v>46217</v>
      </c>
      <c r="B24" s="100" t="inlineStr">
        <is>
          <t>Inicio Vacaciones de Invierno</t>
        </is>
      </c>
      <c r="C24" s="104" t="inlineStr">
        <is>
          <t>MEC - VACACIONES</t>
        </is>
      </c>
    </row>
    <row r="25">
      <c r="A25" s="102" t="n">
        <v>46218</v>
      </c>
      <c r="B25" s="100" t="inlineStr">
        <is>
          <t>Inicio Vacaciones de Invierno</t>
        </is>
      </c>
      <c r="C25" s="104" t="inlineStr">
        <is>
          <t>MEC - VACACIONES</t>
        </is>
      </c>
    </row>
    <row r="26">
      <c r="A26" s="102" t="n">
        <v>46219</v>
      </c>
      <c r="B26" s="100" t="inlineStr">
        <is>
          <t>Inicio Vacaciones de Invierno</t>
        </is>
      </c>
      <c r="C26" s="104" t="inlineStr">
        <is>
          <t>MEC - VACACIONES</t>
        </is>
      </c>
    </row>
    <row r="27">
      <c r="A27" s="102" t="n">
        <v>46220</v>
      </c>
      <c r="B27" s="100" t="inlineStr">
        <is>
          <t>Inicio Vacaciones de Invierno</t>
        </is>
      </c>
      <c r="C27" s="104" t="inlineStr">
        <is>
          <t>MEC - VACACIONES</t>
        </is>
      </c>
    </row>
    <row r="28">
      <c r="A28" s="102" t="n">
        <v>46221</v>
      </c>
      <c r="B28" s="100" t="inlineStr">
        <is>
          <t>Inicio Vacaciones de Invierno</t>
        </is>
      </c>
      <c r="C28" s="104" t="inlineStr">
        <is>
          <t>MEC - VACACIONES</t>
        </is>
      </c>
    </row>
    <row r="29">
      <c r="A29" s="102" t="n">
        <v>46222</v>
      </c>
      <c r="B29" s="100" t="inlineStr">
        <is>
          <t>Inicio Vacaciones de Invierno</t>
        </is>
      </c>
      <c r="C29" s="104" t="inlineStr">
        <is>
          <t>MEC - VACACIONES</t>
        </is>
      </c>
    </row>
    <row r="30">
      <c r="A30" s="102" t="n">
        <v>46223</v>
      </c>
      <c r="B30" s="100" t="inlineStr">
        <is>
          <t>Inicio Vacaciones de Invierno</t>
        </is>
      </c>
      <c r="C30" s="104" t="inlineStr">
        <is>
          <t>MEC - VACACIONES</t>
        </is>
      </c>
    </row>
    <row r="31">
      <c r="A31" s="102" t="n">
        <v>46224</v>
      </c>
      <c r="B31" s="100" t="inlineStr">
        <is>
          <t>Inicio Vacaciones de Invierno</t>
        </is>
      </c>
      <c r="C31" s="104" t="inlineStr">
        <is>
          <t>MEC - VACACIONES</t>
        </is>
      </c>
    </row>
    <row r="32">
      <c r="A32" s="102" t="n">
        <v>46225</v>
      </c>
      <c r="B32" s="100" t="inlineStr">
        <is>
          <t>Inicio Vacaciones de Invierno</t>
        </is>
      </c>
      <c r="C32" s="104" t="inlineStr">
        <is>
          <t>MEC - VACACIONES</t>
        </is>
      </c>
    </row>
    <row r="33">
      <c r="A33" s="102" t="n">
        <v>46226</v>
      </c>
      <c r="B33" s="100" t="inlineStr">
        <is>
          <t>Inicio Vacaciones de Invierno</t>
        </is>
      </c>
      <c r="C33" s="104" t="inlineStr">
        <is>
          <t>MEC - VACACIONES</t>
        </is>
      </c>
    </row>
    <row r="34">
      <c r="A34" s="102" t="n">
        <v>46227</v>
      </c>
      <c r="B34" s="100" t="inlineStr">
        <is>
          <t>Fin Vacaciones de Invierno</t>
        </is>
      </c>
      <c r="C34" s="104" t="inlineStr">
        <is>
          <t>MEC - VACACIONES</t>
        </is>
      </c>
    </row>
    <row r="35" ht="28.5" customHeight="1">
      <c r="A35" s="105" t="n">
        <v>46227</v>
      </c>
      <c r="B35" s="104" t="inlineStr">
        <is>
          <t>Natalicio del Mcal. Francisco Solano López</t>
        </is>
      </c>
      <c r="C35" s="104" t="inlineStr">
        <is>
          <t>Dia para conmemorar</t>
        </is>
      </c>
    </row>
    <row r="36" ht="28.5" customHeight="1">
      <c r="A36" s="105" t="n">
        <v>46233</v>
      </c>
      <c r="B36" s="104" t="inlineStr">
        <is>
          <t>Día de la Amistad (Cruzada Mundial de la Amistad)</t>
        </is>
      </c>
      <c r="C36" s="104" t="inlineStr">
        <is>
          <t>Dia para conmemorar</t>
        </is>
      </c>
    </row>
    <row r="37">
      <c r="A37" s="105" t="n">
        <v>46248</v>
      </c>
      <c r="B37" s="104" t="inlineStr">
        <is>
          <t>Día de la Bandera</t>
        </is>
      </c>
      <c r="C37" s="104" t="inlineStr">
        <is>
          <t>Dia para conmemorar</t>
        </is>
      </c>
    </row>
    <row r="38">
      <c r="A38" s="102" t="n">
        <v>46249</v>
      </c>
      <c r="B38" s="103" t="inlineStr">
        <is>
          <t>Fundación de Asunción</t>
        </is>
      </c>
      <c r="C38" s="104" t="inlineStr">
        <is>
          <t>Feriado Nacional</t>
        </is>
      </c>
    </row>
    <row r="39" ht="28.5" customHeight="1">
      <c r="A39" s="105" t="n">
        <v>46249</v>
      </c>
      <c r="B39" s="104" t="inlineStr">
        <is>
          <t>Fundación de Asunción y Día del Niño (En Paraguay)</t>
        </is>
      </c>
      <c r="C39" s="104" t="inlineStr">
        <is>
          <t>Dia para conmemorar</t>
        </is>
      </c>
    </row>
    <row r="40" ht="28.5" customHeight="1">
      <c r="A40" s="105" t="n">
        <v>46250</v>
      </c>
      <c r="B40" s="104" t="inlineStr">
        <is>
          <t>Día de los Niños Mártires de Acosta Ñu</t>
        </is>
      </c>
      <c r="C40" s="104" t="inlineStr">
        <is>
          <t>Dia para conmemorar</t>
        </is>
      </c>
    </row>
    <row r="41">
      <c r="A41" s="105" t="n">
        <v>46256</v>
      </c>
      <c r="B41" s="104" t="inlineStr">
        <is>
          <t>Día del Folklore Paraguayo</t>
        </is>
      </c>
      <c r="C41" s="104" t="inlineStr">
        <is>
          <t>Dia para conmemorar</t>
        </is>
      </c>
    </row>
    <row r="42">
      <c r="A42" s="105" t="n">
        <v>46259</v>
      </c>
      <c r="B42" s="104" t="inlineStr">
        <is>
          <t>Día del Idioma Guaraní</t>
        </is>
      </c>
      <c r="C42" s="104" t="inlineStr">
        <is>
          <t>Dia para conmemorar</t>
        </is>
      </c>
    </row>
    <row r="43">
      <c r="A43" s="106" t="n">
        <v>46286</v>
      </c>
      <c r="B43" s="107" t="inlineStr">
        <is>
          <t>Día de la Juventud y de la Primavera</t>
        </is>
      </c>
      <c r="C43" s="107" t="inlineStr">
        <is>
          <t>Clase Normal</t>
        </is>
      </c>
    </row>
    <row r="44">
      <c r="A44" s="102" t="n">
        <v>46294</v>
      </c>
      <c r="B44" s="103" t="inlineStr">
        <is>
          <t>Victoria de Boquerón</t>
        </is>
      </c>
      <c r="C44" s="104" t="inlineStr">
        <is>
          <t>Feriado Nacional</t>
        </is>
      </c>
    </row>
    <row r="45" ht="28.5" customHeight="1">
      <c r="A45" s="105" t="n">
        <v>46294</v>
      </c>
      <c r="B45" s="104" t="inlineStr">
        <is>
          <t>Batalla de Boquerón (Victoria paraguaya, 1932)</t>
        </is>
      </c>
      <c r="C45" s="104" t="inlineStr">
        <is>
          <t>Dia para conmemorar</t>
        </is>
      </c>
    </row>
    <row r="46" ht="28.5" customHeight="1">
      <c r="A46" s="105" t="n">
        <v>46307</v>
      </c>
      <c r="B46" s="104" t="inlineStr">
        <is>
          <t>Día de la Raza (Descubrimiento de América)</t>
        </is>
      </c>
      <c r="C46" s="104" t="inlineStr">
        <is>
          <t>Dia para conmemorar</t>
        </is>
      </c>
    </row>
    <row r="47" ht="28.5" customHeight="1">
      <c r="A47" s="105" t="n">
        <v>46318</v>
      </c>
      <c r="B47" s="104" t="inlineStr">
        <is>
          <t>Día del Diseñador Gráfico y del Radiooperador</t>
        </is>
      </c>
      <c r="C47" s="104" t="inlineStr">
        <is>
          <t>Dia para conmemorar</t>
        </is>
      </c>
    </row>
    <row r="48" ht="28.5" customHeight="1">
      <c r="A48" s="105" t="n">
        <v>46351</v>
      </c>
      <c r="B48" s="104" t="inlineStr">
        <is>
          <t>Día Internacional de la Eliminación de la Violencia contra la Mujer</t>
        </is>
      </c>
      <c r="C48" s="104" t="inlineStr">
        <is>
          <t>Dia para conmemorar</t>
        </is>
      </c>
    </row>
    <row r="49">
      <c r="A49" s="102" t="n">
        <v>46356</v>
      </c>
      <c r="B49" s="100" t="inlineStr">
        <is>
          <t>Finalización de Clases</t>
        </is>
      </c>
      <c r="C49" s="104" t="inlineStr">
        <is>
          <t>MEC - CIERRE PEDAGOGICAS</t>
        </is>
      </c>
    </row>
    <row r="50">
      <c r="A50" s="102" t="n">
        <v>46364</v>
      </c>
      <c r="B50" s="103" t="inlineStr">
        <is>
          <t>Día de la Virgen de Caacupé</t>
        </is>
      </c>
      <c r="C50" s="104" t="inlineStr">
        <is>
          <t>Feriado Nacional</t>
        </is>
      </c>
    </row>
    <row r="51" ht="28.5" customHeight="1">
      <c r="A51" s="102" t="n">
        <v>46367</v>
      </c>
      <c r="B51" s="103" t="inlineStr">
        <is>
          <t>Cierre de Actividades Administrativas</t>
        </is>
      </c>
      <c r="C51" s="104" t="inlineStr">
        <is>
          <t>MEC - CIERRE ADM.</t>
        </is>
      </c>
    </row>
    <row r="52">
      <c r="A52" s="102" t="n">
        <v>46381</v>
      </c>
      <c r="B52" s="103" t="inlineStr">
        <is>
          <t>Navidad</t>
        </is>
      </c>
      <c r="C52" s="104" t="inlineStr">
        <is>
          <t>Feriado Nacional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101" t="inlineStr">
        <is>
          <t xml:space="preserve">Indicador </t>
        </is>
      </c>
      <c r="C1" s="101" t="inlineStr">
        <is>
          <t xml:space="preserve">Indicador </t>
        </is>
      </c>
      <c r="D1" s="100" t="inlineStr">
        <is>
          <t>Tipo de Indicador</t>
        </is>
      </c>
      <c r="E1" s="108" t="inlineStr">
        <is>
          <t>Categoría</t>
        </is>
      </c>
    </row>
    <row r="2">
      <c r="B2" s="109">
        <f>+CONCATENATE(LEFT(D2,3),"-",C2)</f>
        <v/>
      </c>
      <c r="C2" s="109" t="inlineStr">
        <is>
          <t>02. Presenta lagunas en conocimientos previos.</t>
        </is>
      </c>
      <c r="D2" s="110" t="inlineStr">
        <is>
          <t>Alerta/Mejora</t>
        </is>
      </c>
      <c r="E2" s="111" t="inlineStr">
        <is>
          <t>Académica</t>
        </is>
      </c>
    </row>
    <row r="3">
      <c r="B3" s="109">
        <f>+CONCATENATE(LEFT(D3,3),"-",C3)</f>
        <v/>
      </c>
      <c r="C3" s="109" t="inlineStr">
        <is>
          <t>04. Se limita a memorizar sin comprender.</t>
        </is>
      </c>
      <c r="D3" s="110" t="inlineStr">
        <is>
          <t>Alerta/Mejora</t>
        </is>
      </c>
      <c r="E3" s="111" t="inlineStr">
        <is>
          <t>Académica</t>
        </is>
      </c>
    </row>
    <row r="4">
      <c r="B4" s="109">
        <f>+CONCATENATE(LEFT(D4,3),"-",C4)</f>
        <v/>
      </c>
      <c r="C4" s="109" t="inlineStr">
        <is>
          <t>06. Entrega tareas incompletas o descuidadas.</t>
        </is>
      </c>
      <c r="D4" s="110" t="inlineStr">
        <is>
          <t>Alerta/Mejora</t>
        </is>
      </c>
      <c r="E4" s="111" t="inlineStr">
        <is>
          <t>Académica</t>
        </is>
      </c>
    </row>
    <row r="5">
      <c r="B5" s="109">
        <f>+CONCATENATE(LEFT(D5,3),"-",C5)</f>
        <v/>
      </c>
      <c r="C5" s="109" t="inlineStr">
        <is>
          <t>08. Se bloquea ante desafíos matemáticos.</t>
        </is>
      </c>
      <c r="D5" s="110" t="inlineStr">
        <is>
          <t>Alerta/Mejora</t>
        </is>
      </c>
      <c r="E5" s="111" t="inlineStr">
        <is>
          <t>Académica</t>
        </is>
      </c>
    </row>
    <row r="6">
      <c r="B6" s="109">
        <f>+CONCATENATE(LEFT(D6,3),"-",C6)</f>
        <v/>
      </c>
      <c r="C6" s="109" t="inlineStr">
        <is>
          <t>10. Tiene dificultades de expresión oral/escrita.</t>
        </is>
      </c>
      <c r="D6" s="110" t="inlineStr">
        <is>
          <t>Alerta/Mejora</t>
        </is>
      </c>
      <c r="E6" s="111" t="inlineStr">
        <is>
          <t>Académica</t>
        </is>
      </c>
    </row>
    <row r="7">
      <c r="B7" s="109">
        <f>+CONCATENATE(LEFT(D7,3),"-",C7)</f>
        <v/>
      </c>
      <c r="C7" s="109" t="inlineStr">
        <is>
          <t>12. Muestra rechazo o desinterés por la lectura.</t>
        </is>
      </c>
      <c r="D7" s="110" t="inlineStr">
        <is>
          <t>Alerta/Mejora</t>
        </is>
      </c>
      <c r="E7" s="111" t="inlineStr">
        <is>
          <t>Académica</t>
        </is>
      </c>
    </row>
    <row r="8">
      <c r="B8" s="109">
        <f>+CONCATENATE(LEFT(D8,3),"-",C8)</f>
        <v/>
      </c>
      <c r="C8" s="109" t="inlineStr">
        <is>
          <t>14. Requiere supervisión constante para avanzar.</t>
        </is>
      </c>
      <c r="D8" s="110" t="inlineStr">
        <is>
          <t>Alerta/Mejora</t>
        </is>
      </c>
      <c r="E8" s="111" t="inlineStr">
        <is>
          <t>Académica</t>
        </is>
      </c>
    </row>
    <row r="9">
      <c r="B9" s="109">
        <f>+CONCATENATE(LEFT(D9,3),"-",C9)</f>
        <v/>
      </c>
      <c r="C9" s="109" t="inlineStr">
        <is>
          <t>16. Muestra apatía por temas nuevos.</t>
        </is>
      </c>
      <c r="D9" s="110" t="inlineStr">
        <is>
          <t>Alerta/Mejora</t>
        </is>
      </c>
      <c r="E9" s="111" t="inlineStr">
        <is>
          <t>Académica</t>
        </is>
      </c>
    </row>
    <row r="10">
      <c r="B10" s="109">
        <f>+CONCATENATE(LEFT(D10,3),"-",C10)</f>
        <v/>
      </c>
      <c r="C10" s="109" t="inlineStr">
        <is>
          <t>18. Desafía activamente la autoridad.</t>
        </is>
      </c>
      <c r="D10" s="110" t="inlineStr">
        <is>
          <t>Alerta/Mejora</t>
        </is>
      </c>
      <c r="E10" s="111" t="inlineStr">
        <is>
          <t>Conductual</t>
        </is>
      </c>
    </row>
    <row r="11">
      <c r="B11" s="109">
        <f>+CONCATENATE(LEFT(D11,3),"-",C11)</f>
        <v/>
      </c>
      <c r="C11" s="109" t="inlineStr">
        <is>
          <t>20. Presenta retardos o inasistencias frecuentes.</t>
        </is>
      </c>
      <c r="D11" s="110" t="inlineStr">
        <is>
          <t>Alerta/Mejora</t>
        </is>
      </c>
      <c r="E11" s="111" t="inlineStr">
        <is>
          <t>Conductual</t>
        </is>
      </c>
    </row>
    <row r="12">
      <c r="B12" s="109">
        <f>+CONCATENATE(LEFT(D12,3),"-",C12)</f>
        <v/>
      </c>
      <c r="C12" s="109" t="inlineStr">
        <is>
          <t>22. Daña el mobiliario o materiales escolares.</t>
        </is>
      </c>
      <c r="D12" s="110" t="inlineStr">
        <is>
          <t>Alerta/Mejora</t>
        </is>
      </c>
      <c r="E12" s="111" t="inlineStr">
        <is>
          <t>Conductual</t>
        </is>
      </c>
    </row>
    <row r="13">
      <c r="B13" s="109">
        <f>+CONCATENATE(LEFT(D13,3),"-",C13)</f>
        <v/>
      </c>
      <c r="C13" s="109" t="inlineStr">
        <is>
          <t>24. Interrumpe constantemente el flujo de clase.</t>
        </is>
      </c>
      <c r="D13" s="110" t="inlineStr">
        <is>
          <t>Alerta/Mejora</t>
        </is>
      </c>
      <c r="E13" s="111" t="inlineStr">
        <is>
          <t>Conductual</t>
        </is>
      </c>
    </row>
    <row r="14">
      <c r="B14" s="109">
        <f>+CONCATENATE(LEFT(D14,3),"-",C14)</f>
        <v/>
      </c>
      <c r="C14" s="109" t="inlineStr">
        <is>
          <t>26. Emplea lenguaje soez o despectivo.</t>
        </is>
      </c>
      <c r="D14" s="110" t="inlineStr">
        <is>
          <t>Alerta/Mejora</t>
        </is>
      </c>
      <c r="E14" s="111" t="inlineStr">
        <is>
          <t>Conductual</t>
        </is>
      </c>
    </row>
    <row r="15">
      <c r="B15" s="109">
        <f>+CONCATENATE(LEFT(D15,3),"-",C15)</f>
        <v/>
      </c>
      <c r="C15" s="109" t="inlineStr">
        <is>
          <t>28. Miente o culpa a otros por sus actos.</t>
        </is>
      </c>
      <c r="D15" s="110" t="inlineStr">
        <is>
          <t>Alerta/Mejora</t>
        </is>
      </c>
      <c r="E15" s="111" t="inlineStr">
        <is>
          <t>Conductual</t>
        </is>
      </c>
    </row>
    <row r="16">
      <c r="B16" s="109">
        <f>+CONCATENATE(LEFT(D16,3),"-",C16)</f>
        <v/>
      </c>
      <c r="C16" s="109" t="inlineStr">
        <is>
          <t>30. Se distrae con dispositivos electrónicos.</t>
        </is>
      </c>
      <c r="D16" s="110" t="inlineStr">
        <is>
          <t>Alerta/Mejora</t>
        </is>
      </c>
      <c r="E16" s="111" t="inlineStr">
        <is>
          <t>Conductual</t>
        </is>
      </c>
    </row>
    <row r="17">
      <c r="B17" s="109">
        <f>+CONCATENATE(LEFT(D17,3),"-",C17)</f>
        <v/>
      </c>
      <c r="C17" s="109" t="inlineStr">
        <is>
          <t>32. Fomenta el desorden o el caos en el grupo.</t>
        </is>
      </c>
      <c r="D17" s="110" t="inlineStr">
        <is>
          <t>Alerta/Mejora</t>
        </is>
      </c>
      <c r="E17" s="111" t="inlineStr">
        <is>
          <t>Conductual</t>
        </is>
      </c>
    </row>
    <row r="18">
      <c r="B18" s="109">
        <f>+CONCATENATE(LEFT(D18,3),"-",C18)</f>
        <v/>
      </c>
      <c r="C18" s="109" t="inlineStr">
        <is>
          <t>34. Se rinde fácilmente ante la frustración.</t>
        </is>
      </c>
      <c r="D18" s="110" t="inlineStr">
        <is>
          <t>Alerta/Mejora</t>
        </is>
      </c>
      <c r="E18" s="111" t="inlineStr">
        <is>
          <t>Socio-Emocional</t>
        </is>
      </c>
    </row>
    <row r="19">
      <c r="B19" s="109">
        <f>+CONCATENATE(LEFT(D19,3),"-",C19)</f>
        <v/>
      </c>
      <c r="C19" s="109" t="inlineStr">
        <is>
          <t>36. Trabaja de forma aislada o es individualista.</t>
        </is>
      </c>
      <c r="D19" s="110" t="inlineStr">
        <is>
          <t>Alerta/Mejora</t>
        </is>
      </c>
      <c r="E19" s="111" t="inlineStr">
        <is>
          <t>Socio-Emocional</t>
        </is>
      </c>
    </row>
    <row r="20">
      <c r="B20" s="109">
        <f>+CONCATENATE(LEFT(D20,3),"-",C20)</f>
        <v/>
      </c>
      <c r="C20" s="109" t="inlineStr">
        <is>
          <t>38. Ignora o se burla de los sentimientos de otros.</t>
        </is>
      </c>
      <c r="D20" s="110" t="inlineStr">
        <is>
          <t>Alerta/Mejora</t>
        </is>
      </c>
      <c r="E20" s="111" t="inlineStr">
        <is>
          <t>Socio-Emocional</t>
        </is>
      </c>
    </row>
    <row r="21">
      <c r="B21" s="109">
        <f>+CONCATENATE(LEFT(D21,3),"-",C21)</f>
        <v/>
      </c>
      <c r="C21" s="109" t="inlineStr">
        <is>
          <t>40. Ejerce presión negativa o bullying.</t>
        </is>
      </c>
      <c r="D21" s="110" t="inlineStr">
        <is>
          <t>Alerta/Mejora</t>
        </is>
      </c>
      <c r="E21" s="111" t="inlineStr">
        <is>
          <t>Socio-Emocional</t>
        </is>
      </c>
    </row>
    <row r="22">
      <c r="B22" s="109">
        <f>+CONCATENATE(LEFT(D22,3),"-",C22)</f>
        <v/>
      </c>
      <c r="C22" s="109" t="inlineStr">
        <is>
          <t>42. Reacciona de forma agresiva o impulsiva.</t>
        </is>
      </c>
      <c r="D22" s="110" t="inlineStr">
        <is>
          <t>Alerta/Mejora</t>
        </is>
      </c>
      <c r="E22" s="111" t="inlineStr">
        <is>
          <t>Socio-Emocional</t>
        </is>
      </c>
    </row>
    <row r="23">
      <c r="B23" s="109">
        <f>+CONCATENATE(LEFT(D23,3),"-",C23)</f>
        <v/>
      </c>
      <c r="C23" s="109" t="inlineStr">
        <is>
          <t>44. Expresa inseguridad constante ("no puedo").</t>
        </is>
      </c>
      <c r="D23" s="110" t="inlineStr">
        <is>
          <t>Alerta/Mejora</t>
        </is>
      </c>
      <c r="E23" s="111" t="inlineStr">
        <is>
          <t>Socio-Emocional</t>
        </is>
      </c>
    </row>
    <row r="24">
      <c r="B24" s="109">
        <f>+CONCATENATE(LEFT(D24,3),"-",C24)</f>
        <v/>
      </c>
      <c r="C24" s="109" t="inlineStr">
        <is>
          <t>46. Requiere estímulos externos para trabajar.</t>
        </is>
      </c>
      <c r="D24" s="110" t="inlineStr">
        <is>
          <t>Alerta/Mejora</t>
        </is>
      </c>
      <c r="E24" s="111" t="inlineStr">
        <is>
          <t>Actitudinal</t>
        </is>
      </c>
    </row>
    <row r="25">
      <c r="B25" s="109">
        <f>+CONCATENATE(LEFT(D25,3),"-",C25)</f>
        <v/>
      </c>
      <c r="C25" s="109" t="inlineStr">
        <is>
          <t>48. Abandona proyectos a mitad de camino.</t>
        </is>
      </c>
      <c r="D25" s="110" t="inlineStr">
        <is>
          <t>Alerta/Mejora</t>
        </is>
      </c>
      <c r="E25" s="111" t="inlineStr">
        <is>
          <t>Actitudinal</t>
        </is>
      </c>
    </row>
    <row r="26">
      <c r="B26" s="109">
        <f>+CONCATENATE(LEFT(D26,3),"-",C26)</f>
        <v/>
      </c>
      <c r="C26" s="109" t="inlineStr">
        <is>
          <t>50. Se muestra a la defensiva ante críticas.</t>
        </is>
      </c>
      <c r="D26" s="110" t="inlineStr">
        <is>
          <t>Alerta/Mejora</t>
        </is>
      </c>
      <c r="E26" s="111" t="inlineStr">
        <is>
          <t>Actitudinal</t>
        </is>
      </c>
    </row>
    <row r="27" ht="3.75" customHeight="1">
      <c r="B27" s="109" t="n"/>
      <c r="C27" s="109" t="n"/>
      <c r="D27" s="110" t="n"/>
      <c r="E27" s="111" t="n"/>
    </row>
    <row r="28">
      <c r="B28" s="109">
        <f>+CONCATENATE(LEFT(D28,3),"-",C28)</f>
        <v/>
      </c>
      <c r="C28" s="104" t="inlineStr">
        <is>
          <t>01. Domina los conceptos clave del grado.</t>
        </is>
      </c>
      <c r="D28" s="103" t="inlineStr">
        <is>
          <t>Fortaleza/Logro</t>
        </is>
      </c>
      <c r="E28" s="112" t="inlineStr">
        <is>
          <t>Académica</t>
        </is>
      </c>
    </row>
    <row r="29">
      <c r="B29" s="109">
        <f>+CONCATENATE(LEFT(D29,3),"-",C29)</f>
        <v/>
      </c>
      <c r="C29" s="104" t="inlineStr">
        <is>
          <t>03. Posee un pensamiento crítico y analítico.</t>
        </is>
      </c>
      <c r="D29" s="103" t="inlineStr">
        <is>
          <t>Fortaleza/Logro</t>
        </is>
      </c>
      <c r="E29" s="112" t="inlineStr">
        <is>
          <t>Académica</t>
        </is>
      </c>
    </row>
    <row r="30">
      <c r="B30" s="109">
        <f>+CONCATENATE(LEFT(D30,3),"-",C30)</f>
        <v/>
      </c>
      <c r="C30" s="104" t="inlineStr">
        <is>
          <t>05. Entrega trabajos con alta calidad y orden.</t>
        </is>
      </c>
      <c r="D30" s="103" t="inlineStr">
        <is>
          <t>Fortaleza/Logro</t>
        </is>
      </c>
      <c r="E30" s="112" t="inlineStr">
        <is>
          <t>Académica</t>
        </is>
      </c>
    </row>
    <row r="31">
      <c r="B31" s="109">
        <f>+CONCATENATE(LEFT(D31,3),"-",C31)</f>
        <v/>
      </c>
      <c r="C31" s="104" t="inlineStr">
        <is>
          <t>07. Resuelve problemas lógicos con fluidez.</t>
        </is>
      </c>
      <c r="D31" s="103" t="inlineStr">
        <is>
          <t>Fortaleza/Logro</t>
        </is>
      </c>
      <c r="E31" s="112" t="inlineStr">
        <is>
          <t>Académica</t>
        </is>
      </c>
    </row>
    <row r="32">
      <c r="B32" s="109">
        <f>+CONCATENATE(LEFT(D32,3),"-",C32)</f>
        <v/>
      </c>
      <c r="C32" s="104" t="inlineStr">
        <is>
          <t>09. Utiliza vocabulario técnico preciso.</t>
        </is>
      </c>
      <c r="D32" s="103" t="inlineStr">
        <is>
          <t>Fortaleza/Logro</t>
        </is>
      </c>
      <c r="E32" s="112" t="inlineStr">
        <is>
          <t>Académica</t>
        </is>
      </c>
    </row>
    <row r="33">
      <c r="B33" s="109">
        <f>+CONCATENATE(LEFT(D33,3),"-",C33)</f>
        <v/>
      </c>
      <c r="C33" s="104" t="inlineStr">
        <is>
          <t>11. Posee excelentes hábitos de lectura.</t>
        </is>
      </c>
      <c r="D33" s="103" t="inlineStr">
        <is>
          <t>Fortaleza/Logro</t>
        </is>
      </c>
      <c r="E33" s="112" t="inlineStr">
        <is>
          <t>Académica</t>
        </is>
      </c>
    </row>
    <row r="34">
      <c r="B34" s="109">
        <f>+CONCATENATE(LEFT(D34,3),"-",C34)</f>
        <v/>
      </c>
      <c r="C34" s="104" t="inlineStr">
        <is>
          <t>13. Es autónomo en la realización de tareas.</t>
        </is>
      </c>
      <c r="D34" s="103" t="inlineStr">
        <is>
          <t>Fortaleza/Logro</t>
        </is>
      </c>
      <c r="E34" s="112" t="inlineStr">
        <is>
          <t>Académica</t>
        </is>
      </c>
    </row>
    <row r="35">
      <c r="B35" s="109">
        <f>+CONCATENATE(LEFT(D35,3),"-",C35)</f>
        <v/>
      </c>
      <c r="C35" s="104" t="inlineStr">
        <is>
          <t>15. Investiga más allá de lo solicitado.</t>
        </is>
      </c>
      <c r="D35" s="103" t="inlineStr">
        <is>
          <t>Fortaleza/Logro</t>
        </is>
      </c>
      <c r="E35" s="112" t="inlineStr">
        <is>
          <t>Académica</t>
        </is>
      </c>
    </row>
    <row r="36">
      <c r="B36" s="109">
        <f>+CONCATENATE(LEFT(D36,3),"-",C36)</f>
        <v/>
      </c>
      <c r="C36" s="104" t="inlineStr">
        <is>
          <t>17. Respeta las normas de convivencia.</t>
        </is>
      </c>
      <c r="D36" s="103" t="inlineStr">
        <is>
          <t>Fortaleza/Logro</t>
        </is>
      </c>
      <c r="E36" s="112" t="inlineStr">
        <is>
          <t>Conductual</t>
        </is>
      </c>
    </row>
    <row r="37">
      <c r="B37" s="109">
        <f>+CONCATENATE(LEFT(D37,3),"-",C37)</f>
        <v/>
      </c>
      <c r="C37" s="104" t="inlineStr">
        <is>
          <t>19. Es puntual en todas sus obligaciones.</t>
        </is>
      </c>
      <c r="D37" s="103" t="inlineStr">
        <is>
          <t>Fortaleza/Logro</t>
        </is>
      </c>
      <c r="E37" s="112" t="inlineStr">
        <is>
          <t>Conductual</t>
        </is>
      </c>
    </row>
    <row r="38">
      <c r="B38" s="109">
        <f>+CONCATENATE(LEFT(D38,3),"-",C38)</f>
        <v/>
      </c>
      <c r="C38" s="104" t="inlineStr">
        <is>
          <t>21. Cuida el material propio y ajeno.</t>
        </is>
      </c>
      <c r="D38" s="103" t="inlineStr">
        <is>
          <t>Fortaleza/Logro</t>
        </is>
      </c>
      <c r="E38" s="112" t="inlineStr">
        <is>
          <t>Conductual</t>
        </is>
      </c>
    </row>
    <row r="39">
      <c r="B39" s="109">
        <f>+CONCATENATE(LEFT(D39,3),"-",C39)</f>
        <v/>
      </c>
      <c r="C39" s="104" t="inlineStr">
        <is>
          <t>23. Escucha con atención y no interrumpe.</t>
        </is>
      </c>
      <c r="D39" s="103" t="inlineStr">
        <is>
          <t>Fortaleza/Logro</t>
        </is>
      </c>
      <c r="E39" s="112" t="inlineStr">
        <is>
          <t>Conductual</t>
        </is>
      </c>
    </row>
    <row r="40">
      <c r="B40" s="109">
        <f>+CONCATENATE(LEFT(D40,3),"-",C40)</f>
        <v/>
      </c>
      <c r="C40" s="104" t="inlineStr">
        <is>
          <t>25. Utiliza el lenguaje de forma respetuosa.</t>
        </is>
      </c>
      <c r="D40" s="103" t="inlineStr">
        <is>
          <t>Fortaleza/Logro</t>
        </is>
      </c>
      <c r="E40" s="112" t="inlineStr">
        <is>
          <t>Conductual</t>
        </is>
      </c>
    </row>
    <row r="41">
      <c r="B41" s="109">
        <f>+CONCATENATE(LEFT(D41,3),"-",C41)</f>
        <v/>
      </c>
      <c r="C41" s="104" t="inlineStr">
        <is>
          <t>27. Reconoce sus errores honestamente.</t>
        </is>
      </c>
      <c r="D41" s="103" t="inlineStr">
        <is>
          <t>Fortaleza/Logro</t>
        </is>
      </c>
      <c r="E41" s="112" t="inlineStr">
        <is>
          <t>Conductual</t>
        </is>
      </c>
    </row>
    <row r="42">
      <c r="B42" s="109">
        <f>+CONCATENATE(LEFT(D42,3),"-",C42)</f>
        <v/>
      </c>
      <c r="C42" s="104" t="inlineStr">
        <is>
          <t>29. Usa la tecnología con fines educativos.</t>
        </is>
      </c>
      <c r="D42" s="103" t="inlineStr">
        <is>
          <t>Fortaleza/Logro</t>
        </is>
      </c>
      <c r="E42" s="112" t="inlineStr">
        <is>
          <t>Conductual</t>
        </is>
      </c>
    </row>
    <row r="43">
      <c r="B43" s="109">
        <f>+CONCATENATE(LEFT(D43,3),"-",C43)</f>
        <v/>
      </c>
      <c r="C43" s="104" t="inlineStr">
        <is>
          <t>31. Mantiene el orden en espacios comunes.</t>
        </is>
      </c>
      <c r="D43" s="103" t="inlineStr">
        <is>
          <t>Fortaleza/Logro</t>
        </is>
      </c>
      <c r="E43" s="112" t="inlineStr">
        <is>
          <t>Conductual</t>
        </is>
      </c>
    </row>
    <row r="44">
      <c r="B44" s="109">
        <f>+CONCATENATE(LEFT(D44,3),"-",C44)</f>
        <v/>
      </c>
      <c r="C44" s="104" t="inlineStr">
        <is>
          <t>33. Muestra resiliencia ante el fracaso.</t>
        </is>
      </c>
      <c r="D44" s="103" t="inlineStr">
        <is>
          <t>Fortaleza/Logro</t>
        </is>
      </c>
      <c r="E44" s="112" t="inlineStr">
        <is>
          <t>Socio-Emocional</t>
        </is>
      </c>
    </row>
    <row r="45">
      <c r="B45" s="109">
        <f>+CONCATENATE(LEFT(D45,3),"-",C45)</f>
        <v/>
      </c>
      <c r="C45" s="104" t="inlineStr">
        <is>
          <t>35. Trabaja de forma colaborativa y equitativa.</t>
        </is>
      </c>
      <c r="D45" s="103" t="inlineStr">
        <is>
          <t>Fortaleza/Logro</t>
        </is>
      </c>
      <c r="E45" s="112" t="inlineStr">
        <is>
          <t>Socio-Emocional</t>
        </is>
      </c>
    </row>
    <row r="46">
      <c r="B46" s="109">
        <f>+CONCATENATE(LEFT(D46,3),"-",C46)</f>
        <v/>
      </c>
      <c r="C46" s="104" t="inlineStr">
        <is>
          <t>37. Es empático con las necesidades ajenas.</t>
        </is>
      </c>
      <c r="D46" s="103" t="inlineStr">
        <is>
          <t>Fortaleza/Logro</t>
        </is>
      </c>
      <c r="E46" s="112" t="inlineStr">
        <is>
          <t>Socio-Emocional</t>
        </is>
      </c>
    </row>
    <row r="47">
      <c r="B47" s="109">
        <f>+CONCATENATE(LEFT(D47,3),"-",C47)</f>
        <v/>
      </c>
      <c r="C47" s="104" t="inlineStr">
        <is>
          <t>39. Posee un liderazgo positivo y ético.</t>
        </is>
      </c>
      <c r="D47" s="103" t="inlineStr">
        <is>
          <t>Fortaleza/Logro</t>
        </is>
      </c>
      <c r="E47" s="112" t="inlineStr">
        <is>
          <t>Socio-Emocional</t>
        </is>
      </c>
    </row>
    <row r="48">
      <c r="B48" s="109">
        <f>+CONCATENATE(LEFT(D48,3),"-",C48)</f>
        <v/>
      </c>
      <c r="C48" s="104" t="inlineStr">
        <is>
          <t>41. Se comunica de manera asertiva.</t>
        </is>
      </c>
      <c r="D48" s="103" t="inlineStr">
        <is>
          <t>Fortaleza/Logro</t>
        </is>
      </c>
      <c r="E48" s="112" t="inlineStr">
        <is>
          <t>Socio-Emocional</t>
        </is>
      </c>
    </row>
    <row r="49">
      <c r="B49" s="109">
        <f>+CONCATENATE(LEFT(D49,3),"-",C49)</f>
        <v/>
      </c>
      <c r="C49" s="104" t="inlineStr">
        <is>
          <t>43. Tiene una autoestima académica sólida.</t>
        </is>
      </c>
      <c r="D49" s="103" t="inlineStr">
        <is>
          <t>Fortaleza/Logro</t>
        </is>
      </c>
      <c r="E49" s="112" t="inlineStr">
        <is>
          <t>Socio-Emocional</t>
        </is>
      </c>
    </row>
    <row r="50">
      <c r="B50" s="109">
        <f>+CONCATENATE(LEFT(D50,3),"-",C50)</f>
        <v/>
      </c>
      <c r="C50" s="104" t="inlineStr">
        <is>
          <t>45. Muestra curiosidad e iniciativa propia.</t>
        </is>
      </c>
      <c r="D50" s="103" t="inlineStr">
        <is>
          <t>Fortaleza/Logro</t>
        </is>
      </c>
      <c r="E50" s="112" t="inlineStr">
        <is>
          <t>Actitudinal</t>
        </is>
      </c>
    </row>
    <row r="51">
      <c r="B51" s="109">
        <f>+CONCATENATE(LEFT(D51,3),"-",C51)</f>
        <v/>
      </c>
      <c r="C51" s="104" t="inlineStr">
        <is>
          <t>47. Es persistente en tareas complejas.</t>
        </is>
      </c>
      <c r="D51" s="103" t="inlineStr">
        <is>
          <t>Fortaleza/Logro</t>
        </is>
      </c>
      <c r="E51" s="112" t="inlineStr">
        <is>
          <t>Actitudinal</t>
        </is>
      </c>
    </row>
    <row r="52">
      <c r="B52" s="109">
        <f>+CONCATENATE(LEFT(D52,3),"-",C52)</f>
        <v/>
      </c>
      <c r="C52" s="104" t="inlineStr">
        <is>
          <t>49. Acepta retroalimentación constructiva.</t>
        </is>
      </c>
      <c r="D52" s="103" t="inlineStr">
        <is>
          <t>Fortaleza/Logro</t>
        </is>
      </c>
      <c r="E52" s="112" t="inlineStr">
        <is>
          <t>Actitudinal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.5703125" customWidth="1" min="1" max="1"/>
    <col width="19.28515625" customWidth="1" min="2" max="2"/>
  </cols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3.7109375" customWidth="1" min="8" max="8"/>
    <col width="5.140625" customWidth="1" min="11" max="11"/>
    <col width="6.28515625" customWidth="1" min="12" max="12"/>
    <col width="15.28515625" customWidth="1" min="13" max="13"/>
    <col width="12.5703125" customWidth="1" min="14" max="14"/>
  </cols>
  <sheetData>
    <row r="1" ht="30" customHeight="1">
      <c r="A1" s="108" t="inlineStr">
        <is>
          <t>Categoría</t>
        </is>
      </c>
      <c r="B1" s="101" t="inlineStr">
        <is>
          <t xml:space="preserve">Indicador </t>
        </is>
      </c>
      <c r="C1" s="101" t="inlineStr">
        <is>
          <t xml:space="preserve">Indicador </t>
        </is>
      </c>
      <c r="D1" s="100" t="inlineStr">
        <is>
          <t>Tipo de Indicador</t>
        </is>
      </c>
      <c r="E1" s="113" t="inlineStr">
        <is>
          <t>Cantidad de veces</t>
        </is>
      </c>
      <c r="F1" t="inlineStr">
        <is>
          <t>NOTA</t>
        </is>
      </c>
      <c r="G1">
        <f>+'Datos '!G14</f>
        <v/>
      </c>
    </row>
    <row r="2">
      <c r="A2" s="111" t="inlineStr">
        <is>
          <t>Académica</t>
        </is>
      </c>
      <c r="B2" s="109">
        <f>+CONCATENATE(LEFT(D2,3),"-",C2)</f>
        <v/>
      </c>
      <c r="C2" s="109" t="inlineStr">
        <is>
          <t>02. Presenta lagunas en conocimientos previos.</t>
        </is>
      </c>
      <c r="D2" s="110" t="inlineStr">
        <is>
          <t>Alerta/Mejora</t>
        </is>
      </c>
      <c r="E2" s="114" t="n">
        <v>3</v>
      </c>
      <c r="F2">
        <f>VLOOKUP(G2, $I$3:$K$7, 3, 1)</f>
        <v/>
      </c>
      <c r="G2">
        <f>+G$1-E2</f>
        <v/>
      </c>
    </row>
    <row r="3">
      <c r="A3" s="111" t="inlineStr">
        <is>
          <t>Académica</t>
        </is>
      </c>
      <c r="B3" s="109">
        <f>+CONCATENATE(LEFT(D3,3),"-",C3)</f>
        <v/>
      </c>
      <c r="C3" s="109" t="inlineStr">
        <is>
          <t>04. Se limita a memorizar sin comprender.</t>
        </is>
      </c>
      <c r="D3" s="110" t="inlineStr">
        <is>
          <t>Alerta/Mejora</t>
        </is>
      </c>
      <c r="E3" s="114" t="n">
        <v>3</v>
      </c>
      <c r="F3">
        <f>VLOOKUP(G3, $I$3:$K$7, 3, 1)</f>
        <v/>
      </c>
      <c r="G3">
        <f>+G$1-E3</f>
        <v/>
      </c>
      <c r="I3" s="115" t="n">
        <v>1</v>
      </c>
      <c r="J3" s="115" t="n">
        <v>8</v>
      </c>
      <c r="K3" s="116" t="n">
        <v>1</v>
      </c>
      <c r="M3" t="inlineStr">
        <is>
          <t>Etiquetas de fila</t>
        </is>
      </c>
      <c r="N3" t="inlineStr">
        <is>
          <t>Suma de Cantidad de veces</t>
        </is>
      </c>
    </row>
    <row r="4">
      <c r="A4" s="111" t="inlineStr">
        <is>
          <t>Académica</t>
        </is>
      </c>
      <c r="B4" s="109">
        <f>+CONCATENATE(LEFT(D4,3),"-",C4)</f>
        <v/>
      </c>
      <c r="C4" s="109" t="inlineStr">
        <is>
          <t>06. Entrega tareas incompletas o descuidadas.</t>
        </is>
      </c>
      <c r="D4" s="110" t="inlineStr">
        <is>
          <t>Alerta/Mejora</t>
        </is>
      </c>
      <c r="E4" s="114" t="n">
        <v>2</v>
      </c>
      <c r="F4">
        <f>VLOOKUP(G4, $I$3:$K$7, 3, 1)</f>
        <v/>
      </c>
      <c r="G4">
        <f>+G$1-E4</f>
        <v/>
      </c>
      <c r="I4" s="115" t="n"/>
      <c r="J4" s="115" t="n">
        <v>9</v>
      </c>
      <c r="K4" s="116" t="n">
        <v>2</v>
      </c>
      <c r="M4" s="87" t="inlineStr">
        <is>
          <t>Alerta/Mejora</t>
        </is>
      </c>
      <c r="N4" t="n">
        <v>89</v>
      </c>
    </row>
    <row r="5">
      <c r="A5" s="111" t="inlineStr">
        <is>
          <t>Académica</t>
        </is>
      </c>
      <c r="B5" s="109">
        <f>+CONCATENATE(LEFT(D5,3),"-",C5)</f>
        <v/>
      </c>
      <c r="C5" s="109" t="inlineStr">
        <is>
          <t>08. Se bloquea ante desafíos matemáticos.</t>
        </is>
      </c>
      <c r="D5" s="110" t="inlineStr">
        <is>
          <t>Alerta/Mejora</t>
        </is>
      </c>
      <c r="E5" s="114" t="n">
        <v>3</v>
      </c>
      <c r="F5">
        <f>VLOOKUP(G5, $I$3:$K$7, 3, 1)</f>
        <v/>
      </c>
      <c r="G5">
        <f>+G$1-E5</f>
        <v/>
      </c>
      <c r="I5" s="115" t="n">
        <v>10</v>
      </c>
      <c r="J5" s="115" t="n">
        <v>11</v>
      </c>
      <c r="K5" s="116" t="n">
        <v>3</v>
      </c>
      <c r="M5" s="87" t="inlineStr">
        <is>
          <t>Fortaleza/Logro</t>
        </is>
      </c>
      <c r="N5" t="n">
        <v>588</v>
      </c>
    </row>
    <row r="6">
      <c r="A6" s="111" t="inlineStr">
        <is>
          <t>Académica</t>
        </is>
      </c>
      <c r="B6" s="109">
        <f>+CONCATENATE(LEFT(D6,3),"-",C6)</f>
        <v/>
      </c>
      <c r="C6" s="109" t="inlineStr">
        <is>
          <t>10. Tiene dificultades de expresión oral/escrita.</t>
        </is>
      </c>
      <c r="D6" s="110" t="inlineStr">
        <is>
          <t>Alerta/Mejora</t>
        </is>
      </c>
      <c r="E6" s="114" t="n">
        <v>2</v>
      </c>
      <c r="F6">
        <f>VLOOKUP(G6, $I$3:$K$7, 3, 1)</f>
        <v/>
      </c>
      <c r="G6">
        <f>+G$1-E6</f>
        <v/>
      </c>
      <c r="I6" s="115" t="n">
        <v>12</v>
      </c>
      <c r="J6" s="115" t="n">
        <v>13</v>
      </c>
      <c r="K6" s="116" t="n">
        <v>4</v>
      </c>
      <c r="M6" s="87" t="inlineStr">
        <is>
          <t>Total general</t>
        </is>
      </c>
      <c r="N6" t="n">
        <v>677</v>
      </c>
    </row>
    <row r="7">
      <c r="A7" s="111" t="inlineStr">
        <is>
          <t>Académica</t>
        </is>
      </c>
      <c r="B7" s="109">
        <f>+CONCATENATE(LEFT(D7,3),"-",C7)</f>
        <v/>
      </c>
      <c r="C7" s="109" t="inlineStr">
        <is>
          <t>12. Muestra rechazo o desinterés por la lectura.</t>
        </is>
      </c>
      <c r="D7" s="110" t="inlineStr">
        <is>
          <t>Alerta/Mejora</t>
        </is>
      </c>
      <c r="E7" s="114" t="n">
        <v>3</v>
      </c>
      <c r="F7">
        <f>VLOOKUP(G7, $I$3:$K$7, 3, 1)</f>
        <v/>
      </c>
      <c r="G7">
        <f>+G$1-E7</f>
        <v/>
      </c>
      <c r="I7" s="115" t="n"/>
      <c r="J7" s="115" t="n">
        <v>14</v>
      </c>
      <c r="K7" s="116" t="n">
        <v>5</v>
      </c>
    </row>
    <row r="8">
      <c r="A8" s="111" t="inlineStr">
        <is>
          <t>Académica</t>
        </is>
      </c>
      <c r="B8" s="109">
        <f>+CONCATENATE(LEFT(D8,3),"-",C8)</f>
        <v/>
      </c>
      <c r="C8" s="109" t="inlineStr">
        <is>
          <t>14. Requiere supervisión constante para avanzar.</t>
        </is>
      </c>
      <c r="D8" s="110" t="inlineStr">
        <is>
          <t>Alerta/Mejora</t>
        </is>
      </c>
      <c r="E8" s="114" t="n">
        <v>3</v>
      </c>
      <c r="F8">
        <f>VLOOKUP(G8, $I$3:$K$7, 3, 1)</f>
        <v/>
      </c>
      <c r="G8">
        <f>+G$1-E8</f>
        <v/>
      </c>
    </row>
    <row r="9">
      <c r="A9" s="111" t="inlineStr">
        <is>
          <t>Académica</t>
        </is>
      </c>
      <c r="B9" s="109">
        <f>+CONCATENATE(LEFT(D9,3),"-",C9)</f>
        <v/>
      </c>
      <c r="C9" s="109" t="inlineStr">
        <is>
          <t>16. Muestra apatía por temas nuevos.</t>
        </is>
      </c>
      <c r="D9" s="110" t="inlineStr">
        <is>
          <t>Alerta/Mejora</t>
        </is>
      </c>
      <c r="E9" s="114" t="n">
        <v>0</v>
      </c>
      <c r="F9">
        <f>VLOOKUP(G9, $I$3:$K$7, 3, 1)</f>
        <v/>
      </c>
      <c r="G9">
        <f>+G$1-E9</f>
        <v/>
      </c>
    </row>
    <row r="10">
      <c r="A10" s="111" t="inlineStr">
        <is>
          <t>Conductual</t>
        </is>
      </c>
      <c r="B10" s="109">
        <f>+CONCATENATE(LEFT(D10,3),"-",C10)</f>
        <v/>
      </c>
      <c r="C10" s="109" t="inlineStr">
        <is>
          <t>18. Desafía activamente la autoridad.</t>
        </is>
      </c>
      <c r="D10" s="110" t="inlineStr">
        <is>
          <t>Alerta/Mejora</t>
        </is>
      </c>
      <c r="E10" s="114" t="n">
        <v>0</v>
      </c>
      <c r="F10">
        <f>VLOOKUP(G10, $I$3:$K$7, 3, 1)</f>
        <v/>
      </c>
      <c r="G10">
        <f>+G$1-E10</f>
        <v/>
      </c>
    </row>
    <row r="11">
      <c r="A11" s="111" t="inlineStr">
        <is>
          <t>Conductual</t>
        </is>
      </c>
      <c r="B11" s="109">
        <f>+CONCATENATE(LEFT(D11,3),"-",C11)</f>
        <v/>
      </c>
      <c r="C11" s="109" t="inlineStr">
        <is>
          <t>20. Presenta retardos o inasistencias frecuentes.</t>
        </is>
      </c>
      <c r="D11" s="110" t="inlineStr">
        <is>
          <t>Alerta/Mejora</t>
        </is>
      </c>
      <c r="E11" s="114" t="n">
        <v>2</v>
      </c>
      <c r="F11">
        <f>VLOOKUP(G11, $I$3:$K$7, 3, 1)</f>
        <v/>
      </c>
      <c r="G11">
        <f>+G$1-E11</f>
        <v/>
      </c>
    </row>
    <row r="12">
      <c r="A12" s="111" t="inlineStr">
        <is>
          <t>Conductual</t>
        </is>
      </c>
      <c r="B12" s="109">
        <f>+CONCATENATE(LEFT(D12,3),"-",C12)</f>
        <v/>
      </c>
      <c r="C12" s="109" t="inlineStr">
        <is>
          <t>22. Daña el mobiliario o materiales escolares.</t>
        </is>
      </c>
      <c r="D12" s="110" t="inlineStr">
        <is>
          <t>Alerta/Mejora</t>
        </is>
      </c>
      <c r="E12" s="114" t="n">
        <v>0</v>
      </c>
      <c r="F12">
        <f>VLOOKUP(G12, $I$3:$K$7, 3, 1)</f>
        <v/>
      </c>
      <c r="G12">
        <f>+G$1-E12</f>
        <v/>
      </c>
    </row>
    <row r="13">
      <c r="A13" s="111" t="inlineStr">
        <is>
          <t>Conductual</t>
        </is>
      </c>
      <c r="B13" s="109">
        <f>+CONCATENATE(LEFT(D13,3),"-",C13)</f>
        <v/>
      </c>
      <c r="C13" s="109" t="inlineStr">
        <is>
          <t>24. Interrumpe constantemente el flujo de clase.</t>
        </is>
      </c>
      <c r="D13" s="110" t="inlineStr">
        <is>
          <t>Alerta/Mejora</t>
        </is>
      </c>
      <c r="E13" s="114" t="n">
        <v>2</v>
      </c>
      <c r="F13">
        <f>VLOOKUP(G13, $I$3:$K$7, 3, 1)</f>
        <v/>
      </c>
      <c r="G13">
        <f>+G$1-E13</f>
        <v/>
      </c>
    </row>
    <row r="14">
      <c r="A14" s="111" t="inlineStr">
        <is>
          <t>Conductual</t>
        </is>
      </c>
      <c r="B14" s="109">
        <f>+CONCATENATE(LEFT(D14,3),"-",C14)</f>
        <v/>
      </c>
      <c r="C14" s="109" t="inlineStr">
        <is>
          <t>26. Emplea lenguaje soez o despectivo.</t>
        </is>
      </c>
      <c r="D14" s="110" t="inlineStr">
        <is>
          <t>Alerta/Mejora</t>
        </is>
      </c>
      <c r="E14" s="114" t="n">
        <v>0</v>
      </c>
      <c r="F14">
        <f>VLOOKUP(G14, $I$3:$K$7, 3, 1)</f>
        <v/>
      </c>
      <c r="G14">
        <f>+G$1-E14</f>
        <v/>
      </c>
    </row>
    <row r="15">
      <c r="A15" s="111" t="inlineStr">
        <is>
          <t>Conductual</t>
        </is>
      </c>
      <c r="B15" s="109">
        <f>+CONCATENATE(LEFT(D15,3),"-",C15)</f>
        <v/>
      </c>
      <c r="C15" s="109" t="inlineStr">
        <is>
          <t>28. Miente o culpa a otros por sus actos.</t>
        </is>
      </c>
      <c r="D15" s="110" t="inlineStr">
        <is>
          <t>Alerta/Mejora</t>
        </is>
      </c>
      <c r="E15" s="114" t="n">
        <v>0</v>
      </c>
      <c r="F15">
        <f>VLOOKUP(G15, $I$3:$K$7, 3, 1)</f>
        <v/>
      </c>
      <c r="G15">
        <f>+G$1-E15</f>
        <v/>
      </c>
    </row>
    <row r="16">
      <c r="A16" s="111" t="inlineStr">
        <is>
          <t>Conductual</t>
        </is>
      </c>
      <c r="B16" s="109">
        <f>+CONCATENATE(LEFT(D16,3),"-",C16)</f>
        <v/>
      </c>
      <c r="C16" s="109" t="inlineStr">
        <is>
          <t>30. Se distrae con dispositivos electrónicos.</t>
        </is>
      </c>
      <c r="D16" s="110" t="inlineStr">
        <is>
          <t>Alerta/Mejora</t>
        </is>
      </c>
      <c r="E16" s="114" t="n">
        <v>0</v>
      </c>
      <c r="F16">
        <f>VLOOKUP(G16, $I$3:$K$7, 3, 1)</f>
        <v/>
      </c>
      <c r="G16">
        <f>+G$1-E16</f>
        <v/>
      </c>
    </row>
    <row r="17">
      <c r="A17" s="111" t="inlineStr">
        <is>
          <t>Conductual</t>
        </is>
      </c>
      <c r="B17" s="109">
        <f>+CONCATENATE(LEFT(D17,3),"-",C17)</f>
        <v/>
      </c>
      <c r="C17" s="109" t="inlineStr">
        <is>
          <t>32. Fomenta el desorden o el caos en el grupo.</t>
        </is>
      </c>
      <c r="D17" s="110" t="inlineStr">
        <is>
          <t>Alerta/Mejora</t>
        </is>
      </c>
      <c r="E17" s="114" t="n">
        <v>0</v>
      </c>
      <c r="F17">
        <f>VLOOKUP(G17, $I$3:$K$7, 3, 1)</f>
        <v/>
      </c>
      <c r="G17">
        <f>+G$1-E17</f>
        <v/>
      </c>
    </row>
    <row r="18">
      <c r="A18" s="111" t="inlineStr">
        <is>
          <t>Socio-Emocional</t>
        </is>
      </c>
      <c r="B18" s="109">
        <f>+CONCATENATE(LEFT(D18,3),"-",C18)</f>
        <v/>
      </c>
      <c r="C18" s="109" t="inlineStr">
        <is>
          <t>34. Se rinde fácilmente ante la frustración.</t>
        </is>
      </c>
      <c r="D18" s="110" t="inlineStr">
        <is>
          <t>Alerta/Mejora</t>
        </is>
      </c>
      <c r="E18" s="114" t="n">
        <v>2</v>
      </c>
      <c r="F18">
        <f>VLOOKUP(G18, $I$3:$K$7, 3, 1)</f>
        <v/>
      </c>
      <c r="G18">
        <f>+G$1-E18</f>
        <v/>
      </c>
    </row>
    <row r="19">
      <c r="A19" s="111" t="inlineStr">
        <is>
          <t>Socio-Emocional</t>
        </is>
      </c>
      <c r="B19" s="109">
        <f>+CONCATENATE(LEFT(D19,3),"-",C19)</f>
        <v/>
      </c>
      <c r="C19" s="109" t="inlineStr">
        <is>
          <t>36. Trabaja de forma aislada o es individualista.</t>
        </is>
      </c>
      <c r="D19" s="110" t="inlineStr">
        <is>
          <t>Alerta/Mejora</t>
        </is>
      </c>
      <c r="E19" s="114" t="n">
        <v>1</v>
      </c>
      <c r="F19">
        <f>VLOOKUP(G19, $I$3:$K$7, 3, 1)</f>
        <v/>
      </c>
      <c r="G19">
        <f>+G$1-E19</f>
        <v/>
      </c>
    </row>
    <row r="20">
      <c r="A20" s="111" t="inlineStr">
        <is>
          <t>Socio-Emocional</t>
        </is>
      </c>
      <c r="B20" s="109">
        <f>+CONCATENATE(LEFT(D20,3),"-",C20)</f>
        <v/>
      </c>
      <c r="C20" s="109" t="inlineStr">
        <is>
          <t>38. Ignora o se burla de los sentimientos de otros.</t>
        </is>
      </c>
      <c r="D20" s="110" t="inlineStr">
        <is>
          <t>Alerta/Mejora</t>
        </is>
      </c>
      <c r="E20" s="114" t="n">
        <v>3</v>
      </c>
      <c r="F20">
        <f>VLOOKUP(G20, $I$3:$K$7, 3, 1)</f>
        <v/>
      </c>
      <c r="G20">
        <f>+G$1-E20</f>
        <v/>
      </c>
    </row>
    <row r="21">
      <c r="A21" s="111" t="inlineStr">
        <is>
          <t>Socio-Emocional</t>
        </is>
      </c>
      <c r="B21" s="109">
        <f>+CONCATENATE(LEFT(D21,3),"-",C21)</f>
        <v/>
      </c>
      <c r="C21" s="109" t="inlineStr">
        <is>
          <t>40. Ejerce presión negativa o bullying.</t>
        </is>
      </c>
      <c r="D21" s="110" t="inlineStr">
        <is>
          <t>Alerta/Mejora</t>
        </is>
      </c>
      <c r="E21" s="114" t="n">
        <v>1</v>
      </c>
      <c r="F21">
        <f>VLOOKUP(G21, $I$3:$K$7, 3, 1)</f>
        <v/>
      </c>
      <c r="G21">
        <f>+G$1-E21</f>
        <v/>
      </c>
    </row>
    <row r="22">
      <c r="A22" s="111" t="inlineStr">
        <is>
          <t>Socio-Emocional</t>
        </is>
      </c>
      <c r="B22" s="109">
        <f>+CONCATENATE(LEFT(D22,3),"-",C22)</f>
        <v/>
      </c>
      <c r="C22" s="109" t="inlineStr">
        <is>
          <t>42. Reacciona de forma agresiva o impulsiva.</t>
        </is>
      </c>
      <c r="D22" s="110" t="inlineStr">
        <is>
          <t>Alerta/Mejora</t>
        </is>
      </c>
      <c r="E22" s="114" t="n">
        <v>1</v>
      </c>
      <c r="F22">
        <f>VLOOKUP(G22, $I$3:$K$7, 3, 1)</f>
        <v/>
      </c>
      <c r="G22">
        <f>+G$1-E22</f>
        <v/>
      </c>
    </row>
    <row r="23">
      <c r="A23" s="111" t="inlineStr">
        <is>
          <t>Socio-Emocional</t>
        </is>
      </c>
      <c r="B23" s="109">
        <f>+CONCATENATE(LEFT(D23,3),"-",C23)</f>
        <v/>
      </c>
      <c r="C23" s="109" t="inlineStr">
        <is>
          <t>44. Expresa inseguridad constante ("no puedo").</t>
        </is>
      </c>
      <c r="D23" s="110" t="inlineStr">
        <is>
          <t>Alerta/Mejora</t>
        </is>
      </c>
      <c r="E23" s="114" t="n">
        <v>1</v>
      </c>
      <c r="F23">
        <f>VLOOKUP(G23, $I$3:$K$7, 3, 1)</f>
        <v/>
      </c>
      <c r="G23">
        <f>+G$1-E23</f>
        <v/>
      </c>
    </row>
    <row r="24">
      <c r="A24" s="111" t="inlineStr">
        <is>
          <t>Actitudinal</t>
        </is>
      </c>
      <c r="B24" s="109">
        <f>+CONCATENATE(LEFT(D24,3),"-",C24)</f>
        <v/>
      </c>
      <c r="C24" s="109" t="inlineStr">
        <is>
          <t>46. Requiere estímulos externos para trabajar.</t>
        </is>
      </c>
      <c r="D24" s="110" t="inlineStr">
        <is>
          <t>Alerta/Mejora</t>
        </is>
      </c>
      <c r="E24" s="114" t="n">
        <v>2</v>
      </c>
      <c r="F24">
        <f>VLOOKUP(G24, $I$3:$K$7, 3, 1)</f>
        <v/>
      </c>
      <c r="G24">
        <f>+G$1-E24</f>
        <v/>
      </c>
    </row>
    <row r="25">
      <c r="A25" s="111" t="inlineStr">
        <is>
          <t>Actitudinal</t>
        </is>
      </c>
      <c r="B25" s="109">
        <f>+CONCATENATE(LEFT(D25,3),"-",C25)</f>
        <v/>
      </c>
      <c r="C25" s="109" t="inlineStr">
        <is>
          <t>48. Abandona proyectos a mitad de camino.</t>
        </is>
      </c>
      <c r="D25" s="110" t="inlineStr">
        <is>
          <t>Alerta/Mejora</t>
        </is>
      </c>
      <c r="E25" s="114" t="n">
        <v>0</v>
      </c>
      <c r="F25">
        <f>VLOOKUP(G25, $I$3:$K$7, 3, 1)</f>
        <v/>
      </c>
      <c r="G25">
        <f>+G$1-E25</f>
        <v/>
      </c>
    </row>
    <row r="26">
      <c r="A26" s="111" t="inlineStr">
        <is>
          <t>Actitudinal</t>
        </is>
      </c>
      <c r="B26" s="109">
        <f>+CONCATENATE(LEFT(D26,3),"-",C26)</f>
        <v/>
      </c>
      <c r="C26" s="109" t="inlineStr">
        <is>
          <t>50. Se muestra a la defensiva ante críticas.</t>
        </is>
      </c>
      <c r="D26" s="110" t="inlineStr">
        <is>
          <t>Alerta/Mejora</t>
        </is>
      </c>
      <c r="E26" s="114" t="n">
        <v>0</v>
      </c>
      <c r="F26">
        <f>VLOOKUP(G26, $I$3:$K$7, 3, 1)</f>
        <v/>
      </c>
      <c r="G26">
        <f>+G$1-E26</f>
        <v/>
      </c>
    </row>
    <row r="27">
      <c r="A27" s="111" t="n"/>
      <c r="B27" s="109" t="n"/>
      <c r="C27" s="109" t="n"/>
      <c r="D27" s="110" t="n"/>
      <c r="E27" s="114" t="n"/>
    </row>
    <row r="28">
      <c r="A28" s="112" t="inlineStr">
        <is>
          <t>Académica</t>
        </is>
      </c>
      <c r="B28" s="109">
        <f>+CONCATENATE(LEFT(D28,3),"-",C28)</f>
        <v/>
      </c>
      <c r="C28" s="104" t="inlineStr">
        <is>
          <t>01. Domina los conceptos clave del grado.</t>
        </is>
      </c>
      <c r="D28" s="103" t="inlineStr">
        <is>
          <t>Fortaleza/Logro</t>
        </is>
      </c>
      <c r="E28" s="114" t="n">
        <v>12</v>
      </c>
      <c r="F28">
        <f>VLOOKUP(G28, $I$3:$K$7, 3, 1)</f>
        <v/>
      </c>
      <c r="G28">
        <f>+E28</f>
        <v/>
      </c>
    </row>
    <row r="29">
      <c r="A29" s="112" t="inlineStr">
        <is>
          <t>Académica</t>
        </is>
      </c>
      <c r="B29" s="109">
        <f>+CONCATENATE(LEFT(D29,3),"-",C29)</f>
        <v/>
      </c>
      <c r="C29" s="104" t="inlineStr">
        <is>
          <t>03. Posee un pensamiento crítico y analítico.</t>
        </is>
      </c>
      <c r="D29" s="103" t="inlineStr">
        <is>
          <t>Fortaleza/Logro</t>
        </is>
      </c>
      <c r="E29" s="114" t="n">
        <v>14</v>
      </c>
      <c r="F29">
        <f>VLOOKUP(G29, $I$3:$K$7, 3, 1)</f>
        <v/>
      </c>
      <c r="G29">
        <f>+E29</f>
        <v/>
      </c>
    </row>
    <row r="30">
      <c r="A30" s="112" t="inlineStr">
        <is>
          <t>Académica</t>
        </is>
      </c>
      <c r="B30" s="109">
        <f>+CONCATENATE(LEFT(D30,3),"-",C30)</f>
        <v/>
      </c>
      <c r="C30" s="104" t="inlineStr">
        <is>
          <t>05. Entrega trabajos con alta calidad y orden.</t>
        </is>
      </c>
      <c r="D30" s="103" t="inlineStr">
        <is>
          <t>Fortaleza/Logro</t>
        </is>
      </c>
      <c r="E30" s="114" t="n">
        <v>12</v>
      </c>
      <c r="F30">
        <f>VLOOKUP(G30, $I$3:$K$7, 3, 1)</f>
        <v/>
      </c>
      <c r="G30">
        <f>+E30</f>
        <v/>
      </c>
    </row>
    <row r="31">
      <c r="A31" s="112" t="inlineStr">
        <is>
          <t>Académica</t>
        </is>
      </c>
      <c r="B31" s="109">
        <f>+CONCATENATE(LEFT(D31,3),"-",C31)</f>
        <v/>
      </c>
      <c r="C31" s="104" t="inlineStr">
        <is>
          <t>07. Resuelve problemas lógicos con fluidez.</t>
        </is>
      </c>
      <c r="D31" s="103" t="inlineStr">
        <is>
          <t>Fortaleza/Logro</t>
        </is>
      </c>
      <c r="E31" s="114" t="n">
        <v>12</v>
      </c>
      <c r="F31">
        <f>VLOOKUP(G31, $I$3:$K$7, 3, 1)</f>
        <v/>
      </c>
      <c r="G31">
        <f>+E31</f>
        <v/>
      </c>
    </row>
    <row r="32">
      <c r="A32" s="112" t="inlineStr">
        <is>
          <t>Académica</t>
        </is>
      </c>
      <c r="B32" s="109">
        <f>+CONCATENATE(LEFT(D32,3),"-",C32)</f>
        <v/>
      </c>
      <c r="C32" s="104" t="inlineStr">
        <is>
          <t>09. Utiliza vocabulario técnico preciso.</t>
        </is>
      </c>
      <c r="D32" s="103" t="inlineStr">
        <is>
          <t>Fortaleza/Logro</t>
        </is>
      </c>
      <c r="E32" s="114" t="n">
        <v>12</v>
      </c>
      <c r="F32">
        <f>VLOOKUP(G32, $I$3:$K$7, 3, 1)</f>
        <v/>
      </c>
      <c r="G32">
        <f>+E32</f>
        <v/>
      </c>
    </row>
    <row r="33">
      <c r="A33" s="112" t="inlineStr">
        <is>
          <t>Académica</t>
        </is>
      </c>
      <c r="B33" s="109">
        <f>+CONCATENATE(LEFT(D33,3),"-",C33)</f>
        <v/>
      </c>
      <c r="C33" s="104" t="inlineStr">
        <is>
          <t>11. Posee excelentes hábitos de lectura.</t>
        </is>
      </c>
      <c r="D33" s="103" t="inlineStr">
        <is>
          <t>Fortaleza/Logro</t>
        </is>
      </c>
      <c r="E33" s="114" t="n">
        <v>11</v>
      </c>
      <c r="F33">
        <f>VLOOKUP(G33, $I$3:$K$7, 3, 1)</f>
        <v/>
      </c>
      <c r="G33">
        <f>+E33</f>
        <v/>
      </c>
    </row>
    <row r="34">
      <c r="A34" s="112" t="inlineStr">
        <is>
          <t>Académica</t>
        </is>
      </c>
      <c r="B34" s="109">
        <f>+CONCATENATE(LEFT(D34,3),"-",C34)</f>
        <v/>
      </c>
      <c r="C34" s="104" t="inlineStr">
        <is>
          <t>13. Es autónomo en la realización de tareas.</t>
        </is>
      </c>
      <c r="D34" s="103" t="inlineStr">
        <is>
          <t>Fortaleza/Logro</t>
        </is>
      </c>
      <c r="E34" s="114" t="n">
        <v>14</v>
      </c>
      <c r="F34">
        <f>VLOOKUP(G34, $I$3:$K$7, 3, 1)</f>
        <v/>
      </c>
      <c r="G34">
        <f>+E34</f>
        <v/>
      </c>
    </row>
    <row r="35">
      <c r="A35" s="112" t="inlineStr">
        <is>
          <t>Académica</t>
        </is>
      </c>
      <c r="B35" s="109">
        <f>+CONCATENATE(LEFT(D35,3),"-",C35)</f>
        <v/>
      </c>
      <c r="C35" s="104" t="inlineStr">
        <is>
          <t>15. Investiga más allá de lo solicitado.</t>
        </is>
      </c>
      <c r="D35" s="103" t="inlineStr">
        <is>
          <t>Fortaleza/Logro</t>
        </is>
      </c>
      <c r="E35" s="114" t="n">
        <v>12</v>
      </c>
      <c r="F35">
        <f>VLOOKUP(G35, $I$3:$K$7, 3, 1)</f>
        <v/>
      </c>
      <c r="G35">
        <f>+E35</f>
        <v/>
      </c>
    </row>
    <row r="36">
      <c r="A36" s="112" t="inlineStr">
        <is>
          <t>Conductual</t>
        </is>
      </c>
      <c r="B36" s="109">
        <f>+CONCATENATE(LEFT(D36,3),"-",C36)</f>
        <v/>
      </c>
      <c r="C36" s="104" t="inlineStr">
        <is>
          <t>17. Respeta las normas de convivencia.</t>
        </is>
      </c>
      <c r="D36" s="103" t="inlineStr">
        <is>
          <t>Fortaleza/Logro</t>
        </is>
      </c>
      <c r="E36" s="114" t="n">
        <v>14</v>
      </c>
      <c r="F36">
        <f>VLOOKUP(G36, $I$3:$K$7, 3, 1)</f>
        <v/>
      </c>
      <c r="G36">
        <f>+E36</f>
        <v/>
      </c>
    </row>
    <row r="37">
      <c r="A37" s="112" t="inlineStr">
        <is>
          <t>Conductual</t>
        </is>
      </c>
      <c r="B37" s="109">
        <f>+CONCATENATE(LEFT(D37,3),"-",C37)</f>
        <v/>
      </c>
      <c r="C37" s="104" t="inlineStr">
        <is>
          <t>19. Es puntual en todas sus obligaciones.</t>
        </is>
      </c>
      <c r="D37" s="103" t="inlineStr">
        <is>
          <t>Fortaleza/Logro</t>
        </is>
      </c>
      <c r="E37" s="114" t="n">
        <v>12</v>
      </c>
      <c r="F37">
        <f>VLOOKUP(G37, $I$3:$K$7, 3, 1)</f>
        <v/>
      </c>
      <c r="G37">
        <f>+E37</f>
        <v/>
      </c>
    </row>
    <row r="38">
      <c r="A38" s="112" t="inlineStr">
        <is>
          <t>Conductual</t>
        </is>
      </c>
      <c r="B38" s="109">
        <f>+CONCATENATE(LEFT(D38,3),"-",C38)</f>
        <v/>
      </c>
      <c r="C38" s="104" t="inlineStr">
        <is>
          <t>21. Cuida el material propio y ajeno.</t>
        </is>
      </c>
      <c r="D38" s="103" t="inlineStr">
        <is>
          <t>Fortaleza/Logro</t>
        </is>
      </c>
      <c r="E38" s="114" t="n">
        <v>14</v>
      </c>
      <c r="F38">
        <f>VLOOKUP(G38, $I$3:$K$7, 3, 1)</f>
        <v/>
      </c>
      <c r="G38">
        <f>+E38</f>
        <v/>
      </c>
    </row>
    <row r="39">
      <c r="A39" s="112" t="inlineStr">
        <is>
          <t>Conductual</t>
        </is>
      </c>
      <c r="B39" s="109">
        <f>+CONCATENATE(LEFT(D39,3),"-",C39)</f>
        <v/>
      </c>
      <c r="C39" s="104" t="inlineStr">
        <is>
          <t>23. Escucha con atención y no interrumpe.</t>
        </is>
      </c>
      <c r="D39" s="103" t="inlineStr">
        <is>
          <t>Fortaleza/Logro</t>
        </is>
      </c>
      <c r="E39" s="114" t="n">
        <v>14</v>
      </c>
      <c r="F39">
        <f>VLOOKUP(G39, $I$3:$K$7, 3, 1)</f>
        <v/>
      </c>
      <c r="G39">
        <f>+E39</f>
        <v/>
      </c>
    </row>
    <row r="40">
      <c r="A40" s="112" t="inlineStr">
        <is>
          <t>Conductual</t>
        </is>
      </c>
      <c r="B40" s="109">
        <f>+CONCATENATE(LEFT(D40,3),"-",C40)</f>
        <v/>
      </c>
      <c r="C40" s="104" t="inlineStr">
        <is>
          <t>25. Utiliza el lenguaje de forma respetuosa.</t>
        </is>
      </c>
      <c r="D40" s="103" t="inlineStr">
        <is>
          <t>Fortaleza/Logro</t>
        </is>
      </c>
      <c r="E40" s="114" t="n">
        <v>14</v>
      </c>
      <c r="F40">
        <f>VLOOKUP(G40, $I$3:$K$7, 3, 1)</f>
        <v/>
      </c>
      <c r="G40">
        <f>+E40</f>
        <v/>
      </c>
    </row>
    <row r="41">
      <c r="A41" s="112" t="inlineStr">
        <is>
          <t>Conductual</t>
        </is>
      </c>
      <c r="B41" s="109">
        <f>+CONCATENATE(LEFT(D41,3),"-",C41)</f>
        <v/>
      </c>
      <c r="C41" s="104" t="inlineStr">
        <is>
          <t>27. Reconoce sus errores honestamente.</t>
        </is>
      </c>
      <c r="D41" s="103" t="inlineStr">
        <is>
          <t>Fortaleza/Logro</t>
        </is>
      </c>
      <c r="E41" s="114" t="n">
        <v>14</v>
      </c>
      <c r="F41">
        <f>VLOOKUP(G41, $I$3:$K$7, 3, 1)</f>
        <v/>
      </c>
      <c r="G41">
        <f>+E41</f>
        <v/>
      </c>
      <c r="K41" t="inlineStr">
        <is>
          <t>Suma de Cantidad de veces</t>
        </is>
      </c>
      <c r="L41" t="inlineStr">
        <is>
          <t>Etiquetas de columna</t>
        </is>
      </c>
    </row>
    <row r="42">
      <c r="A42" s="112" t="inlineStr">
        <is>
          <t>Conductual</t>
        </is>
      </c>
      <c r="B42" s="109">
        <f>+CONCATENATE(LEFT(D42,3),"-",C42)</f>
        <v/>
      </c>
      <c r="C42" s="104" t="inlineStr">
        <is>
          <t>29. Usa la tecnología con fines educativos.</t>
        </is>
      </c>
      <c r="D42" s="103" t="inlineStr">
        <is>
          <t>Fortaleza/Logro</t>
        </is>
      </c>
      <c r="E42" s="114" t="n">
        <v>12</v>
      </c>
      <c r="F42">
        <f>VLOOKUP(G42, $I$3:$K$7, 3, 1)</f>
        <v/>
      </c>
      <c r="G42">
        <f>+E42</f>
        <v/>
      </c>
      <c r="K42" t="inlineStr">
        <is>
          <t>Etiquetas de fila</t>
        </is>
      </c>
      <c r="L42" t="inlineStr">
        <is>
          <t>Alerta/Mejora</t>
        </is>
      </c>
      <c r="M42" t="inlineStr">
        <is>
          <t>Fortaleza/Logro</t>
        </is>
      </c>
      <c r="N42" t="inlineStr">
        <is>
          <t>Total general</t>
        </is>
      </c>
    </row>
    <row r="43">
      <c r="A43" s="112" t="inlineStr">
        <is>
          <t>Conductual</t>
        </is>
      </c>
      <c r="B43" s="109">
        <f>+CONCATENATE(LEFT(D43,3),"-",C43)</f>
        <v/>
      </c>
      <c r="C43" s="104" t="inlineStr">
        <is>
          <t>31. Mantiene el orden en espacios comunes.</t>
        </is>
      </c>
      <c r="D43" s="103" t="inlineStr">
        <is>
          <t>Fortaleza/Logro</t>
        </is>
      </c>
      <c r="E43" s="114" t="n">
        <v>11</v>
      </c>
      <c r="F43">
        <f>VLOOKUP(G43, $I$3:$K$7, 3, 1)</f>
        <v/>
      </c>
      <c r="G43">
        <f>+E43</f>
        <v/>
      </c>
      <c r="K43" s="87" t="inlineStr">
        <is>
          <t>Académica</t>
        </is>
      </c>
      <c r="L43" t="n">
        <v>28</v>
      </c>
      <c r="M43" t="n">
        <v>90</v>
      </c>
      <c r="N43" t="n">
        <v>118</v>
      </c>
    </row>
    <row r="44">
      <c r="A44" s="112" t="inlineStr">
        <is>
          <t>Socio-Emocional</t>
        </is>
      </c>
      <c r="B44" s="109">
        <f>+CONCATENATE(LEFT(D44,3),"-",C44)</f>
        <v/>
      </c>
      <c r="C44" s="104" t="inlineStr">
        <is>
          <t>33. Muestra resiliencia ante el fracaso.</t>
        </is>
      </c>
      <c r="D44" s="103" t="inlineStr">
        <is>
          <t>Fortaleza/Logro</t>
        </is>
      </c>
      <c r="E44" s="114" t="n">
        <v>12</v>
      </c>
      <c r="F44">
        <f>VLOOKUP(G44, $I$3:$K$7, 3, 1)</f>
        <v/>
      </c>
      <c r="G44">
        <f>+E44</f>
        <v/>
      </c>
      <c r="K44" s="87" t="inlineStr">
        <is>
          <t>Actitudinal</t>
        </is>
      </c>
      <c r="L44" t="n">
        <v>8</v>
      </c>
      <c r="M44" t="n">
        <v>97</v>
      </c>
      <c r="N44" t="n">
        <v>105</v>
      </c>
    </row>
    <row r="45">
      <c r="A45" s="112" t="inlineStr">
        <is>
          <t>Socio-Emocional</t>
        </is>
      </c>
      <c r="B45" s="109">
        <f>+CONCATENATE(LEFT(D45,3),"-",C45)</f>
        <v/>
      </c>
      <c r="C45" s="104" t="inlineStr">
        <is>
          <t>35. Trabaja de forma colaborativa y equitativa.</t>
        </is>
      </c>
      <c r="D45" s="103" t="inlineStr">
        <is>
          <t>Fortaleza/Logro</t>
        </is>
      </c>
      <c r="E45" s="114" t="n">
        <v>12</v>
      </c>
      <c r="F45">
        <f>VLOOKUP(G45, $I$3:$K$7, 3, 1)</f>
        <v/>
      </c>
      <c r="G45">
        <f>+E45</f>
        <v/>
      </c>
      <c r="K45" s="87" t="inlineStr">
        <is>
          <t>Conductual</t>
        </is>
      </c>
      <c r="L45" t="n">
        <v>33</v>
      </c>
      <c r="M45" t="n">
        <v>239</v>
      </c>
      <c r="N45" t="n">
        <v>272</v>
      </c>
    </row>
    <row r="46">
      <c r="A46" s="112" t="inlineStr">
        <is>
          <t>Socio-Emocional</t>
        </is>
      </c>
      <c r="B46" s="109">
        <f>+CONCATENATE(LEFT(D46,3),"-",C46)</f>
        <v/>
      </c>
      <c r="C46" s="104" t="inlineStr">
        <is>
          <t>37. Es empático con las necesidades ajenas.</t>
        </is>
      </c>
      <c r="D46" s="103" t="inlineStr">
        <is>
          <t>Fortaleza/Logro</t>
        </is>
      </c>
      <c r="E46" s="114" t="n">
        <v>12</v>
      </c>
      <c r="F46">
        <f>VLOOKUP(G46, $I$3:$K$7, 3, 1)</f>
        <v/>
      </c>
      <c r="G46">
        <f>+E46</f>
        <v/>
      </c>
      <c r="K46" s="87" t="inlineStr">
        <is>
          <t>Socio-Emocional</t>
        </is>
      </c>
      <c r="L46" t="n">
        <v>20</v>
      </c>
      <c r="M46" t="n">
        <v>162</v>
      </c>
      <c r="N46" t="n">
        <v>182</v>
      </c>
    </row>
    <row r="47">
      <c r="A47" s="112" t="inlineStr">
        <is>
          <t>Socio-Emocional</t>
        </is>
      </c>
      <c r="B47" s="109">
        <f>+CONCATENATE(LEFT(D47,3),"-",C47)</f>
        <v/>
      </c>
      <c r="C47" s="104" t="inlineStr">
        <is>
          <t>39. Posee un liderazgo positivo y ético.</t>
        </is>
      </c>
      <c r="D47" s="103" t="inlineStr">
        <is>
          <t>Fortaleza/Logro</t>
        </is>
      </c>
      <c r="E47" s="114" t="n">
        <v>12</v>
      </c>
      <c r="F47">
        <f>VLOOKUP(G47, $I$3:$K$7, 3, 1)</f>
        <v/>
      </c>
      <c r="G47">
        <f>+E47</f>
        <v/>
      </c>
      <c r="K47" s="87" t="inlineStr">
        <is>
          <t>Total general</t>
        </is>
      </c>
      <c r="L47" t="n">
        <v>89</v>
      </c>
      <c r="M47" t="n">
        <v>588</v>
      </c>
      <c r="N47" t="n">
        <v>677</v>
      </c>
    </row>
    <row r="48">
      <c r="A48" s="112" t="inlineStr">
        <is>
          <t>Socio-Emocional</t>
        </is>
      </c>
      <c r="B48" s="109">
        <f>+CONCATENATE(LEFT(D48,3),"-",C48)</f>
        <v/>
      </c>
      <c r="C48" s="104" t="inlineStr">
        <is>
          <t>41. Se comunica de manera asertiva.</t>
        </is>
      </c>
      <c r="D48" s="103" t="inlineStr">
        <is>
          <t>Fortaleza/Logro</t>
        </is>
      </c>
      <c r="E48" s="114" t="n">
        <v>12</v>
      </c>
      <c r="F48">
        <f>VLOOKUP(G48, $I$3:$K$7, 3, 1)</f>
        <v/>
      </c>
      <c r="G48">
        <f>+E48</f>
        <v/>
      </c>
    </row>
    <row r="49">
      <c r="A49" s="112" t="inlineStr">
        <is>
          <t>Socio-Emocional</t>
        </is>
      </c>
      <c r="B49" s="109">
        <f>+CONCATENATE(LEFT(D49,3),"-",C49)</f>
        <v/>
      </c>
      <c r="C49" s="104" t="inlineStr">
        <is>
          <t>43. Tiene una autoestima académica sólida.</t>
        </is>
      </c>
      <c r="D49" s="103" t="inlineStr">
        <is>
          <t>Fortaleza/Logro</t>
        </is>
      </c>
      <c r="E49" s="114" t="n">
        <v>12</v>
      </c>
      <c r="F49">
        <f>VLOOKUP(G49, $I$3:$K$7, 3, 1)</f>
        <v/>
      </c>
      <c r="G49">
        <f>+E49</f>
        <v/>
      </c>
      <c r="L49" t="inlineStr">
        <is>
          <t>Etiquetas de columna</t>
        </is>
      </c>
    </row>
    <row r="50">
      <c r="A50" s="112" t="inlineStr">
        <is>
          <t>Actitudinal</t>
        </is>
      </c>
      <c r="B50" s="109">
        <f>+CONCATENATE(LEFT(D50,3),"-",C50)</f>
        <v/>
      </c>
      <c r="C50" s="104" t="inlineStr">
        <is>
          <t>45. Muestra curiosidad e iniciativa propia.</t>
        </is>
      </c>
      <c r="D50" s="103" t="inlineStr">
        <is>
          <t>Fortaleza/Logro</t>
        </is>
      </c>
      <c r="E50" s="114" t="n">
        <v>12</v>
      </c>
      <c r="F50">
        <f>VLOOKUP(G50, $I$3:$K$7, 3, 1)</f>
        <v/>
      </c>
      <c r="G50">
        <f>+E50</f>
        <v/>
      </c>
      <c r="L50" t="inlineStr">
        <is>
          <t>Alerta/Mejora</t>
        </is>
      </c>
      <c r="M50" t="inlineStr">
        <is>
          <t>Fortaleza/Logro</t>
        </is>
      </c>
      <c r="N50" t="inlineStr">
        <is>
          <t>(en blanco)</t>
        </is>
      </c>
      <c r="O50" t="inlineStr">
        <is>
          <t>Total general</t>
        </is>
      </c>
    </row>
    <row r="51">
      <c r="A51" s="112" t="inlineStr">
        <is>
          <t>Actitudinal</t>
        </is>
      </c>
      <c r="B51" s="109">
        <f>+CONCATENATE(LEFT(D51,3),"-",C51)</f>
        <v/>
      </c>
      <c r="C51" s="104" t="inlineStr">
        <is>
          <t>47. Es persistente en tareas complejas.</t>
        </is>
      </c>
      <c r="D51" s="103" t="inlineStr">
        <is>
          <t>Fortaleza/Logro</t>
        </is>
      </c>
      <c r="E51" s="114" t="n">
        <v>10</v>
      </c>
      <c r="F51">
        <f>VLOOKUP(G51, $I$3:$K$7, 3, 1)</f>
        <v/>
      </c>
      <c r="G51">
        <f>+E51</f>
        <v/>
      </c>
      <c r="K51" t="inlineStr">
        <is>
          <t>Suma de Cantidad de veces</t>
        </is>
      </c>
      <c r="L51" t="n">
        <v>89</v>
      </c>
      <c r="M51" t="n">
        <v>588</v>
      </c>
      <c r="O51" t="n">
        <v>677</v>
      </c>
    </row>
    <row r="52">
      <c r="A52" s="112" t="inlineStr">
        <is>
          <t>Actitudinal</t>
        </is>
      </c>
      <c r="B52" s="109">
        <f>+CONCATENATE(LEFT(D52,3),"-",C52)</f>
        <v/>
      </c>
      <c r="C52" s="104" t="inlineStr">
        <is>
          <t>49. Acepta retroalimentación constructiva.</t>
        </is>
      </c>
      <c r="D52" s="103" t="inlineStr">
        <is>
          <t>Fortaleza/Logro</t>
        </is>
      </c>
      <c r="E52" s="114" t="n">
        <v>12</v>
      </c>
      <c r="F52">
        <f>VLOOKUP(G52, $I$3:$K$7, 3, 1)</f>
        <v/>
      </c>
      <c r="G52">
        <f>+E52</f>
        <v/>
      </c>
    </row>
    <row r="53"/>
    <row r="54"/>
    <row r="55">
      <c r="K55" t="inlineStr">
        <is>
          <t xml:space="preserve">Nota </t>
        </is>
      </c>
      <c r="L55" t="inlineStr">
        <is>
          <t>Cantidad de alumnos</t>
        </is>
      </c>
      <c r="N55" t="inlineStr">
        <is>
          <t>% de Alumnos</t>
        </is>
      </c>
    </row>
    <row r="56">
      <c r="K56" t="n">
        <v>1</v>
      </c>
      <c r="L56">
        <f>ROUND((COUNTIF($F$2:$F$52, K56) / 50) * 37, 0)</f>
        <v/>
      </c>
      <c r="N56" s="117">
        <f>+L56/L$61</f>
        <v/>
      </c>
      <c r="P56" t="inlineStr">
        <is>
          <t xml:space="preserve">Muy bueno </t>
        </is>
      </c>
      <c r="Q56">
        <f>+L60+L59</f>
        <v/>
      </c>
      <c r="R56" s="117">
        <f>+Q56/L$61</f>
        <v/>
      </c>
    </row>
    <row r="57">
      <c r="K57" t="n">
        <v>2</v>
      </c>
      <c r="L57">
        <f>ROUND((COUNTIF($F$2:$F$52, K57) / 50) * 37, 0)</f>
        <v/>
      </c>
      <c r="N57" s="117">
        <f>+L57/L$61</f>
        <v/>
      </c>
      <c r="P57" t="inlineStr">
        <is>
          <t>Bueno</t>
        </is>
      </c>
      <c r="Q57">
        <f>+L58</f>
        <v/>
      </c>
      <c r="R57" s="117">
        <f>+Q57/L$61</f>
        <v/>
      </c>
    </row>
    <row r="58">
      <c r="K58" t="n">
        <v>3</v>
      </c>
      <c r="L58">
        <f>ROUND((COUNTIF($F$2:$F$52, K58) / 50) * 37, 0)</f>
        <v/>
      </c>
      <c r="N58" s="117">
        <f>+L58/L$61</f>
        <v/>
      </c>
      <c r="P58" t="inlineStr">
        <is>
          <t>A mejorar</t>
        </is>
      </c>
      <c r="Q58">
        <f>+L56+L57</f>
        <v/>
      </c>
      <c r="R58" s="117">
        <f>+Q58/L$61</f>
        <v/>
      </c>
    </row>
    <row r="59">
      <c r="K59" t="n">
        <v>4</v>
      </c>
      <c r="L59">
        <f>ROUND((COUNTIF($F$2:$F$52, K59) / 50) * 37, 0)</f>
        <v/>
      </c>
      <c r="N59" s="117">
        <f>+L59/L$61</f>
        <v/>
      </c>
    </row>
    <row r="60">
      <c r="K60" t="n">
        <v>5</v>
      </c>
      <c r="L60">
        <f>ROUND((COUNTIF($F$2:$F$52, K60) / 50) * 37, 0)</f>
        <v/>
      </c>
      <c r="N60" s="117">
        <f>+L60/L$61</f>
        <v/>
      </c>
    </row>
    <row r="61">
      <c r="L61">
        <f>SUM(L56:L60)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8" t="inlineStr">
        <is>
          <t>COLEGIO SAGRADA FAMILIA</t>
        </is>
      </c>
      <c r="B1" s="119" t="n"/>
      <c r="C1" s="119" t="n"/>
      <c r="D1" s="119" t="n"/>
      <c r="E1" s="119" t="n"/>
      <c r="F1" s="119" t="n"/>
      <c r="G1" s="119" t="n"/>
      <c r="H1" s="120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15.75" customHeight="1">
      <c r="A2" s="118" t="inlineStr">
        <is>
          <t>ESCALA DE CALIFICACIONES - 60%</t>
        </is>
      </c>
      <c r="B2" s="119" t="n"/>
      <c r="C2" s="119" t="n"/>
      <c r="D2" s="119" t="n"/>
      <c r="E2" s="119" t="n"/>
      <c r="F2" s="119" t="n"/>
      <c r="G2" s="119" t="n"/>
      <c r="H2" s="120" t="n"/>
      <c r="I2" s="121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15.75" customHeight="1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15.75" customHeight="1">
      <c r="A4" s="123" t="inlineStr">
        <is>
          <t>15 Puntos</t>
        </is>
      </c>
      <c r="B4" s="124" t="inlineStr">
        <is>
          <t>16 Puntos</t>
        </is>
      </c>
      <c r="C4" s="124" t="inlineStr">
        <is>
          <t>17 Puntos</t>
        </is>
      </c>
      <c r="D4" s="124" t="inlineStr">
        <is>
          <t>18 Puntos</t>
        </is>
      </c>
      <c r="E4" s="124" t="inlineStr">
        <is>
          <t>19 Puntos</t>
        </is>
      </c>
      <c r="F4" s="124" t="inlineStr">
        <is>
          <t>20 Puntos</t>
        </is>
      </c>
      <c r="G4" s="124" t="inlineStr">
        <is>
          <t>21 Puntos</t>
        </is>
      </c>
      <c r="H4" s="124" t="inlineStr">
        <is>
          <t>22 Puntos</t>
        </is>
      </c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15.75" customHeight="1">
      <c r="A5" s="125" t="inlineStr">
        <is>
          <t>0 - 9 = 1</t>
        </is>
      </c>
      <c r="B5" s="126" t="inlineStr">
        <is>
          <t>0 - 9 = 1</t>
        </is>
      </c>
      <c r="C5" s="126" t="inlineStr">
        <is>
          <t>0 - 10 = 1</t>
        </is>
      </c>
      <c r="D5" s="126" t="inlineStr">
        <is>
          <t>0 - 10 = 1</t>
        </is>
      </c>
      <c r="E5" s="126" t="inlineStr">
        <is>
          <t>0 - 10 = 1</t>
        </is>
      </c>
      <c r="F5" s="126" t="inlineStr">
        <is>
          <t>0 - 11 = 1</t>
        </is>
      </c>
      <c r="G5" s="126" t="inlineStr">
        <is>
          <t>0 - 12 = 1</t>
        </is>
      </c>
      <c r="H5" s="126" t="inlineStr">
        <is>
          <t>0 - 13 = 1</t>
        </is>
      </c>
      <c r="I5" s="121" t="n"/>
      <c r="J5" s="121" t="n"/>
      <c r="K5" s="121" t="n"/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15.75" customHeight="1">
      <c r="A6" s="125" t="inlineStr">
        <is>
          <t>9 - 10 = 2</t>
        </is>
      </c>
      <c r="B6" s="126" t="inlineStr">
        <is>
          <t>9 - 10 = 2</t>
        </is>
      </c>
      <c r="C6" s="126" t="inlineStr">
        <is>
          <t>11 - 12 = 2</t>
        </is>
      </c>
      <c r="D6" s="126" t="inlineStr">
        <is>
          <t>11 - 12 = 2</t>
        </is>
      </c>
      <c r="E6" s="126" t="inlineStr">
        <is>
          <t>11 - 12 = 2</t>
        </is>
      </c>
      <c r="F6" s="126" t="inlineStr">
        <is>
          <t>12 - 13 = 2</t>
        </is>
      </c>
      <c r="G6" s="126" t="inlineStr">
        <is>
          <t>13 - 14 = 2</t>
        </is>
      </c>
      <c r="H6" s="126" t="inlineStr">
        <is>
          <t>14 - 15 = 2</t>
        </is>
      </c>
      <c r="I6" s="121" t="n"/>
      <c r="J6" s="121" t="n"/>
      <c r="K6" s="121" t="n"/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15.75" customHeight="1">
      <c r="A7" s="125" t="inlineStr">
        <is>
          <t>11 - 12 = 3</t>
        </is>
      </c>
      <c r="B7" s="126" t="inlineStr">
        <is>
          <t>11 - 12 = 3</t>
        </is>
      </c>
      <c r="C7" s="126" t="inlineStr">
        <is>
          <t>13 - 14 = 3</t>
        </is>
      </c>
      <c r="D7" s="126" t="inlineStr">
        <is>
          <t>13 - 14 = 3</t>
        </is>
      </c>
      <c r="E7" s="126" t="inlineStr">
        <is>
          <t>13 - 15 = 3</t>
        </is>
      </c>
      <c r="F7" s="126" t="inlineStr">
        <is>
          <t>14 - 16 = 3</t>
        </is>
      </c>
      <c r="G7" s="126" t="inlineStr">
        <is>
          <t>15 - 17 = 3</t>
        </is>
      </c>
      <c r="H7" s="126" t="inlineStr">
        <is>
          <t>16 - 18 = 3</t>
        </is>
      </c>
      <c r="I7" s="121" t="n"/>
      <c r="J7" s="121" t="n"/>
      <c r="K7" s="121" t="n"/>
      <c r="L7" s="121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15.75" customHeight="1">
      <c r="A8" s="125" t="inlineStr">
        <is>
          <t>13 - 14 = 4</t>
        </is>
      </c>
      <c r="B8" s="126" t="inlineStr">
        <is>
          <t>13 - 14 = 4</t>
        </is>
      </c>
      <c r="C8" s="126" t="inlineStr">
        <is>
          <t>15 - 16 = 4</t>
        </is>
      </c>
      <c r="D8" s="126" t="inlineStr">
        <is>
          <t>15 - 16 = 4</t>
        </is>
      </c>
      <c r="E8" s="126" t="inlineStr">
        <is>
          <t>16 - 17 = 4</t>
        </is>
      </c>
      <c r="F8" s="126" t="inlineStr">
        <is>
          <t>17 - 18 = 4</t>
        </is>
      </c>
      <c r="G8" s="126" t="inlineStr">
        <is>
          <t>18 - 19 = 4</t>
        </is>
      </c>
      <c r="H8" s="126" t="inlineStr">
        <is>
          <t>19 - 20 = 4</t>
        </is>
      </c>
      <c r="I8" s="121" t="n"/>
      <c r="J8" s="121" t="n"/>
      <c r="K8" s="121" t="n"/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15.75" customHeight="1">
      <c r="A9" s="125" t="inlineStr">
        <is>
          <t>15 = 5</t>
        </is>
      </c>
      <c r="B9" s="126" t="inlineStr">
        <is>
          <t>15 - 16 = 5</t>
        </is>
      </c>
      <c r="C9" s="126" t="inlineStr">
        <is>
          <t>17 = 5</t>
        </is>
      </c>
      <c r="D9" s="126" t="inlineStr">
        <is>
          <t>17 - 18 = 5</t>
        </is>
      </c>
      <c r="E9" s="126" t="inlineStr">
        <is>
          <t>18 - 19 = 5</t>
        </is>
      </c>
      <c r="F9" s="126" t="inlineStr">
        <is>
          <t>19 - 20 = 5</t>
        </is>
      </c>
      <c r="G9" s="126" t="inlineStr">
        <is>
          <t>20 - 21 = 5</t>
        </is>
      </c>
      <c r="H9" s="126" t="inlineStr">
        <is>
          <t>21 - 22 = 5</t>
        </is>
      </c>
      <c r="I9" s="121" t="n"/>
      <c r="J9" s="121" t="n"/>
      <c r="K9" s="121" t="n"/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15.75" customHeight="1">
      <c r="A10" s="122" t="n"/>
      <c r="B10" s="122" t="n"/>
      <c r="C10" s="122" t="n"/>
      <c r="D10" s="122" t="n"/>
      <c r="E10" s="122" t="n"/>
      <c r="F10" s="122" t="n"/>
      <c r="G10" s="122" t="n"/>
      <c r="H10" s="122" t="n"/>
      <c r="I10" s="121" t="n"/>
      <c r="J10" s="121" t="n"/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15.75" customHeight="1">
      <c r="A11" s="123" t="inlineStr">
        <is>
          <t>23 Puntos</t>
        </is>
      </c>
      <c r="B11" s="124" t="inlineStr">
        <is>
          <t>24 Puntos</t>
        </is>
      </c>
      <c r="C11" s="124" t="inlineStr">
        <is>
          <t>25 Puntos</t>
        </is>
      </c>
      <c r="D11" s="124" t="inlineStr">
        <is>
          <t>26 Puntos</t>
        </is>
      </c>
      <c r="E11" s="124" t="inlineStr">
        <is>
          <t>27 Puntos</t>
        </is>
      </c>
      <c r="F11" s="124" t="inlineStr">
        <is>
          <t>28 Puntos</t>
        </is>
      </c>
      <c r="G11" s="124" t="inlineStr">
        <is>
          <t>29 Puntos</t>
        </is>
      </c>
      <c r="H11" s="124" t="inlineStr">
        <is>
          <t>30 Puntos</t>
        </is>
      </c>
      <c r="I11" s="121" t="n"/>
      <c r="J11" s="121" t="n"/>
      <c r="K11" s="121" t="n"/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15.75" customHeight="1">
      <c r="A12" s="125" t="inlineStr">
        <is>
          <t>0 - 13 = 1</t>
        </is>
      </c>
      <c r="B12" s="126" t="inlineStr">
        <is>
          <t>0 - 13 = 1</t>
        </is>
      </c>
      <c r="C12" s="126" t="inlineStr">
        <is>
          <t>0 - 14 = 1</t>
        </is>
      </c>
      <c r="D12" s="126" t="inlineStr">
        <is>
          <t>0 - 15 = 1</t>
        </is>
      </c>
      <c r="E12" s="126" t="inlineStr">
        <is>
          <t>0 - 15 = 1</t>
        </is>
      </c>
      <c r="F12" s="126" t="inlineStr">
        <is>
          <t>0 - 16 = 1</t>
        </is>
      </c>
      <c r="G12" s="126" t="inlineStr">
        <is>
          <t>0 - 17 = 1</t>
        </is>
      </c>
      <c r="H12" s="126" t="inlineStr">
        <is>
          <t>0 - 17 = 1</t>
        </is>
      </c>
      <c r="I12" s="121" t="n"/>
      <c r="J12" s="121" t="n"/>
      <c r="K12" s="121" t="n"/>
      <c r="L12" s="121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15.75" customHeight="1">
      <c r="A13" s="125" t="inlineStr">
        <is>
          <t>14 - 15 = 2</t>
        </is>
      </c>
      <c r="B13" s="126" t="inlineStr">
        <is>
          <t>14 - 16 = 2</t>
        </is>
      </c>
      <c r="C13" s="126" t="inlineStr">
        <is>
          <t>15 - 17 = 2</t>
        </is>
      </c>
      <c r="D13" s="126" t="inlineStr">
        <is>
          <t>16 - 18 = 2</t>
        </is>
      </c>
      <c r="E13" s="126" t="inlineStr">
        <is>
          <t>16 - 18 = 2</t>
        </is>
      </c>
      <c r="F13" s="126" t="inlineStr">
        <is>
          <t>17 - 19 = 2</t>
        </is>
      </c>
      <c r="G13" s="126" t="inlineStr">
        <is>
          <t>18 - 20 = 2</t>
        </is>
      </c>
      <c r="H13" s="126" t="inlineStr">
        <is>
          <t>18 - 20 = 2</t>
        </is>
      </c>
      <c r="I13" s="121" t="n"/>
      <c r="J13" s="121" t="n"/>
      <c r="K13" s="121" t="n"/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15.75" customHeight="1">
      <c r="A14" s="125" t="inlineStr">
        <is>
          <t>16 - 18 = 3</t>
        </is>
      </c>
      <c r="B14" s="126" t="inlineStr">
        <is>
          <t>17 - 19 = 3</t>
        </is>
      </c>
      <c r="C14" s="126" t="inlineStr">
        <is>
          <t>18 - 20 = 3</t>
        </is>
      </c>
      <c r="D14" s="126" t="inlineStr">
        <is>
          <t>19 - 21 = 3</t>
        </is>
      </c>
      <c r="E14" s="126" t="inlineStr">
        <is>
          <t>19 - 21 = 3</t>
        </is>
      </c>
      <c r="F14" s="126" t="inlineStr">
        <is>
          <t>20 - 22 = 3</t>
        </is>
      </c>
      <c r="G14" s="126" t="inlineStr">
        <is>
          <t>21 - 23 = 3</t>
        </is>
      </c>
      <c r="H14" s="126" t="inlineStr">
        <is>
          <t>21 - 24 = 3</t>
        </is>
      </c>
      <c r="I14" s="121" t="n"/>
      <c r="J14" s="121" t="n"/>
      <c r="K14" s="121" t="n"/>
      <c r="L14" s="121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15.75" customHeight="1">
      <c r="A15" s="125" t="inlineStr">
        <is>
          <t>19 - 21 = 4</t>
        </is>
      </c>
      <c r="B15" s="126" t="inlineStr">
        <is>
          <t>20 - 22 = 4</t>
        </is>
      </c>
      <c r="C15" s="126" t="inlineStr">
        <is>
          <t>21 - 23 = 4</t>
        </is>
      </c>
      <c r="D15" s="126" t="inlineStr">
        <is>
          <t>22 - 24 = 4</t>
        </is>
      </c>
      <c r="E15" s="126" t="inlineStr">
        <is>
          <t>22 - 24 = 4</t>
        </is>
      </c>
      <c r="F15" s="126" t="inlineStr">
        <is>
          <t>23 - 25 = 4</t>
        </is>
      </c>
      <c r="G15" s="126" t="inlineStr">
        <is>
          <t>24 - 26 = 4</t>
        </is>
      </c>
      <c r="H15" s="126" t="inlineStr">
        <is>
          <t>25 - 27 = 4</t>
        </is>
      </c>
      <c r="I15" s="121" t="n"/>
      <c r="J15" s="121" t="n"/>
      <c r="K15" s="121" t="n"/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15.75" customHeight="1">
      <c r="A16" s="125" t="inlineStr">
        <is>
          <t>22 - 23 = 5</t>
        </is>
      </c>
      <c r="B16" s="126" t="inlineStr">
        <is>
          <t>23 - 24 = 5</t>
        </is>
      </c>
      <c r="C16" s="126" t="inlineStr">
        <is>
          <t>24 - 25 = 5</t>
        </is>
      </c>
      <c r="D16" s="126" t="inlineStr">
        <is>
          <t>25 - 26 = 5</t>
        </is>
      </c>
      <c r="E16" s="126" t="inlineStr">
        <is>
          <t>25 - 27 = 5</t>
        </is>
      </c>
      <c r="F16" s="126" t="inlineStr">
        <is>
          <t>26 - 28 = 5</t>
        </is>
      </c>
      <c r="G16" s="126" t="inlineStr">
        <is>
          <t>27 - 29 = 5</t>
        </is>
      </c>
      <c r="H16" s="126" t="inlineStr">
        <is>
          <t>28 - 30 = 5</t>
        </is>
      </c>
      <c r="I16" s="121" t="n"/>
      <c r="J16" s="121" t="n"/>
      <c r="K16" s="121" t="n"/>
      <c r="L16" s="121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15.75" customHeight="1">
      <c r="A17" s="127" t="n"/>
      <c r="B17" s="122" t="n"/>
      <c r="C17" s="122" t="n"/>
      <c r="D17" s="122" t="n"/>
      <c r="E17" s="122" t="n"/>
      <c r="F17" s="122" t="n"/>
      <c r="G17" s="122" t="n"/>
      <c r="H17" s="122" t="n"/>
      <c r="I17" s="121" t="n"/>
      <c r="J17" s="121" t="n"/>
      <c r="K17" s="121" t="n"/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15.75" customHeight="1">
      <c r="A18" s="123" t="inlineStr">
        <is>
          <t>31 Puntos</t>
        </is>
      </c>
      <c r="B18" s="124" t="inlineStr">
        <is>
          <t>32 Puntos</t>
        </is>
      </c>
      <c r="C18" s="124" t="inlineStr">
        <is>
          <t>33 Puntos</t>
        </is>
      </c>
      <c r="D18" s="124" t="inlineStr">
        <is>
          <t>34 Puntos</t>
        </is>
      </c>
      <c r="E18" s="124" t="inlineStr">
        <is>
          <t>35 Puntos</t>
        </is>
      </c>
      <c r="F18" s="124" t="inlineStr">
        <is>
          <t>36 Puntos</t>
        </is>
      </c>
      <c r="G18" s="124" t="inlineStr">
        <is>
          <t>37 Puntos</t>
        </is>
      </c>
      <c r="H18" s="124" t="inlineStr">
        <is>
          <t>38 Puntos</t>
        </is>
      </c>
      <c r="I18" s="121" t="n"/>
      <c r="J18" s="121" t="n"/>
      <c r="K18" s="121" t="n"/>
      <c r="L18" s="121" t="n"/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15.75" customHeight="1">
      <c r="A19" s="125" t="inlineStr">
        <is>
          <t>0 - 18 = 1</t>
        </is>
      </c>
      <c r="B19" s="126" t="inlineStr">
        <is>
          <t>0 - 18 = 1</t>
        </is>
      </c>
      <c r="C19" s="126" t="inlineStr">
        <is>
          <t>0 - 19 = 1</t>
        </is>
      </c>
      <c r="D19" s="126" t="inlineStr">
        <is>
          <t>0 - 19 = 1</t>
        </is>
      </c>
      <c r="E19" s="126" t="inlineStr">
        <is>
          <t>0 - 20 = 1</t>
        </is>
      </c>
      <c r="F19" s="126" t="inlineStr">
        <is>
          <t>0 - 21 = 1</t>
        </is>
      </c>
      <c r="G19" s="126" t="inlineStr">
        <is>
          <t>0 - 21 = 1</t>
        </is>
      </c>
      <c r="H19" s="126" t="inlineStr">
        <is>
          <t>0 - 22 = 1</t>
        </is>
      </c>
      <c r="I19" s="121" t="n"/>
      <c r="J19" s="121" t="n"/>
      <c r="K19" s="121" t="n"/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15.75" customHeight="1">
      <c r="A20" s="125" t="inlineStr">
        <is>
          <t>19 - 21 = 2</t>
        </is>
      </c>
      <c r="B20" s="126" t="inlineStr">
        <is>
          <t>19 - 21 = 2</t>
        </is>
      </c>
      <c r="C20" s="126" t="inlineStr">
        <is>
          <t>20 - 22 = 2</t>
        </is>
      </c>
      <c r="D20" s="126" t="inlineStr">
        <is>
          <t>20 - 23 = 2</t>
        </is>
      </c>
      <c r="E20" s="126" t="inlineStr">
        <is>
          <t>21 - 24 = 2</t>
        </is>
      </c>
      <c r="F20" s="126" t="inlineStr">
        <is>
          <t>22 - 25 = 2</t>
        </is>
      </c>
      <c r="G20" s="126" t="inlineStr">
        <is>
          <t>22 - 25 = 2</t>
        </is>
      </c>
      <c r="H20" s="126" t="inlineStr">
        <is>
          <t>23 - 26 = 2</t>
        </is>
      </c>
      <c r="I20" s="121" t="n"/>
      <c r="J20" s="121" t="n"/>
      <c r="K20" s="121" t="n"/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5.75" customHeight="1">
      <c r="A21" s="125" t="inlineStr">
        <is>
          <t>22 - 25 = 3</t>
        </is>
      </c>
      <c r="B21" s="126" t="inlineStr">
        <is>
          <t>22 - 25 = 3</t>
        </is>
      </c>
      <c r="C21" s="126" t="inlineStr">
        <is>
          <t>23 - 26 = 3</t>
        </is>
      </c>
      <c r="D21" s="126" t="inlineStr">
        <is>
          <t>24 - 27 = 3</t>
        </is>
      </c>
      <c r="E21" s="126" t="inlineStr">
        <is>
          <t>25 - 28 = 3</t>
        </is>
      </c>
      <c r="F21" s="126" t="inlineStr">
        <is>
          <t>26 - 29 = 3</t>
        </is>
      </c>
      <c r="G21" s="126" t="inlineStr">
        <is>
          <t>26 - 29 = 3</t>
        </is>
      </c>
      <c r="H21" s="126" t="inlineStr">
        <is>
          <t>27 - 30 = 3</t>
        </is>
      </c>
      <c r="I21" s="121" t="n"/>
      <c r="J21" s="121" t="n"/>
      <c r="K21" s="121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5.75" customHeight="1">
      <c r="A22" s="125" t="inlineStr">
        <is>
          <t>26 - 28 = 4</t>
        </is>
      </c>
      <c r="B22" s="126" t="inlineStr">
        <is>
          <t>26 - 29 = 4</t>
        </is>
      </c>
      <c r="C22" s="126" t="inlineStr">
        <is>
          <t>27 - 30 = 4</t>
        </is>
      </c>
      <c r="D22" s="126" t="inlineStr">
        <is>
          <t>28 - 31 = 4</t>
        </is>
      </c>
      <c r="E22" s="126" t="inlineStr">
        <is>
          <t>29 - 32 = 4</t>
        </is>
      </c>
      <c r="F22" s="126" t="inlineStr">
        <is>
          <t>30 - 33 = 4</t>
        </is>
      </c>
      <c r="G22" s="126" t="inlineStr">
        <is>
          <t>30 - 33 = 4</t>
        </is>
      </c>
      <c r="H22" s="126" t="inlineStr">
        <is>
          <t>31 - 34 = 4</t>
        </is>
      </c>
      <c r="I22" s="121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5.75" customHeight="1">
      <c r="A23" s="125" t="inlineStr">
        <is>
          <t>29 - 31 = 5</t>
        </is>
      </c>
      <c r="B23" s="126" t="inlineStr">
        <is>
          <t>30 - 32 = 5</t>
        </is>
      </c>
      <c r="C23" s="126" t="inlineStr">
        <is>
          <t>31 - 33 = 5</t>
        </is>
      </c>
      <c r="D23" s="126" t="inlineStr">
        <is>
          <t>32 - 34 = 5</t>
        </is>
      </c>
      <c r="E23" s="126" t="inlineStr">
        <is>
          <t>33 - 35 = 5</t>
        </is>
      </c>
      <c r="F23" s="126" t="inlineStr">
        <is>
          <t>34 - 36 = 5</t>
        </is>
      </c>
      <c r="G23" s="126" t="inlineStr">
        <is>
          <t>34 - 37 = 5</t>
        </is>
      </c>
      <c r="H23" s="126" t="inlineStr">
        <is>
          <t>35 - 38 = 5</t>
        </is>
      </c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15.75" customHeight="1">
      <c r="A24" s="122" t="n"/>
      <c r="B24" s="122" t="n"/>
      <c r="C24" s="122" t="n"/>
      <c r="D24" s="122" t="n"/>
      <c r="E24" s="122" t="n"/>
      <c r="F24" s="122" t="n"/>
      <c r="G24" s="122" t="n"/>
      <c r="H24" s="122" t="n"/>
      <c r="I24" s="121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15.75" customHeight="1">
      <c r="A25" s="123" t="inlineStr">
        <is>
          <t>39 Puntos</t>
        </is>
      </c>
      <c r="B25" s="124" t="inlineStr">
        <is>
          <t>40 Puntos</t>
        </is>
      </c>
      <c r="C25" s="124" t="inlineStr">
        <is>
          <t>41 Puntos</t>
        </is>
      </c>
      <c r="D25" s="124" t="inlineStr">
        <is>
          <t>42 Puntos</t>
        </is>
      </c>
      <c r="E25" s="124" t="inlineStr">
        <is>
          <t>43 Puntos</t>
        </is>
      </c>
      <c r="F25" s="124" t="inlineStr">
        <is>
          <t>44 Puntos</t>
        </is>
      </c>
      <c r="G25" s="124" t="inlineStr">
        <is>
          <t>45 Puntos</t>
        </is>
      </c>
      <c r="H25" s="124" t="inlineStr">
        <is>
          <t>46 Puntos</t>
        </is>
      </c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15.75" customHeight="1">
      <c r="A26" s="125" t="inlineStr">
        <is>
          <t>0 - 22 = 1</t>
        </is>
      </c>
      <c r="B26" s="126" t="inlineStr">
        <is>
          <t>0 - 23 = 1</t>
        </is>
      </c>
      <c r="C26" s="126" t="inlineStr">
        <is>
          <t>0 - 24 = 1</t>
        </is>
      </c>
      <c r="D26" s="126" t="inlineStr">
        <is>
          <t>0 - 24 = 1</t>
        </is>
      </c>
      <c r="E26" s="126" t="inlineStr">
        <is>
          <t>0 - 25 = 1</t>
        </is>
      </c>
      <c r="F26" s="126" t="inlineStr">
        <is>
          <t>0 - 25 = 1</t>
        </is>
      </c>
      <c r="G26" s="126" t="inlineStr">
        <is>
          <t>0 - 26 = 1</t>
        </is>
      </c>
      <c r="H26" s="126" t="inlineStr">
        <is>
          <t>0 - 27 = 1</t>
        </is>
      </c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5.75" customHeight="1">
      <c r="A27" s="125" t="inlineStr">
        <is>
          <t>23 - 26 = 2</t>
        </is>
      </c>
      <c r="B27" s="126" t="inlineStr">
        <is>
          <t>24 - 27 = 2</t>
        </is>
      </c>
      <c r="C27" s="126" t="inlineStr">
        <is>
          <t>25 - 28 = 2</t>
        </is>
      </c>
      <c r="D27" s="126" t="inlineStr">
        <is>
          <t>25 - 28 = 2</t>
        </is>
      </c>
      <c r="E27" s="126" t="inlineStr">
        <is>
          <t>26 - 29 = 2</t>
        </is>
      </c>
      <c r="F27" s="126" t="inlineStr">
        <is>
          <t>26 - 30 = 2</t>
        </is>
      </c>
      <c r="G27" s="126" t="inlineStr">
        <is>
          <t>27 - 31 = 2</t>
        </is>
      </c>
      <c r="H27" s="126" t="inlineStr">
        <is>
          <t>28 - 32 = 2</t>
        </is>
      </c>
      <c r="I27" s="121" t="n"/>
      <c r="J27" s="121" t="n"/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5.75" customHeight="1">
      <c r="A28" s="125" t="inlineStr">
        <is>
          <t>27 - 31 = 3</t>
        </is>
      </c>
      <c r="B28" s="126" t="inlineStr">
        <is>
          <t>28 - 32 = 3</t>
        </is>
      </c>
      <c r="C28" s="126" t="inlineStr">
        <is>
          <t>29 - 33 = 3</t>
        </is>
      </c>
      <c r="D28" s="126" t="inlineStr">
        <is>
          <t>29 - 33 = 3</t>
        </is>
      </c>
      <c r="E28" s="126" t="inlineStr">
        <is>
          <t>30 - 34 = 3</t>
        </is>
      </c>
      <c r="F28" s="126" t="inlineStr">
        <is>
          <t>31 - 35 = 3</t>
        </is>
      </c>
      <c r="G28" s="126" t="inlineStr">
        <is>
          <t>32 - 36 = 3</t>
        </is>
      </c>
      <c r="H28" s="126" t="inlineStr">
        <is>
          <t>33 - 37 = 3</t>
        </is>
      </c>
      <c r="I28" s="121" t="n"/>
      <c r="J28" s="121" t="n"/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5.75" customHeight="1">
      <c r="A29" s="125" t="inlineStr">
        <is>
          <t>32 - 35 = 4</t>
        </is>
      </c>
      <c r="B29" s="126" t="inlineStr">
        <is>
          <t>33 - 36 = 4</t>
        </is>
      </c>
      <c r="C29" s="126" t="inlineStr">
        <is>
          <t>34 - 37 = 4</t>
        </is>
      </c>
      <c r="D29" s="126" t="inlineStr">
        <is>
          <t>34 - 38 = 4</t>
        </is>
      </c>
      <c r="E29" s="126" t="inlineStr">
        <is>
          <t>35 - 39 = 4</t>
        </is>
      </c>
      <c r="F29" s="126" t="inlineStr">
        <is>
          <t>36 - 40 = 4</t>
        </is>
      </c>
      <c r="G29" s="126" t="inlineStr">
        <is>
          <t>37 - 41 = 4</t>
        </is>
      </c>
      <c r="H29" s="126" t="inlineStr">
        <is>
          <t>38 - 42 = 4</t>
        </is>
      </c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5.75" customHeight="1">
      <c r="A30" s="125" t="inlineStr">
        <is>
          <t>36 - 39 = 5</t>
        </is>
      </c>
      <c r="B30" s="126" t="inlineStr">
        <is>
          <t>37 - 40 = 5</t>
        </is>
      </c>
      <c r="C30" s="126" t="inlineStr">
        <is>
          <t>38 - 41 = 5</t>
        </is>
      </c>
      <c r="D30" s="126" t="inlineStr">
        <is>
          <t>39 - 42 = 5</t>
        </is>
      </c>
      <c r="E30" s="126" t="inlineStr">
        <is>
          <t>40 - 43 = 5</t>
        </is>
      </c>
      <c r="F30" s="126" t="inlineStr">
        <is>
          <t>41 - 44 = 5</t>
        </is>
      </c>
      <c r="G30" s="126" t="inlineStr">
        <is>
          <t>42 - 45 = 5</t>
        </is>
      </c>
      <c r="H30" s="126" t="inlineStr">
        <is>
          <t>43 - 46 = 5</t>
        </is>
      </c>
      <c r="I30" s="121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5.75" customHeight="1">
      <c r="A31" s="122" t="n"/>
      <c r="B31" s="122" t="n"/>
      <c r="C31" s="122" t="n"/>
      <c r="D31" s="122" t="n"/>
      <c r="E31" s="122" t="n"/>
      <c r="F31" s="122" t="n"/>
      <c r="G31" s="122" t="n"/>
      <c r="H31" s="122" t="n"/>
      <c r="I31" s="121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5.75" customHeight="1">
      <c r="A32" s="123" t="inlineStr">
        <is>
          <t>47 Puntos</t>
        </is>
      </c>
      <c r="B32" s="124" t="inlineStr">
        <is>
          <t>48 Puntos</t>
        </is>
      </c>
      <c r="C32" s="124" t="inlineStr">
        <is>
          <t>49 Puntos</t>
        </is>
      </c>
      <c r="D32" s="124" t="inlineStr">
        <is>
          <t>50 Puntos</t>
        </is>
      </c>
      <c r="E32" s="124" t="inlineStr">
        <is>
          <t>51 Puntos</t>
        </is>
      </c>
      <c r="F32" s="124" t="inlineStr">
        <is>
          <t>52 Puntos</t>
        </is>
      </c>
      <c r="G32" s="124" t="inlineStr">
        <is>
          <t>53 Puntos</t>
        </is>
      </c>
      <c r="H32" s="124" t="inlineStr">
        <is>
          <t>54 Puntos</t>
        </is>
      </c>
      <c r="I32" s="121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5.75" customHeight="1">
      <c r="A33" s="125" t="inlineStr">
        <is>
          <t>0 - 27 = 1</t>
        </is>
      </c>
      <c r="B33" s="126" t="inlineStr">
        <is>
          <t>0 - 28 = 1</t>
        </is>
      </c>
      <c r="C33" s="126" t="inlineStr">
        <is>
          <t>0 - 28 = 1</t>
        </is>
      </c>
      <c r="D33" s="126" t="inlineStr">
        <is>
          <t>0 - 29 = 1</t>
        </is>
      </c>
      <c r="E33" s="126" t="inlineStr">
        <is>
          <t>0 - 30 = 1</t>
        </is>
      </c>
      <c r="F33" s="126" t="inlineStr">
        <is>
          <t>0 - 30 = 1</t>
        </is>
      </c>
      <c r="G33" s="126" t="inlineStr">
        <is>
          <t>0 - 31 = 1</t>
        </is>
      </c>
      <c r="H33" s="126" t="inlineStr">
        <is>
          <t>0 - 31 = 1</t>
        </is>
      </c>
      <c r="I33" s="121" t="n"/>
      <c r="J33" s="121" t="n"/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5.75" customHeight="1">
      <c r="A34" s="125" t="inlineStr">
        <is>
          <t>28 - 32 = 2</t>
        </is>
      </c>
      <c r="B34" s="126" t="inlineStr">
        <is>
          <t>29 - 33 = 2</t>
        </is>
      </c>
      <c r="C34" s="126" t="inlineStr">
        <is>
          <t>29 - 33 = 2</t>
        </is>
      </c>
      <c r="D34" s="126" t="inlineStr">
        <is>
          <t>30 - 34 = 2</t>
        </is>
      </c>
      <c r="E34" s="126" t="inlineStr">
        <is>
          <t>31 - 35 = 2</t>
        </is>
      </c>
      <c r="F34" s="126" t="inlineStr">
        <is>
          <t>31 - 35 = 2</t>
        </is>
      </c>
      <c r="G34" s="126" t="inlineStr">
        <is>
          <t>32 - 36 = 2</t>
        </is>
      </c>
      <c r="H34" s="126" t="inlineStr">
        <is>
          <t>32 - 37 = 2</t>
        </is>
      </c>
      <c r="I34" s="121" t="n"/>
      <c r="J34" s="121" t="n"/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5.75" customHeight="1">
      <c r="A35" s="125" t="inlineStr">
        <is>
          <t>33 - 37 = 3</t>
        </is>
      </c>
      <c r="B35" s="126" t="inlineStr">
        <is>
          <t>34 - 38 = 3</t>
        </is>
      </c>
      <c r="C35" s="126" t="inlineStr">
        <is>
          <t>34 - 39 = 3</t>
        </is>
      </c>
      <c r="D35" s="126" t="inlineStr">
        <is>
          <t>35 - 40 = 3</t>
        </is>
      </c>
      <c r="E35" s="126" t="inlineStr">
        <is>
          <t>36 - 41 = 3</t>
        </is>
      </c>
      <c r="F35" s="126" t="inlineStr">
        <is>
          <t>36 - 41 = 3</t>
        </is>
      </c>
      <c r="G35" s="126" t="inlineStr">
        <is>
          <t>37 - 42 = 3</t>
        </is>
      </c>
      <c r="H35" s="126" t="inlineStr">
        <is>
          <t>38 - 43 = 3</t>
        </is>
      </c>
      <c r="I35" s="121" t="n"/>
      <c r="J35" s="121" t="n"/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15.75" customHeight="1">
      <c r="A36" s="125" t="inlineStr">
        <is>
          <t>38 - 42 = 4</t>
        </is>
      </c>
      <c r="B36" s="126" t="inlineStr">
        <is>
          <t>39 - 43 = 4</t>
        </is>
      </c>
      <c r="C36" s="126" t="inlineStr">
        <is>
          <t>40 - 44 = 4</t>
        </is>
      </c>
      <c r="D36" s="126" t="inlineStr">
        <is>
          <t>41 - 45 = 4</t>
        </is>
      </c>
      <c r="E36" s="126" t="inlineStr">
        <is>
          <t>42 - 46 = 4</t>
        </is>
      </c>
      <c r="F36" s="126" t="inlineStr">
        <is>
          <t>42 - 47 = 4</t>
        </is>
      </c>
      <c r="G36" s="126" t="inlineStr">
        <is>
          <t>43 - 48 = 4</t>
        </is>
      </c>
      <c r="H36" s="126" t="inlineStr">
        <is>
          <t>44 - 49 = 4</t>
        </is>
      </c>
      <c r="I36" s="121" t="n"/>
      <c r="J36" s="121" t="n"/>
      <c r="K36" s="121" t="n"/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5.75" customHeight="1">
      <c r="A37" s="125" t="inlineStr">
        <is>
          <t>43 - 47 = 5</t>
        </is>
      </c>
      <c r="B37" s="126" t="inlineStr">
        <is>
          <t>44 - 48 = 5</t>
        </is>
      </c>
      <c r="C37" s="126" t="inlineStr">
        <is>
          <t>45 - 49 = 5</t>
        </is>
      </c>
      <c r="D37" s="126" t="inlineStr">
        <is>
          <t>46 - 50 = 5</t>
        </is>
      </c>
      <c r="E37" s="126" t="inlineStr">
        <is>
          <t>47 - 51 = 5</t>
        </is>
      </c>
      <c r="F37" s="126" t="inlineStr">
        <is>
          <t>48 - 52 = 5</t>
        </is>
      </c>
      <c r="G37" s="126" t="inlineStr">
        <is>
          <t>49 - 53 = 5</t>
        </is>
      </c>
      <c r="H37" s="126" t="inlineStr">
        <is>
          <t>50 - 54 = 5</t>
        </is>
      </c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15.75" customHeight="1">
      <c r="A38" s="122" t="n"/>
      <c r="B38" s="122" t="n"/>
      <c r="C38" s="122" t="n"/>
      <c r="D38" s="122" t="n"/>
      <c r="E38" s="122" t="n"/>
      <c r="F38" s="122" t="n"/>
      <c r="G38" s="122" t="n"/>
      <c r="H38" s="122" t="n"/>
      <c r="I38" s="121" t="n"/>
      <c r="J38" s="121" t="n"/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15.75" customHeight="1">
      <c r="A39" s="123" t="inlineStr">
        <is>
          <t>55 Puntos</t>
        </is>
      </c>
      <c r="B39" s="124" t="inlineStr">
        <is>
          <t>56 Puntos</t>
        </is>
      </c>
      <c r="C39" s="124" t="inlineStr">
        <is>
          <t>57 Puntos</t>
        </is>
      </c>
      <c r="D39" s="124" t="inlineStr">
        <is>
          <t>58 Puntos</t>
        </is>
      </c>
      <c r="E39" s="124" t="inlineStr">
        <is>
          <t>59 Puntos</t>
        </is>
      </c>
      <c r="F39" s="124" t="inlineStr">
        <is>
          <t>60 Puntos</t>
        </is>
      </c>
      <c r="G39" s="124" t="inlineStr">
        <is>
          <t>61 Puntos</t>
        </is>
      </c>
      <c r="H39" s="124" t="inlineStr">
        <is>
          <t>62 Puntos</t>
        </is>
      </c>
      <c r="I39" s="121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5.75" customHeight="1">
      <c r="A40" s="125" t="inlineStr">
        <is>
          <t>0 - 32 = 1</t>
        </is>
      </c>
      <c r="B40" s="126" t="inlineStr">
        <is>
          <t>0 - 33 = 1</t>
        </is>
      </c>
      <c r="C40" s="126" t="inlineStr">
        <is>
          <t>0 - 33 = 1</t>
        </is>
      </c>
      <c r="D40" s="126" t="inlineStr">
        <is>
          <t>0 - 34 = 1</t>
        </is>
      </c>
      <c r="E40" s="126" t="inlineStr">
        <is>
          <t>0 - 34 = 1</t>
        </is>
      </c>
      <c r="F40" s="126" t="inlineStr">
        <is>
          <t>0 - 35 = 1</t>
        </is>
      </c>
      <c r="G40" s="126" t="inlineStr">
        <is>
          <t>0 - 36 = 1</t>
        </is>
      </c>
      <c r="H40" s="126" t="inlineStr">
        <is>
          <t>0 - 36 = 1</t>
        </is>
      </c>
      <c r="I40" s="121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5.75" customHeight="1">
      <c r="A41" s="125" t="inlineStr">
        <is>
          <t>33 - 38 = 2</t>
        </is>
      </c>
      <c r="B41" s="126" t="inlineStr">
        <is>
          <t>34 - 39 = 2</t>
        </is>
      </c>
      <c r="C41" s="126" t="inlineStr">
        <is>
          <t>34 - 39 = 2</t>
        </is>
      </c>
      <c r="D41" s="126" t="inlineStr">
        <is>
          <t>35 - 40 = 2</t>
        </is>
      </c>
      <c r="E41" s="126" t="inlineStr">
        <is>
          <t>35 - 40 = 2</t>
        </is>
      </c>
      <c r="F41" s="126" t="inlineStr">
        <is>
          <t>36 - 41 = 2</t>
        </is>
      </c>
      <c r="G41" s="126" t="inlineStr">
        <is>
          <t>37 - 42 = 2</t>
        </is>
      </c>
      <c r="H41" s="126" t="inlineStr">
        <is>
          <t>37 - 42 = 2</t>
        </is>
      </c>
      <c r="I41" s="121" t="n"/>
      <c r="J41" s="121" t="n"/>
      <c r="K41" s="121" t="n"/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5.75" customHeight="1">
      <c r="A42" s="125" t="inlineStr">
        <is>
          <t>39 - 44 = 3</t>
        </is>
      </c>
      <c r="B42" s="126" t="inlineStr">
        <is>
          <t>40 - 45 = 3</t>
        </is>
      </c>
      <c r="C42" s="126" t="inlineStr">
        <is>
          <t>40 - 45 = 3</t>
        </is>
      </c>
      <c r="D42" s="126" t="inlineStr">
        <is>
          <t>41 - 46 = 3</t>
        </is>
      </c>
      <c r="E42" s="126" t="inlineStr">
        <is>
          <t>41 - 47 = 3</t>
        </is>
      </c>
      <c r="F42" s="126" t="inlineStr">
        <is>
          <t>42 - 48 = 3</t>
        </is>
      </c>
      <c r="G42" s="126" t="inlineStr">
        <is>
          <t>43 - 49 = 3</t>
        </is>
      </c>
      <c r="H42" s="126" t="inlineStr">
        <is>
          <t>43 - 49 = 3</t>
        </is>
      </c>
      <c r="I42" s="121" t="n"/>
      <c r="J42" s="121" t="n"/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5.75" customHeight="1">
      <c r="A43" s="125" t="inlineStr">
        <is>
          <t>45 - 50 = 4</t>
        </is>
      </c>
      <c r="B43" s="126" t="inlineStr">
        <is>
          <t>46 - 51 = 4</t>
        </is>
      </c>
      <c r="C43" s="126" t="inlineStr">
        <is>
          <t>46 - 51 = 4</t>
        </is>
      </c>
      <c r="D43" s="126" t="inlineStr">
        <is>
          <t>47 - 52 = 4</t>
        </is>
      </c>
      <c r="E43" s="126" t="inlineStr">
        <is>
          <t>48 - 53 = 4</t>
        </is>
      </c>
      <c r="F43" s="126" t="inlineStr">
        <is>
          <t>49 - 54 = 4</t>
        </is>
      </c>
      <c r="G43" s="126" t="inlineStr">
        <is>
          <t>50 - 55 = 4</t>
        </is>
      </c>
      <c r="H43" s="126" t="inlineStr">
        <is>
          <t>50 - 56 = 4</t>
        </is>
      </c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5.75" customHeight="1">
      <c r="A44" s="125" t="inlineStr">
        <is>
          <t>51 - 55 = 5</t>
        </is>
      </c>
      <c r="B44" s="126" t="inlineStr">
        <is>
          <t>52 - 56 = 5</t>
        </is>
      </c>
      <c r="C44" s="126" t="inlineStr">
        <is>
          <t>52 - 57 = 5</t>
        </is>
      </c>
      <c r="D44" s="126" t="inlineStr">
        <is>
          <t>53 - 58 = 5</t>
        </is>
      </c>
      <c r="E44" s="126" t="inlineStr">
        <is>
          <t>54 - 59 = 5</t>
        </is>
      </c>
      <c r="F44" s="126" t="inlineStr">
        <is>
          <t>55 - 60 = 5</t>
        </is>
      </c>
      <c r="G44" s="126" t="inlineStr">
        <is>
          <t>56 - 61 = 5</t>
        </is>
      </c>
      <c r="H44" s="126" t="inlineStr">
        <is>
          <t>57 - 62 = 5</t>
        </is>
      </c>
      <c r="I44" s="121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5.75" customHeight="1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5.75" customHeight="1">
      <c r="A46" s="123" t="inlineStr">
        <is>
          <t>63 Puntos</t>
        </is>
      </c>
      <c r="B46" s="124" t="inlineStr">
        <is>
          <t>64 Puntos</t>
        </is>
      </c>
      <c r="C46" s="124" t="inlineStr">
        <is>
          <t>65 Puntos</t>
        </is>
      </c>
      <c r="D46" s="124" t="inlineStr">
        <is>
          <t>66 Puntos</t>
        </is>
      </c>
      <c r="E46" s="124" t="inlineStr">
        <is>
          <t>67 Puntos</t>
        </is>
      </c>
      <c r="F46" s="124" t="inlineStr">
        <is>
          <t>68 Puntos</t>
        </is>
      </c>
      <c r="G46" s="124" t="inlineStr">
        <is>
          <t>69 Puntos</t>
        </is>
      </c>
      <c r="H46" s="124" t="inlineStr">
        <is>
          <t>70 Puntos</t>
        </is>
      </c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5.75" customHeight="1">
      <c r="A47" s="125" t="inlineStr">
        <is>
          <t>0 - 37 = 1</t>
        </is>
      </c>
      <c r="B47" s="126" t="inlineStr">
        <is>
          <t>0 - 37 = 1</t>
        </is>
      </c>
      <c r="C47" s="126" t="inlineStr">
        <is>
          <t>0 - 38 = 1</t>
        </is>
      </c>
      <c r="D47" s="126" t="inlineStr">
        <is>
          <t>0 - 39 = 1</t>
        </is>
      </c>
      <c r="E47" s="126" t="inlineStr">
        <is>
          <t>0 - 39 = 1</t>
        </is>
      </c>
      <c r="F47" s="126" t="inlineStr">
        <is>
          <t>0 - 40 = 1</t>
        </is>
      </c>
      <c r="G47" s="126" t="inlineStr">
        <is>
          <t>0 - 40 = 1</t>
        </is>
      </c>
      <c r="H47" s="126" t="inlineStr">
        <is>
          <t>0 - 41 = 1</t>
        </is>
      </c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5.75" customHeight="1">
      <c r="A48" s="125" t="inlineStr">
        <is>
          <t>38 - 43 = 2</t>
        </is>
      </c>
      <c r="B48" s="126" t="inlineStr">
        <is>
          <t>38 - 44 = 2</t>
        </is>
      </c>
      <c r="C48" s="126" t="inlineStr">
        <is>
          <t>39 - 45 = 2</t>
        </is>
      </c>
      <c r="D48" s="126" t="inlineStr">
        <is>
          <t>40 - 46 = 2</t>
        </is>
      </c>
      <c r="E48" s="126" t="inlineStr">
        <is>
          <t>40 - 46 = 2</t>
        </is>
      </c>
      <c r="F48" s="126" t="inlineStr">
        <is>
          <t>41 - 47 = 2</t>
        </is>
      </c>
      <c r="G48" s="126" t="inlineStr">
        <is>
          <t>41 - 47 = 2</t>
        </is>
      </c>
      <c r="H48" s="126" t="inlineStr">
        <is>
          <t>42 - 48 = 2</t>
        </is>
      </c>
      <c r="I48" s="121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5.75" customHeight="1">
      <c r="A49" s="125" t="inlineStr">
        <is>
          <t>44 - 50 = 3</t>
        </is>
      </c>
      <c r="B49" s="126" t="inlineStr">
        <is>
          <t>45 - 51 = 3</t>
        </is>
      </c>
      <c r="C49" s="126" t="inlineStr">
        <is>
          <t>46 - 52 = 3</t>
        </is>
      </c>
      <c r="D49" s="126" t="inlineStr">
        <is>
          <t>47 - 53 = 3</t>
        </is>
      </c>
      <c r="E49" s="126" t="inlineStr">
        <is>
          <t>47 - 53 = 3</t>
        </is>
      </c>
      <c r="F49" s="126" t="inlineStr">
        <is>
          <t>48 - 54 = 3</t>
        </is>
      </c>
      <c r="G49" s="126" t="inlineStr">
        <is>
          <t>48 - 55 = 3</t>
        </is>
      </c>
      <c r="H49" s="126" t="inlineStr">
        <is>
          <t>49 - 56 = 3</t>
        </is>
      </c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5.75" customHeight="1">
      <c r="A50" s="125" t="inlineStr">
        <is>
          <t>51 - 57 = 4</t>
        </is>
      </c>
      <c r="B50" s="126" t="inlineStr">
        <is>
          <t>52 - 58 = 4</t>
        </is>
      </c>
      <c r="C50" s="126" t="inlineStr">
        <is>
          <t>53 - 59 = 4</t>
        </is>
      </c>
      <c r="D50" s="126" t="inlineStr">
        <is>
          <t>54 - 60 = 4</t>
        </is>
      </c>
      <c r="E50" s="126" t="inlineStr">
        <is>
          <t>54 - 60 = 4</t>
        </is>
      </c>
      <c r="F50" s="126" t="inlineStr">
        <is>
          <t>55 - 61 = 4</t>
        </is>
      </c>
      <c r="G50" s="126" t="inlineStr">
        <is>
          <t>56 - 62 = 4</t>
        </is>
      </c>
      <c r="H50" s="126" t="inlineStr">
        <is>
          <t>57 - 63 = 4</t>
        </is>
      </c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5.75" customHeight="1">
      <c r="A51" s="125" t="inlineStr">
        <is>
          <t>58 - 63 = 5</t>
        </is>
      </c>
      <c r="B51" s="126" t="inlineStr">
        <is>
          <t>59 - 64 = 5</t>
        </is>
      </c>
      <c r="C51" s="126" t="inlineStr">
        <is>
          <t>60 - 65 = 5</t>
        </is>
      </c>
      <c r="D51" s="126" t="inlineStr">
        <is>
          <t>61 - 66 = 5</t>
        </is>
      </c>
      <c r="E51" s="126" t="inlineStr">
        <is>
          <t>61 - 67 = 5</t>
        </is>
      </c>
      <c r="F51" s="126" t="inlineStr">
        <is>
          <t>62 - 68 = 5</t>
        </is>
      </c>
      <c r="G51" s="126" t="inlineStr">
        <is>
          <t>63 - 69 = 5</t>
        </is>
      </c>
      <c r="H51" s="126" t="inlineStr">
        <is>
          <t>64 - 70 = 5</t>
        </is>
      </c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5.75" customHeight="1">
      <c r="A52" s="121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5.75" customHeight="1">
      <c r="A53" s="121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5.75" customHeight="1">
      <c r="A54" s="121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5.75" customHeight="1">
      <c r="A55" s="121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5.75" customHeight="1">
      <c r="A56" s="118" t="inlineStr">
        <is>
          <t>COLEGIO SAGRADA FAMILIA</t>
        </is>
      </c>
      <c r="B56" s="119" t="n"/>
      <c r="C56" s="119" t="n"/>
      <c r="D56" s="119" t="n"/>
      <c r="E56" s="119" t="n"/>
      <c r="F56" s="119" t="n"/>
      <c r="G56" s="119" t="n"/>
      <c r="H56" s="120" t="n"/>
      <c r="I56" s="121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5.75" customHeight="1">
      <c r="A57" s="118" t="inlineStr">
        <is>
          <t>ESCALA DE CALIFICACIONES - 60%</t>
        </is>
      </c>
      <c r="B57" s="119" t="n"/>
      <c r="C57" s="119" t="n"/>
      <c r="D57" s="119" t="n"/>
      <c r="E57" s="119" t="n"/>
      <c r="F57" s="119" t="n"/>
      <c r="G57" s="119" t="n"/>
      <c r="H57" s="120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5.75" customHeight="1">
      <c r="A58" s="122" t="n"/>
      <c r="B58" s="122" t="n"/>
      <c r="C58" s="122" t="n"/>
      <c r="D58" s="122" t="n"/>
      <c r="E58" s="122" t="n"/>
      <c r="F58" s="122" t="n"/>
      <c r="G58" s="122" t="n"/>
      <c r="H58" s="122" t="n"/>
      <c r="I58" s="121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5.75" customHeight="1">
      <c r="A59" s="123" t="inlineStr">
        <is>
          <t>71 Puntos</t>
        </is>
      </c>
      <c r="B59" s="124" t="inlineStr">
        <is>
          <t>72 Puntos</t>
        </is>
      </c>
      <c r="C59" s="124" t="inlineStr">
        <is>
          <t>73 Puntos</t>
        </is>
      </c>
      <c r="D59" s="124" t="inlineStr">
        <is>
          <t>74 Puntos</t>
        </is>
      </c>
      <c r="E59" s="124" t="inlineStr">
        <is>
          <t>75 Puntos</t>
        </is>
      </c>
      <c r="F59" s="124" t="inlineStr">
        <is>
          <t>76 Puntos</t>
        </is>
      </c>
      <c r="G59" s="124" t="inlineStr">
        <is>
          <t>77 Puntos</t>
        </is>
      </c>
      <c r="H59" s="124" t="inlineStr">
        <is>
          <t>78 Puntos</t>
        </is>
      </c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5.75" customHeight="1">
      <c r="A60" s="125" t="inlineStr">
        <is>
          <t>0 - 42 = 1</t>
        </is>
      </c>
      <c r="B60" s="126" t="inlineStr">
        <is>
          <t>0 - 42 = 1</t>
        </is>
      </c>
      <c r="C60" s="126" t="inlineStr">
        <is>
          <t>0 - 43 = 1</t>
        </is>
      </c>
      <c r="D60" s="126" t="inlineStr">
        <is>
          <t>0 - 43 = 1</t>
        </is>
      </c>
      <c r="E60" s="126" t="inlineStr">
        <is>
          <t>0 - 44 = 1</t>
        </is>
      </c>
      <c r="F60" s="126" t="inlineStr">
        <is>
          <t>0 - 45 = 1</t>
        </is>
      </c>
      <c r="G60" s="126" t="inlineStr">
        <is>
          <t>0 - 45 = 1</t>
        </is>
      </c>
      <c r="H60" s="126" t="inlineStr">
        <is>
          <t>0 - 46 = 1</t>
        </is>
      </c>
      <c r="I60" s="121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5.75" customHeight="1">
      <c r="A61" s="125" t="inlineStr">
        <is>
          <t>43 - 49 = 2</t>
        </is>
      </c>
      <c r="B61" s="126" t="inlineStr">
        <is>
          <t>43 - 49 = 2</t>
        </is>
      </c>
      <c r="C61" s="126" t="inlineStr">
        <is>
          <t>44 - 50 = 2</t>
        </is>
      </c>
      <c r="D61" s="126" t="inlineStr">
        <is>
          <t>44 - 51 = 2</t>
        </is>
      </c>
      <c r="E61" s="126" t="inlineStr">
        <is>
          <t>45 - 52 = 2</t>
        </is>
      </c>
      <c r="F61" s="126" t="inlineStr">
        <is>
          <t>46 - 53 = 2</t>
        </is>
      </c>
      <c r="G61" s="126" t="inlineStr">
        <is>
          <t>46 - 53 = 2</t>
        </is>
      </c>
      <c r="H61" s="126" t="inlineStr">
        <is>
          <t>47 - 54 = 2</t>
        </is>
      </c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5.75" customHeight="1">
      <c r="A62" s="125" t="inlineStr">
        <is>
          <t>50 - 57 = 3</t>
        </is>
      </c>
      <c r="B62" s="126" t="inlineStr">
        <is>
          <t>50 - 57 = 3</t>
        </is>
      </c>
      <c r="C62" s="126" t="inlineStr">
        <is>
          <t>51 - 58 = 3</t>
        </is>
      </c>
      <c r="D62" s="126" t="inlineStr">
        <is>
          <t>52 - 59 = 3</t>
        </is>
      </c>
      <c r="E62" s="126" t="inlineStr">
        <is>
          <t>53 - 60 = 3</t>
        </is>
      </c>
      <c r="F62" s="126" t="inlineStr">
        <is>
          <t>54 - 61 = 3</t>
        </is>
      </c>
      <c r="G62" s="126" t="inlineStr">
        <is>
          <t>54 - 61 = 3</t>
        </is>
      </c>
      <c r="H62" s="126" t="inlineStr">
        <is>
          <t>55 - 62 = 3</t>
        </is>
      </c>
      <c r="I62" s="121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5.75" customHeight="1">
      <c r="A63" s="125" t="inlineStr">
        <is>
          <t>58 - 64 = 4</t>
        </is>
      </c>
      <c r="B63" s="126" t="inlineStr">
        <is>
          <t>58 - 65 = 4</t>
        </is>
      </c>
      <c r="C63" s="126" t="inlineStr">
        <is>
          <t>59 - 66 = 4</t>
        </is>
      </c>
      <c r="D63" s="126" t="inlineStr">
        <is>
          <t>60 - 67 = 4</t>
        </is>
      </c>
      <c r="E63" s="126" t="inlineStr">
        <is>
          <t>61 - 68 = 4</t>
        </is>
      </c>
      <c r="F63" s="126" t="inlineStr">
        <is>
          <t>62 - 69 = 4</t>
        </is>
      </c>
      <c r="G63" s="126" t="inlineStr">
        <is>
          <t>62 - 69 = 4</t>
        </is>
      </c>
      <c r="H63" s="126" t="inlineStr">
        <is>
          <t>63 - 70 = 4</t>
        </is>
      </c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5.75" customHeight="1">
      <c r="A64" s="125" t="inlineStr">
        <is>
          <t>65 - 71 = 5</t>
        </is>
      </c>
      <c r="B64" s="126" t="inlineStr">
        <is>
          <t>66 - 72 = 5</t>
        </is>
      </c>
      <c r="C64" s="126" t="inlineStr">
        <is>
          <t>67 - 73 = 5</t>
        </is>
      </c>
      <c r="D64" s="126" t="inlineStr">
        <is>
          <t>68 - 74 = 5</t>
        </is>
      </c>
      <c r="E64" s="126" t="inlineStr">
        <is>
          <t>69 - 75 = 5</t>
        </is>
      </c>
      <c r="F64" s="126" t="inlineStr">
        <is>
          <t>70 - 76 = 5</t>
        </is>
      </c>
      <c r="G64" s="126" t="inlineStr">
        <is>
          <t>70 - 77 = 5</t>
        </is>
      </c>
      <c r="H64" s="126" t="inlineStr">
        <is>
          <t>71 - 78 = 5</t>
        </is>
      </c>
      <c r="I64" s="121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5.75" customHeight="1">
      <c r="A65" s="122" t="n"/>
      <c r="B65" s="122" t="n"/>
      <c r="C65" s="122" t="n"/>
      <c r="D65" s="122" t="n"/>
      <c r="E65" s="122" t="n"/>
      <c r="F65" s="122" t="n"/>
      <c r="G65" s="122" t="n"/>
      <c r="H65" s="122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5.75" customHeight="1">
      <c r="A66" s="123" t="inlineStr">
        <is>
          <t>79 Puntos</t>
        </is>
      </c>
      <c r="B66" s="124" t="inlineStr">
        <is>
          <t>80 Puntos</t>
        </is>
      </c>
      <c r="C66" s="124" t="inlineStr">
        <is>
          <t>81 Puntos</t>
        </is>
      </c>
      <c r="D66" s="124" t="inlineStr">
        <is>
          <t>82 Puntos</t>
        </is>
      </c>
      <c r="E66" s="124" t="inlineStr">
        <is>
          <t>83 Puntos</t>
        </is>
      </c>
      <c r="F66" s="124" t="inlineStr">
        <is>
          <t>84 Puntos</t>
        </is>
      </c>
      <c r="G66" s="124" t="inlineStr">
        <is>
          <t>85 Puntos</t>
        </is>
      </c>
      <c r="H66" s="124" t="inlineStr">
        <is>
          <t>86 Puntos</t>
        </is>
      </c>
      <c r="I66" s="121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5.75" customHeight="1">
      <c r="A67" s="125" t="inlineStr">
        <is>
          <t>0 - 46 = 1</t>
        </is>
      </c>
      <c r="B67" s="126" t="inlineStr">
        <is>
          <t>0 - 47 = 1</t>
        </is>
      </c>
      <c r="C67" s="126" t="inlineStr">
        <is>
          <t>0 - 48 = 1</t>
        </is>
      </c>
      <c r="D67" s="126" t="inlineStr">
        <is>
          <t>0 - 48 = 1</t>
        </is>
      </c>
      <c r="E67" s="126" t="inlineStr">
        <is>
          <t>0 - 48 = 1</t>
        </is>
      </c>
      <c r="F67" s="126" t="inlineStr">
        <is>
          <t>0 - 49 = 1</t>
        </is>
      </c>
      <c r="G67" s="126" t="inlineStr">
        <is>
          <t>0 - 50 = 1</t>
        </is>
      </c>
      <c r="H67" s="126" t="inlineStr">
        <is>
          <t>0 - 51 = 1</t>
        </is>
      </c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5.75" customHeight="1">
      <c r="A68" s="125" t="inlineStr">
        <is>
          <t>47 - 54 = 2</t>
        </is>
      </c>
      <c r="B68" s="126" t="inlineStr">
        <is>
          <t>48 - 55 = 2</t>
        </is>
      </c>
      <c r="C68" s="126" t="inlineStr">
        <is>
          <t>49 - 56 = 2</t>
        </is>
      </c>
      <c r="D68" s="126" t="inlineStr">
        <is>
          <t>49 - 56 = 2</t>
        </is>
      </c>
      <c r="E68" s="126" t="inlineStr">
        <is>
          <t>49 - 57 = 2</t>
        </is>
      </c>
      <c r="F68" s="126" t="inlineStr">
        <is>
          <t>50 - 58 = 2</t>
        </is>
      </c>
      <c r="G68" s="126" t="inlineStr">
        <is>
          <t>51 - 59 = 2</t>
        </is>
      </c>
      <c r="H68" s="126" t="inlineStr">
        <is>
          <t>52 - 60 = 2</t>
        </is>
      </c>
      <c r="I68" s="121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5.75" customHeight="1">
      <c r="A69" s="125" t="inlineStr">
        <is>
          <t>55 - 63 = 3</t>
        </is>
      </c>
      <c r="B69" s="126" t="inlineStr">
        <is>
          <t>56 - 64 = 3</t>
        </is>
      </c>
      <c r="C69" s="126" t="inlineStr">
        <is>
          <t>57 - 65 = 3</t>
        </is>
      </c>
      <c r="D69" s="126" t="inlineStr">
        <is>
          <t>57 - 65 = 3</t>
        </is>
      </c>
      <c r="E69" s="126" t="inlineStr">
        <is>
          <t>58 - 66 = 3</t>
        </is>
      </c>
      <c r="F69" s="126" t="inlineStr">
        <is>
          <t>59 - 67 = 3</t>
        </is>
      </c>
      <c r="G69" s="126" t="inlineStr">
        <is>
          <t>60 - 68 = 3</t>
        </is>
      </c>
      <c r="H69" s="126" t="inlineStr">
        <is>
          <t>61 - 69 = 3</t>
        </is>
      </c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5.75" customHeight="1">
      <c r="A70" s="125" t="inlineStr">
        <is>
          <t>64 - 71 = 4</t>
        </is>
      </c>
      <c r="B70" s="126" t="inlineStr">
        <is>
          <t>65 - 72 = 4</t>
        </is>
      </c>
      <c r="C70" s="126" t="inlineStr">
        <is>
          <t>66 - 73 = 4</t>
        </is>
      </c>
      <c r="D70" s="126" t="inlineStr">
        <is>
          <t>66 - 74 = 4</t>
        </is>
      </c>
      <c r="E70" s="126" t="inlineStr">
        <is>
          <t>67 - 75 = 4</t>
        </is>
      </c>
      <c r="F70" s="126" t="inlineStr">
        <is>
          <t>68 - 76 = 4</t>
        </is>
      </c>
      <c r="G70" s="126" t="inlineStr">
        <is>
          <t>69 - 77 = 4</t>
        </is>
      </c>
      <c r="H70" s="126" t="inlineStr">
        <is>
          <t>70 - 78 = 4</t>
        </is>
      </c>
      <c r="I70" s="121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5.75" customHeight="1">
      <c r="A71" s="125" t="inlineStr">
        <is>
          <t>72 - 79 = 5</t>
        </is>
      </c>
      <c r="B71" s="126" t="inlineStr">
        <is>
          <t>73 - 80 = 5</t>
        </is>
      </c>
      <c r="C71" s="126" t="inlineStr">
        <is>
          <t>74 - 81 = 5</t>
        </is>
      </c>
      <c r="D71" s="126" t="inlineStr">
        <is>
          <t>75 - 82 = 5</t>
        </is>
      </c>
      <c r="E71" s="126" t="inlineStr">
        <is>
          <t>76 - 83 = 5</t>
        </is>
      </c>
      <c r="F71" s="126" t="inlineStr">
        <is>
          <t>77 - 84 = 5</t>
        </is>
      </c>
      <c r="G71" s="126" t="inlineStr">
        <is>
          <t>78 - 85 = 5</t>
        </is>
      </c>
      <c r="H71" s="126" t="inlineStr">
        <is>
          <t>79 - 86 = 5</t>
        </is>
      </c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>
      <c r="A72" s="122" t="n"/>
      <c r="B72" s="122" t="n"/>
      <c r="C72" s="122" t="n"/>
      <c r="D72" s="122" t="n"/>
      <c r="E72" s="122" t="n"/>
      <c r="F72" s="122" t="n"/>
      <c r="G72" s="122" t="n"/>
      <c r="H72" s="122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>
      <c r="A73" s="123" t="inlineStr">
        <is>
          <t>87 Puntos</t>
        </is>
      </c>
      <c r="B73" s="124" t="inlineStr">
        <is>
          <t>88 Puntos</t>
        </is>
      </c>
      <c r="C73" s="124" t="inlineStr">
        <is>
          <t>89 Puntos</t>
        </is>
      </c>
      <c r="D73" s="124" t="inlineStr">
        <is>
          <t>90 Puntos</t>
        </is>
      </c>
      <c r="E73" s="124" t="inlineStr">
        <is>
          <t>91 Puntos</t>
        </is>
      </c>
      <c r="F73" s="124" t="inlineStr">
        <is>
          <t>92 Puntos</t>
        </is>
      </c>
      <c r="G73" s="124" t="inlineStr">
        <is>
          <t>93 Puntos</t>
        </is>
      </c>
      <c r="H73" s="124" t="inlineStr">
        <is>
          <t>94 Puntos</t>
        </is>
      </c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>
      <c r="A74" s="125" t="inlineStr">
        <is>
          <t>0 - 51 = 1</t>
        </is>
      </c>
      <c r="B74" s="126" t="inlineStr">
        <is>
          <t>0 - 52 = 1</t>
        </is>
      </c>
      <c r="C74" s="126" t="inlineStr">
        <is>
          <t>0 - 52 = 1</t>
        </is>
      </c>
      <c r="D74" s="126" t="inlineStr">
        <is>
          <t>0 - 53 = 1</t>
        </is>
      </c>
      <c r="E74" s="126" t="inlineStr">
        <is>
          <t>0 - 54 = 1</t>
        </is>
      </c>
      <c r="F74" s="126" t="inlineStr">
        <is>
          <t>0 - 54 = 1</t>
        </is>
      </c>
      <c r="G74" s="126" t="inlineStr">
        <is>
          <t>0 - 55 = 1</t>
        </is>
      </c>
      <c r="H74" s="126" t="inlineStr">
        <is>
          <t>0 - 55 = 1</t>
        </is>
      </c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>
      <c r="A75" s="125" t="inlineStr">
        <is>
          <t>52 - 60 = 2</t>
        </is>
      </c>
      <c r="B75" s="126" t="inlineStr">
        <is>
          <t>53 - 61 = 2</t>
        </is>
      </c>
      <c r="C75" s="126" t="inlineStr">
        <is>
          <t>53 - 61 = 2</t>
        </is>
      </c>
      <c r="D75" s="126" t="inlineStr">
        <is>
          <t>54 - 62 = 2</t>
        </is>
      </c>
      <c r="E75" s="126" t="inlineStr">
        <is>
          <t>55 - 63 = 2</t>
        </is>
      </c>
      <c r="F75" s="126" t="inlineStr">
        <is>
          <t>55 - 63 = 2</t>
        </is>
      </c>
      <c r="G75" s="126" t="inlineStr">
        <is>
          <t>56 - 64 = 2</t>
        </is>
      </c>
      <c r="H75" s="126" t="inlineStr">
        <is>
          <t>56 - 65 = 2</t>
        </is>
      </c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>
      <c r="A76" s="125" t="inlineStr">
        <is>
          <t>61 - 69 = 3</t>
        </is>
      </c>
      <c r="B76" s="126" t="inlineStr">
        <is>
          <t>62 - 70 = 3</t>
        </is>
      </c>
      <c r="C76" s="126" t="inlineStr">
        <is>
          <t>62 - 71 = 3</t>
        </is>
      </c>
      <c r="D76" s="126" t="inlineStr">
        <is>
          <t>63 - 72 = 3</t>
        </is>
      </c>
      <c r="E76" s="126" t="inlineStr">
        <is>
          <t>64 - 73 = 3</t>
        </is>
      </c>
      <c r="F76" s="126" t="inlineStr">
        <is>
          <t>64 - 73 = 3</t>
        </is>
      </c>
      <c r="G76" s="126" t="inlineStr">
        <is>
          <t>65 - 74 = 3</t>
        </is>
      </c>
      <c r="H76" s="126" t="inlineStr">
        <is>
          <t>66 - 75 = 3</t>
        </is>
      </c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>
      <c r="A77" s="125" t="inlineStr">
        <is>
          <t>70 - 78 = 4</t>
        </is>
      </c>
      <c r="B77" s="126" t="inlineStr">
        <is>
          <t>71 - 79 = 4</t>
        </is>
      </c>
      <c r="C77" s="126" t="inlineStr">
        <is>
          <t>72 - 80 = 4</t>
        </is>
      </c>
      <c r="D77" s="126" t="inlineStr">
        <is>
          <t>73 - 81 = 4</t>
        </is>
      </c>
      <c r="E77" s="126" t="inlineStr">
        <is>
          <t>74 - 82 = 4</t>
        </is>
      </c>
      <c r="F77" s="126" t="inlineStr">
        <is>
          <t>74 - 83 = 4</t>
        </is>
      </c>
      <c r="G77" s="126" t="inlineStr">
        <is>
          <t>75 - 84 = 4</t>
        </is>
      </c>
      <c r="H77" s="126" t="inlineStr">
        <is>
          <t>76 - 85 = 4</t>
        </is>
      </c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>
      <c r="A78" s="125" t="inlineStr">
        <is>
          <t>79 - 87 = 5</t>
        </is>
      </c>
      <c r="B78" s="126" t="inlineStr">
        <is>
          <t>80 - 88 = 5</t>
        </is>
      </c>
      <c r="C78" s="126" t="inlineStr">
        <is>
          <t>81 - 89 = 5</t>
        </is>
      </c>
      <c r="D78" s="126" t="inlineStr">
        <is>
          <t>82 - 90 = 5</t>
        </is>
      </c>
      <c r="E78" s="126" t="inlineStr">
        <is>
          <t>83 - 91 = 5</t>
        </is>
      </c>
      <c r="F78" s="126" t="inlineStr">
        <is>
          <t>84 - 92 = 5</t>
        </is>
      </c>
      <c r="G78" s="126" t="inlineStr">
        <is>
          <t>85 - 93 = 5</t>
        </is>
      </c>
      <c r="H78" s="126" t="inlineStr">
        <is>
          <t>86 - 94= 5</t>
        </is>
      </c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>
      <c r="A79" s="122" t="n"/>
      <c r="B79" s="122" t="n"/>
      <c r="C79" s="122" t="n"/>
      <c r="D79" s="122" t="n"/>
      <c r="E79" s="122" t="n"/>
      <c r="F79" s="122" t="n"/>
      <c r="G79" s="122" t="n"/>
      <c r="H79" s="122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>
      <c r="A80" s="123" t="inlineStr">
        <is>
          <t>95 Puntos</t>
        </is>
      </c>
      <c r="B80" s="124" t="inlineStr">
        <is>
          <t>96 Puntos</t>
        </is>
      </c>
      <c r="C80" s="124" t="inlineStr">
        <is>
          <t>97 Puntos</t>
        </is>
      </c>
      <c r="D80" s="124" t="inlineStr">
        <is>
          <t>98 Puntos</t>
        </is>
      </c>
      <c r="E80" s="124" t="inlineStr">
        <is>
          <t>99 Puntos</t>
        </is>
      </c>
      <c r="F80" s="124" t="inlineStr">
        <is>
          <t>100 Puntos</t>
        </is>
      </c>
      <c r="G80" s="124" t="inlineStr">
        <is>
          <t>101 Puntos</t>
        </is>
      </c>
      <c r="H80" s="124" t="inlineStr">
        <is>
          <t>102 Puntos</t>
        </is>
      </c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>
      <c r="A81" s="125" t="inlineStr">
        <is>
          <t>0 - 56 = 1</t>
        </is>
      </c>
      <c r="B81" s="126" t="inlineStr">
        <is>
          <t>0 - 57 = 1</t>
        </is>
      </c>
      <c r="C81" s="126" t="inlineStr">
        <is>
          <t>0 - 57 = 1</t>
        </is>
      </c>
      <c r="D81" s="126" t="inlineStr">
        <is>
          <t>0 - 58 = 1</t>
        </is>
      </c>
      <c r="E81" s="126" t="inlineStr">
        <is>
          <t>0 - 58 = 1</t>
        </is>
      </c>
      <c r="F81" s="126" t="inlineStr">
        <is>
          <t>0 - 59 = 1</t>
        </is>
      </c>
      <c r="G81" s="126" t="inlineStr">
        <is>
          <t>0 - 60 = 1</t>
        </is>
      </c>
      <c r="H81" s="126" t="inlineStr">
        <is>
          <t>0 - 60 = 1</t>
        </is>
      </c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>
      <c r="A82" s="125" t="inlineStr">
        <is>
          <t>57 - 66 = 2</t>
        </is>
      </c>
      <c r="B82" s="126" t="inlineStr">
        <is>
          <t>58 - 67 = 2</t>
        </is>
      </c>
      <c r="C82" s="126" t="inlineStr">
        <is>
          <t>58 - 67 = 2</t>
        </is>
      </c>
      <c r="D82" s="126" t="inlineStr">
        <is>
          <t>59 - 68 = 2</t>
        </is>
      </c>
      <c r="E82" s="126" t="inlineStr">
        <is>
          <t>59- 68 = 2</t>
        </is>
      </c>
      <c r="F82" s="126" t="inlineStr">
        <is>
          <t>60- 69 = 2</t>
        </is>
      </c>
      <c r="G82" s="126" t="inlineStr">
        <is>
          <t>61- 70 = 2</t>
        </is>
      </c>
      <c r="H82" s="126" t="inlineStr">
        <is>
          <t>61- 70 = 2</t>
        </is>
      </c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>
      <c r="A83" s="125" t="inlineStr">
        <is>
          <t>67 - 76 = 3</t>
        </is>
      </c>
      <c r="B83" s="126" t="inlineStr">
        <is>
          <t>68 - 77 = 3</t>
        </is>
      </c>
      <c r="C83" s="126" t="inlineStr">
        <is>
          <t>68 - 77 = 3</t>
        </is>
      </c>
      <c r="D83" s="126" t="inlineStr">
        <is>
          <t>69 - 78 = 3</t>
        </is>
      </c>
      <c r="E83" s="126" t="inlineStr">
        <is>
          <t>69 - 79 = 3</t>
        </is>
      </c>
      <c r="F83" s="126" t="inlineStr">
        <is>
          <t>70 - 80 = 3</t>
        </is>
      </c>
      <c r="G83" s="126" t="inlineStr">
        <is>
          <t>71 - 81 = 3</t>
        </is>
      </c>
      <c r="H83" s="126" t="inlineStr">
        <is>
          <t>71 - 81 = 3</t>
        </is>
      </c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>
      <c r="A84" s="125" t="inlineStr">
        <is>
          <t>77 - 86 = 4</t>
        </is>
      </c>
      <c r="B84" s="126" t="inlineStr">
        <is>
          <t>78 - 87 = 4</t>
        </is>
      </c>
      <c r="C84" s="126" t="inlineStr">
        <is>
          <t>78 - 87 = 4</t>
        </is>
      </c>
      <c r="D84" s="126" t="inlineStr">
        <is>
          <t>79 - 88 = 4</t>
        </is>
      </c>
      <c r="E84" s="126" t="inlineStr">
        <is>
          <t>80 - 89 = 4</t>
        </is>
      </c>
      <c r="F84" s="126" t="inlineStr">
        <is>
          <t>81 - 90 = 4</t>
        </is>
      </c>
      <c r="G84" s="126" t="inlineStr">
        <is>
          <t>82 - 91 = 4</t>
        </is>
      </c>
      <c r="H84" s="126" t="inlineStr">
        <is>
          <t>82 - 92 = 4</t>
        </is>
      </c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>
      <c r="A85" s="125" t="inlineStr">
        <is>
          <t>87 - 95= 5</t>
        </is>
      </c>
      <c r="B85" s="126" t="inlineStr">
        <is>
          <t>88 - 96= 5</t>
        </is>
      </c>
      <c r="C85" s="126" t="inlineStr">
        <is>
          <t>88 - 97= 5</t>
        </is>
      </c>
      <c r="D85" s="126" t="inlineStr">
        <is>
          <t>89 - 98= 5</t>
        </is>
      </c>
      <c r="E85" s="126" t="inlineStr">
        <is>
          <t>90 - 99= 5</t>
        </is>
      </c>
      <c r="F85" s="126" t="inlineStr">
        <is>
          <t>91 -100= 5</t>
        </is>
      </c>
      <c r="G85" s="126" t="inlineStr">
        <is>
          <t>92 -101= 5</t>
        </is>
      </c>
      <c r="H85" s="126" t="inlineStr">
        <is>
          <t>93 -102= 5</t>
        </is>
      </c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>
      <c r="A86" s="122" t="n"/>
      <c r="B86" s="122" t="n"/>
      <c r="C86" s="122" t="n"/>
      <c r="D86" s="122" t="n"/>
      <c r="E86" s="122" t="n"/>
      <c r="F86" s="122" t="n"/>
      <c r="G86" s="122" t="n"/>
      <c r="H86" s="122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>
      <c r="A87" s="123" t="inlineStr">
        <is>
          <t>103 Puntos</t>
        </is>
      </c>
      <c r="B87" s="124" t="inlineStr">
        <is>
          <t>104 Puntos</t>
        </is>
      </c>
      <c r="C87" s="124" t="inlineStr">
        <is>
          <t>105 Puntos</t>
        </is>
      </c>
      <c r="D87" s="124" t="inlineStr">
        <is>
          <t>106 Puntos</t>
        </is>
      </c>
      <c r="E87" s="124" t="inlineStr">
        <is>
          <t>107 Puntos</t>
        </is>
      </c>
      <c r="F87" s="124" t="inlineStr">
        <is>
          <t>108 Puntos</t>
        </is>
      </c>
      <c r="G87" s="124" t="inlineStr">
        <is>
          <t>109 Puntos</t>
        </is>
      </c>
      <c r="H87" s="124" t="inlineStr">
        <is>
          <t>110 Puntos</t>
        </is>
      </c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>
      <c r="A88" s="125" t="inlineStr">
        <is>
          <t>0 - 61 = 1</t>
        </is>
      </c>
      <c r="B88" s="126" t="inlineStr">
        <is>
          <t>0 - 61 = 1</t>
        </is>
      </c>
      <c r="C88" s="126" t="inlineStr">
        <is>
          <t>0 - 62 = 1</t>
        </is>
      </c>
      <c r="D88" s="126" t="inlineStr">
        <is>
          <t>0 - 63 = 1</t>
        </is>
      </c>
      <c r="E88" s="126" t="inlineStr">
        <is>
          <t>0 - 63 = 1</t>
        </is>
      </c>
      <c r="F88" s="126" t="inlineStr">
        <is>
          <t>0 - 64 = 1</t>
        </is>
      </c>
      <c r="G88" s="126" t="inlineStr">
        <is>
          <t>0 - 64 = 1</t>
        </is>
      </c>
      <c r="H88" s="126" t="inlineStr">
        <is>
          <t>0 - 65 = 1</t>
        </is>
      </c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>
      <c r="A89" s="125" t="inlineStr">
        <is>
          <t>62 - 71 = 2</t>
        </is>
      </c>
      <c r="B89" s="126" t="inlineStr">
        <is>
          <t>62 - 72 = 2</t>
        </is>
      </c>
      <c r="C89" s="126" t="inlineStr">
        <is>
          <t>63 - 73 = 2</t>
        </is>
      </c>
      <c r="D89" s="126" t="inlineStr">
        <is>
          <t>64 - 74 = 2</t>
        </is>
      </c>
      <c r="E89" s="126" t="inlineStr">
        <is>
          <t>64 - 74 = 2</t>
        </is>
      </c>
      <c r="F89" s="126" t="inlineStr">
        <is>
          <t>65 - 75 = 2</t>
        </is>
      </c>
      <c r="G89" s="126" t="inlineStr">
        <is>
          <t>65 - 75 = 2</t>
        </is>
      </c>
      <c r="H89" s="126" t="inlineStr">
        <is>
          <t>66 - 76 = 2</t>
        </is>
      </c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>
      <c r="A90" s="125" t="inlineStr">
        <is>
          <t>72 - 82 = 3</t>
        </is>
      </c>
      <c r="B90" s="126" t="inlineStr">
        <is>
          <t>73 - 83 = 3</t>
        </is>
      </c>
      <c r="C90" s="126" t="inlineStr">
        <is>
          <t>74 - 84 = 3</t>
        </is>
      </c>
      <c r="D90" s="126" t="inlineStr">
        <is>
          <t>75 - 85 = 3</t>
        </is>
      </c>
      <c r="E90" s="126" t="inlineStr">
        <is>
          <t>75 - 85 = 3</t>
        </is>
      </c>
      <c r="F90" s="126" t="inlineStr">
        <is>
          <t>76 - 86 = 3</t>
        </is>
      </c>
      <c r="G90" s="126" t="inlineStr">
        <is>
          <t>76 - 87 = 3</t>
        </is>
      </c>
      <c r="H90" s="126" t="inlineStr">
        <is>
          <t>77 - 88 = 3</t>
        </is>
      </c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>
      <c r="A91" s="125" t="inlineStr">
        <is>
          <t>83 - 93 = 4</t>
        </is>
      </c>
      <c r="B91" s="126" t="inlineStr">
        <is>
          <t>84 - 94 = 4</t>
        </is>
      </c>
      <c r="C91" s="126" t="inlineStr">
        <is>
          <t>85 - 95 = 4</t>
        </is>
      </c>
      <c r="D91" s="126" t="inlineStr">
        <is>
          <t>86 - 96 = 4</t>
        </is>
      </c>
      <c r="E91" s="126" t="inlineStr">
        <is>
          <t>86 - 96 = 4</t>
        </is>
      </c>
      <c r="F91" s="126" t="inlineStr">
        <is>
          <t>87 - 97 = 4</t>
        </is>
      </c>
      <c r="G91" s="126" t="inlineStr">
        <is>
          <t>88 - 98 = 4</t>
        </is>
      </c>
      <c r="H91" s="126" t="inlineStr">
        <is>
          <t>89 - 99 = 4</t>
        </is>
      </c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>
      <c r="A92" s="125" t="inlineStr">
        <is>
          <t>94 -103= 5</t>
        </is>
      </c>
      <c r="B92" s="126" t="inlineStr">
        <is>
          <t>95 -104= 5</t>
        </is>
      </c>
      <c r="C92" s="126" t="inlineStr">
        <is>
          <t>96 -105= 5</t>
        </is>
      </c>
      <c r="D92" s="126" t="inlineStr">
        <is>
          <t>97 -106= 5</t>
        </is>
      </c>
      <c r="E92" s="126" t="inlineStr">
        <is>
          <t>97 -107= 5</t>
        </is>
      </c>
      <c r="F92" s="126" t="inlineStr">
        <is>
          <t>98 -108= 5</t>
        </is>
      </c>
      <c r="G92" s="126" t="inlineStr">
        <is>
          <t>99 -109= 5</t>
        </is>
      </c>
      <c r="H92" s="126" t="inlineStr">
        <is>
          <t>100-110= 5</t>
        </is>
      </c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>
      <c r="A93" s="122" t="n"/>
      <c r="B93" s="122" t="n"/>
      <c r="C93" s="122" t="n"/>
      <c r="D93" s="122" t="n"/>
      <c r="E93" s="122" t="n"/>
      <c r="F93" s="122" t="n"/>
      <c r="G93" s="122" t="n"/>
      <c r="H93" s="122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>
      <c r="A94" s="123" t="inlineStr">
        <is>
          <t>111 Puntos</t>
        </is>
      </c>
      <c r="B94" s="124" t="inlineStr">
        <is>
          <t>112 Puntos</t>
        </is>
      </c>
      <c r="C94" s="124" t="inlineStr">
        <is>
          <t>113 Puntos</t>
        </is>
      </c>
      <c r="D94" s="124" t="inlineStr">
        <is>
          <t>114 Puntos</t>
        </is>
      </c>
      <c r="E94" s="124" t="inlineStr">
        <is>
          <t>115 Puntos</t>
        </is>
      </c>
      <c r="F94" s="124" t="inlineStr">
        <is>
          <t>116 Puntos</t>
        </is>
      </c>
      <c r="G94" s="124" t="inlineStr">
        <is>
          <t>117 Puntos</t>
        </is>
      </c>
      <c r="H94" s="124" t="inlineStr">
        <is>
          <t>118 Puntos</t>
        </is>
      </c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>
      <c r="A95" s="125" t="inlineStr">
        <is>
          <t>0 - 66 = 1</t>
        </is>
      </c>
      <c r="B95" s="126" t="inlineStr">
        <is>
          <t>0 - 66 = 1</t>
        </is>
      </c>
      <c r="C95" s="126" t="inlineStr">
        <is>
          <t>0 - 67 = 1</t>
        </is>
      </c>
      <c r="D95" s="126" t="inlineStr">
        <is>
          <t>0 - 67 = 1</t>
        </is>
      </c>
      <c r="E95" s="126" t="inlineStr">
        <is>
          <t>0 - 68 = 1</t>
        </is>
      </c>
      <c r="F95" s="126" t="inlineStr">
        <is>
          <t>0 - 69 = 1</t>
        </is>
      </c>
      <c r="G95" s="126" t="inlineStr">
        <is>
          <t>0 - 69 = 1</t>
        </is>
      </c>
      <c r="H95" s="126" t="inlineStr">
        <is>
          <t>0 - 70 = 1</t>
        </is>
      </c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>
      <c r="A96" s="125" t="inlineStr">
        <is>
          <t>67 - 77 = 2</t>
        </is>
      </c>
      <c r="B96" s="126" t="inlineStr">
        <is>
          <t>67 - 77 = 2</t>
        </is>
      </c>
      <c r="C96" s="126" t="inlineStr">
        <is>
          <t>68 - 78 = 2</t>
        </is>
      </c>
      <c r="D96" s="126" t="inlineStr">
        <is>
          <t>68 - 79 = 2</t>
        </is>
      </c>
      <c r="E96" s="126" t="inlineStr">
        <is>
          <t>69 - 80 = 2</t>
        </is>
      </c>
      <c r="F96" s="126" t="inlineStr">
        <is>
          <t>70 - 81 = 2</t>
        </is>
      </c>
      <c r="G96" s="126" t="inlineStr">
        <is>
          <t>70 - 81 = 2</t>
        </is>
      </c>
      <c r="H96" s="126" t="inlineStr">
        <is>
          <t>71 - 82 = 2</t>
        </is>
      </c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>
      <c r="A97" s="125" t="inlineStr">
        <is>
          <t>78 - 89 = 3</t>
        </is>
      </c>
      <c r="B97" s="126" t="inlineStr">
        <is>
          <t>78 - 89 = 3</t>
        </is>
      </c>
      <c r="C97" s="126" t="inlineStr">
        <is>
          <t>79 - 90 = 3</t>
        </is>
      </c>
      <c r="D97" s="126" t="inlineStr">
        <is>
          <t>80 - 91 = 3</t>
        </is>
      </c>
      <c r="E97" s="126" t="inlineStr">
        <is>
          <t>81 - 92 = 3</t>
        </is>
      </c>
      <c r="F97" s="126" t="inlineStr">
        <is>
          <t>82 - 93 = 3</t>
        </is>
      </c>
      <c r="G97" s="126" t="inlineStr">
        <is>
          <t>82 - 93 = 3</t>
        </is>
      </c>
      <c r="H97" s="126" t="inlineStr">
        <is>
          <t>83 - 94 = 3</t>
        </is>
      </c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>
      <c r="A98" s="125" t="inlineStr">
        <is>
          <t>90 - 100= 4</t>
        </is>
      </c>
      <c r="B98" s="126" t="inlineStr">
        <is>
          <t>90 - 101= 4</t>
        </is>
      </c>
      <c r="C98" s="126" t="inlineStr">
        <is>
          <t>91 - 102= 4</t>
        </is>
      </c>
      <c r="D98" s="126" t="inlineStr">
        <is>
          <t>92 - 103= 4</t>
        </is>
      </c>
      <c r="E98" s="126" t="inlineStr">
        <is>
          <t>93 - 104= 4</t>
        </is>
      </c>
      <c r="F98" s="126" t="inlineStr">
        <is>
          <t>94 - 105= 4</t>
        </is>
      </c>
      <c r="G98" s="126" t="inlineStr">
        <is>
          <t>94 - 105= 4</t>
        </is>
      </c>
      <c r="H98" s="126" t="inlineStr">
        <is>
          <t>95 - 106= 4</t>
        </is>
      </c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>
      <c r="A99" s="125" t="inlineStr">
        <is>
          <t>101-111= 5</t>
        </is>
      </c>
      <c r="B99" s="126" t="inlineStr">
        <is>
          <t>102-112= 5</t>
        </is>
      </c>
      <c r="C99" s="126" t="inlineStr">
        <is>
          <t>103-113= 5</t>
        </is>
      </c>
      <c r="D99" s="126" t="inlineStr">
        <is>
          <t>104-114= 5</t>
        </is>
      </c>
      <c r="E99" s="126" t="inlineStr">
        <is>
          <t>105-115= 5</t>
        </is>
      </c>
      <c r="F99" s="126" t="inlineStr">
        <is>
          <t>106-116= 5</t>
        </is>
      </c>
      <c r="G99" s="126" t="inlineStr">
        <is>
          <t>106-117= 5</t>
        </is>
      </c>
      <c r="H99" s="126" t="inlineStr">
        <is>
          <t>107-118= 5</t>
        </is>
      </c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>
      <c r="A100" s="122" t="n"/>
      <c r="B100" s="122" t="n"/>
      <c r="C100" s="122" t="n"/>
      <c r="D100" s="122" t="n"/>
      <c r="E100" s="122" t="n"/>
      <c r="F100" s="122" t="n"/>
      <c r="G100" s="122" t="n"/>
      <c r="H100" s="122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>
      <c r="A101" s="123" t="inlineStr">
        <is>
          <t>119 Puntos</t>
        </is>
      </c>
      <c r="B101" s="124" t="inlineStr">
        <is>
          <t>120 Puntos</t>
        </is>
      </c>
      <c r="C101" s="124" t="inlineStr">
        <is>
          <t>121 Puntos</t>
        </is>
      </c>
      <c r="D101" s="124" t="inlineStr">
        <is>
          <t>122 Puntos</t>
        </is>
      </c>
      <c r="E101" s="124" t="inlineStr">
        <is>
          <t>123 Puntos</t>
        </is>
      </c>
      <c r="F101" s="124" t="inlineStr">
        <is>
          <t>124 Puntos</t>
        </is>
      </c>
      <c r="G101" s="124" t="inlineStr">
        <is>
          <t>125 Puntos</t>
        </is>
      </c>
      <c r="H101" s="124" t="inlineStr">
        <is>
          <t>126 Puntos</t>
        </is>
      </c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>
      <c r="A102" s="125" t="inlineStr">
        <is>
          <t>0 - 70 = 1</t>
        </is>
      </c>
      <c r="B102" s="126" t="inlineStr">
        <is>
          <t>0 - 71 = 1</t>
        </is>
      </c>
      <c r="C102" s="126" t="inlineStr">
        <is>
          <t>0 - 72 = 1</t>
        </is>
      </c>
      <c r="D102" s="126" t="inlineStr">
        <is>
          <t>0 - 72 = 1</t>
        </is>
      </c>
      <c r="E102" s="126" t="inlineStr">
        <is>
          <t>0 - 73 = 1</t>
        </is>
      </c>
      <c r="F102" s="126" t="inlineStr">
        <is>
          <t>0 - 73 = 1</t>
        </is>
      </c>
      <c r="G102" s="126" t="inlineStr">
        <is>
          <t>0 - 74 = 1</t>
        </is>
      </c>
      <c r="H102" s="126" t="inlineStr">
        <is>
          <t>0 - 75 = 1</t>
        </is>
      </c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>
      <c r="A103" s="125" t="inlineStr">
        <is>
          <t>71 - 82 = 2</t>
        </is>
      </c>
      <c r="B103" s="126" t="inlineStr">
        <is>
          <t>72 - 83 = 2</t>
        </is>
      </c>
      <c r="C103" s="126" t="inlineStr">
        <is>
          <t>73 - 84 = 2</t>
        </is>
      </c>
      <c r="D103" s="126" t="inlineStr">
        <is>
          <t>73 - 84 = 2</t>
        </is>
      </c>
      <c r="E103" s="126" t="inlineStr">
        <is>
          <t>74 - 85 = 2</t>
        </is>
      </c>
      <c r="F103" s="126" t="inlineStr">
        <is>
          <t>74 - 86 = 2</t>
        </is>
      </c>
      <c r="G103" s="126" t="inlineStr">
        <is>
          <t>75 - 87 = 2</t>
        </is>
      </c>
      <c r="H103" s="126" t="inlineStr">
        <is>
          <t>76 - 88 = 2</t>
        </is>
      </c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>
      <c r="A104" s="125" t="inlineStr">
        <is>
          <t>83 - 95 = 3</t>
        </is>
      </c>
      <c r="B104" s="126" t="inlineStr">
        <is>
          <t>84 - 96 = 3</t>
        </is>
      </c>
      <c r="C104" s="126" t="inlineStr">
        <is>
          <t>85 - 97 = 3</t>
        </is>
      </c>
      <c r="D104" s="126" t="inlineStr">
        <is>
          <t>85 - 97 = 3</t>
        </is>
      </c>
      <c r="E104" s="126" t="inlineStr">
        <is>
          <t>86 - 98 = 3</t>
        </is>
      </c>
      <c r="F104" s="126" t="inlineStr">
        <is>
          <t>87 - 99 = 3</t>
        </is>
      </c>
      <c r="G104" s="126" t="inlineStr">
        <is>
          <t>88 - 100 = 3</t>
        </is>
      </c>
      <c r="H104" s="126" t="inlineStr">
        <is>
          <t>89 - 101 = 3</t>
        </is>
      </c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>
      <c r="A105" s="125" t="inlineStr">
        <is>
          <t>96 - 107= 4</t>
        </is>
      </c>
      <c r="B105" s="126" t="inlineStr">
        <is>
          <t>97 - 108= 4</t>
        </is>
      </c>
      <c r="C105" s="126" t="inlineStr">
        <is>
          <t>98 - 109= 4</t>
        </is>
      </c>
      <c r="D105" s="126" t="inlineStr">
        <is>
          <t>98 - 110= 4</t>
        </is>
      </c>
      <c r="E105" s="126" t="inlineStr">
        <is>
          <t>99 - 111= 4</t>
        </is>
      </c>
      <c r="F105" s="126" t="inlineStr">
        <is>
          <t>100 - 112= 4</t>
        </is>
      </c>
      <c r="G105" s="126" t="inlineStr">
        <is>
          <t>101 - 113= 4</t>
        </is>
      </c>
      <c r="H105" s="126" t="inlineStr">
        <is>
          <t>102 - 114= 4</t>
        </is>
      </c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>
      <c r="A106" s="125" t="inlineStr">
        <is>
          <t>108-119= 5</t>
        </is>
      </c>
      <c r="B106" s="126" t="inlineStr">
        <is>
          <t>109-120= 5</t>
        </is>
      </c>
      <c r="C106" s="126" t="inlineStr">
        <is>
          <t>110-121= 5</t>
        </is>
      </c>
      <c r="D106" s="126" t="inlineStr">
        <is>
          <t>111-122= 5</t>
        </is>
      </c>
      <c r="E106" s="126" t="inlineStr">
        <is>
          <t>112-123= 5</t>
        </is>
      </c>
      <c r="F106" s="126" t="inlineStr">
        <is>
          <t>113-124= 5</t>
        </is>
      </c>
      <c r="G106" s="126" t="inlineStr">
        <is>
          <t>114-125= 5</t>
        </is>
      </c>
      <c r="H106" s="126" t="inlineStr">
        <is>
          <t>115-126= 5</t>
        </is>
      </c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  <c r="G1" t="n">
        <v>1</v>
      </c>
      <c r="H1" t="inlineStr">
        <is>
          <t>ACOSTA FERREIRA, FRANCO JESUS</t>
        </is>
      </c>
    </row>
    <row r="2">
      <c r="A2">
        <f>+H1</f>
        <v/>
      </c>
      <c r="B2">
        <f>TRIM(LEFT(MID(A2, FIND(",", A2) + 1, LEN(A2)), FIND(" ", TRIM(MID(A2, FIND(",", A2) + 1, LEN(A2)))))) &amp; " " &amp; LEFT(A2, FIND(" ", A2) - 1)</f>
        <v/>
      </c>
      <c r="G2" t="n">
        <v>2</v>
      </c>
      <c r="H2" t="inlineStr">
        <is>
          <t>ARCE GAONA, NAOMI JOSELIN</t>
        </is>
      </c>
    </row>
    <row r="3">
      <c r="A3">
        <f>+H2</f>
        <v/>
      </c>
      <c r="B3">
        <f>TRIM(LEFT(MID(A3, FIND(",", A3) + 1, LEN(A3)), FIND(" ", TRIM(MID(A3, FIND(",", A3) + 1, LEN(A3)))))) &amp; " " &amp; LEFT(A3, FIND(" ", A3) - 1)</f>
        <v/>
      </c>
      <c r="G3" t="n">
        <v>3</v>
      </c>
      <c r="H3" t="inlineStr">
        <is>
          <t>ARZAMENDIA GONZALEZ, GUSTAVO ASAEL DEJESUS</t>
        </is>
      </c>
    </row>
    <row r="4">
      <c r="A4">
        <f>+H3</f>
        <v/>
      </c>
      <c r="B4">
        <f>TRIM(LEFT(MID(A4, FIND(",", A4) + 1, LEN(A4)), FIND(" ", TRIM(MID(A4, FIND(",", A4) + 1, LEN(A4)))))) &amp; " " &amp; LEFT(A4, FIND(" ", A4) - 1)</f>
        <v/>
      </c>
      <c r="G4" t="n">
        <v>4</v>
      </c>
      <c r="H4" t="inlineStr">
        <is>
          <t>AYALA MALDONADO, MIGUEL PETROVIC</t>
        </is>
      </c>
    </row>
    <row r="5">
      <c r="A5">
        <f>+H4</f>
        <v/>
      </c>
      <c r="B5">
        <f>TRIM(LEFT(MID(A5, FIND(",", A5) + 1, LEN(A5)), FIND(" ", TRIM(MID(A5, FIND(",", A5) + 1, LEN(A5)))))) &amp; " " &amp; LEFT(A5, FIND(" ", A5) - 1)</f>
        <v/>
      </c>
      <c r="G5" t="n">
        <v>5</v>
      </c>
      <c r="H5" t="inlineStr">
        <is>
          <t>BENITEZ OVELAR, LUNA ARAMI</t>
        </is>
      </c>
    </row>
    <row r="6">
      <c r="A6">
        <f>+H5</f>
        <v/>
      </c>
      <c r="B6">
        <f>TRIM(LEFT(MID(A6, FIND(",", A6) + 1, LEN(A6)), FIND(" ", TRIM(MID(A6, FIND(",", A6) + 1, LEN(A6)))))) &amp; " " &amp; LEFT(A6, FIND(" ", A6) - 1)</f>
        <v/>
      </c>
      <c r="G6" t="n">
        <v>6</v>
      </c>
      <c r="H6" t="inlineStr">
        <is>
          <t>BENITEZ, LURDES ESMERALDA</t>
        </is>
      </c>
    </row>
    <row r="7">
      <c r="A7">
        <f>+H6</f>
        <v/>
      </c>
      <c r="B7">
        <f>TRIM(LEFT(MID(A7, FIND(",", A7) + 1, LEN(A7)), FIND(" ", TRIM(MID(A7, FIND(",", A7) + 1, LEN(A7)))))) &amp; " " &amp; LEFT(A7, FIND(" ", A7) - 1)</f>
        <v/>
      </c>
      <c r="G7" t="n">
        <v>7</v>
      </c>
      <c r="H7" t="inlineStr">
        <is>
          <t>DURE OVIEDO, MYLAN DANILO</t>
        </is>
      </c>
    </row>
    <row r="8">
      <c r="A8">
        <f>+H7</f>
        <v/>
      </c>
      <c r="B8">
        <f>TRIM(LEFT(MID(A8, FIND(",", A8) + 1, LEN(A8)), FIND(" ", TRIM(MID(A8, FIND(",", A8) + 1, LEN(A8)))))) &amp; " " &amp; LEFT(A8, FIND(" ", A8) - 1)</f>
        <v/>
      </c>
      <c r="G8" t="n">
        <v>8</v>
      </c>
      <c r="H8" t="inlineStr">
        <is>
          <t>FERREIRA CACERES, PAULA JAZMIN</t>
        </is>
      </c>
    </row>
    <row r="9">
      <c r="A9">
        <f>+H8</f>
        <v/>
      </c>
      <c r="B9">
        <f>TRIM(LEFT(MID(A9, FIND(",", A9) + 1, LEN(A9)), FIND(" ", TRIM(MID(A9, FIND(",", A9) + 1, LEN(A9)))))) &amp; " " &amp; LEFT(A9, FIND(" ", A9) - 1)</f>
        <v/>
      </c>
      <c r="G9" t="n">
        <v>9</v>
      </c>
      <c r="H9" t="inlineStr">
        <is>
          <t>GIMENEZ AMARILLA, JOSE MARIA</t>
        </is>
      </c>
    </row>
    <row r="10">
      <c r="A10">
        <f>+H9</f>
        <v/>
      </c>
      <c r="B10">
        <f>TRIM(LEFT(MID(A10, FIND(",", A10) + 1, LEN(A10)), FIND(" ", TRIM(MID(A10, FIND(",", A10) + 1, LEN(A10)))))) &amp; " " &amp; LEFT(A10, FIND(" ", A10) - 1)</f>
        <v/>
      </c>
      <c r="G10" t="n">
        <v>10</v>
      </c>
      <c r="H10" t="inlineStr">
        <is>
          <t xml:space="preserve">LEGUIZAMON INSAURRALDE, ANGEL NAHUEL </t>
        </is>
      </c>
    </row>
    <row r="11">
      <c r="A11">
        <f>+H10</f>
        <v/>
      </c>
      <c r="B11">
        <f>TRIM(LEFT(MID(A11, FIND(",", A11) + 1, LEN(A11)), FIND(" ", TRIM(MID(A11, FIND(",", A11) + 1, LEN(A11)))))) &amp; " " &amp; LEFT(A11, FIND(" ", A11) - 1)</f>
        <v/>
      </c>
      <c r="G11" t="n">
        <v>11</v>
      </c>
      <c r="H11" t="inlineStr">
        <is>
          <t>MILLAN BAEZ, GIOVANNA MAILEN</t>
        </is>
      </c>
    </row>
    <row r="12">
      <c r="A12">
        <f>+H11</f>
        <v/>
      </c>
      <c r="B12">
        <f>TRIM(LEFT(MID(A12, FIND(",", A12) + 1, LEN(A12)), FIND(" ", TRIM(MID(A12, FIND(",", A12) + 1, LEN(A12)))))) &amp; " " &amp; LEFT(A12, FIND(" ", A12) - 1)</f>
        <v/>
      </c>
      <c r="G12" t="n">
        <v>12</v>
      </c>
      <c r="H12" t="inlineStr">
        <is>
          <t>RAMIREZ ALFONSO, NELSON DANIEL</t>
        </is>
      </c>
    </row>
    <row r="13">
      <c r="A13">
        <f>+H12</f>
        <v/>
      </c>
      <c r="B13">
        <f>TRIM(LEFT(MID(A13, FIND(",", A13) + 1, LEN(A13)), FIND(" ", TRIM(MID(A13, FIND(",", A13) + 1, LEN(A13)))))) &amp; " " &amp; LEFT(A13, FIND(" ", A13) - 1)</f>
        <v/>
      </c>
      <c r="G13" t="n">
        <v>13</v>
      </c>
      <c r="H13" t="inlineStr">
        <is>
          <t>SILVA SERVIN, EMMANUEL EZEKIEL</t>
        </is>
      </c>
    </row>
    <row r="14">
      <c r="A14">
        <f>+H13</f>
        <v/>
      </c>
      <c r="B14">
        <f>TRIM(LEFT(MID(A14, FIND(",", A14) + 1, LEN(A14)), FIND(" ", TRIM(MID(A14, FIND(",", A14) + 1, LEN(A14)))))) &amp; " " &amp; LEFT(A14, FIND(" ", A14) - 1)</f>
        <v/>
      </c>
      <c r="G14" t="n">
        <v>14</v>
      </c>
      <c r="H14" t="inlineStr">
        <is>
          <t>VILLASANTI SALDIVAR ,GENESIS ABIGAIL</t>
        </is>
      </c>
    </row>
    <row r="15">
      <c r="A15">
        <f>+H14</f>
        <v/>
      </c>
      <c r="B15">
        <f>TRIM(LEFT(MID(A15, FIND(",", A15) + 1, LEN(A15)), FIND(" ", TRIM(MID(A15, FIND(",", A15) + 1, LEN(A15)))))) &amp; " " &amp; LEFT(A15, FIND(" ", A15) - 1)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ESC.EXC. Manuel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Molinas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>TARDE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 xml:space="preserve">FORMACIÓN ETICA 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0" t="inlineStr">
        <is>
          <t>Capacidades</t>
        </is>
      </c>
      <c r="C1" s="30" t="inlineStr">
        <is>
          <t>Contenido</t>
        </is>
      </c>
      <c r="D1" s="30" t="inlineStr">
        <is>
          <t>Estrategias Didácticas</t>
        </is>
      </c>
      <c r="E1" s="30" t="inlineStr">
        <is>
          <t>Indicadores</t>
        </is>
      </c>
      <c r="F1" s="30" t="inlineStr">
        <is>
          <t>Estrategias evaluativas</t>
        </is>
      </c>
      <c r="G1" s="31" t="inlineStr">
        <is>
          <t>Recursos Didácticos</t>
        </is>
      </c>
    </row>
    <row r="2" ht="57" customHeight="1">
      <c r="A2" s="32" t="inlineStr">
        <is>
          <t>Persona y entorno</t>
        </is>
      </c>
      <c r="B2" s="32" t="inlineStr">
        <is>
          <t>Reflexiona acerca de la práctica de los principios y valores democráticos.</t>
        </is>
      </c>
      <c r="C2" s="32" t="inlineStr">
        <is>
          <t>Ética y Moral. Diferencias y moralidad social.</t>
        </is>
      </c>
      <c r="D2" s="32" t="inlineStr">
        <is>
          <t>- Responde preguntas.</t>
        </is>
      </c>
      <c r="E2" s="32" t="inlineStr">
        <is>
          <t>- Identifica principios éticos y morales.</t>
        </is>
      </c>
      <c r="F2" s="32" t="inlineStr">
        <is>
          <t>- Portafolio de trabajo.</t>
        </is>
      </c>
      <c r="G2" s="33" t="inlineStr">
        <is>
          <t>- Cuadernillo Serie Poty.</t>
        </is>
      </c>
    </row>
    <row r="3" ht="57" customHeight="1">
      <c r="A3" s="32" t="inlineStr">
        <is>
          <t>Persona y entorno</t>
        </is>
      </c>
      <c r="B3" s="32" t="inlineStr">
        <is>
          <t>Reflexiona acerca de la práctica de los principios y valores democráticos.</t>
        </is>
      </c>
      <c r="C3" s="32" t="inlineStr">
        <is>
          <t>Ética y Moral. Diferencias y moralidad social.</t>
        </is>
      </c>
      <c r="D3" s="32" t="inlineStr">
        <is>
          <t>- Establece diferencias entre ética y moral.</t>
        </is>
      </c>
      <c r="E3" s="32" t="inlineStr">
        <is>
          <t>- Diferencia moral y moralidad.</t>
        </is>
      </c>
      <c r="F3" s="32" t="inlineStr">
        <is>
          <t>- RSA con indicadores.</t>
        </is>
      </c>
      <c r="G3" s="33" t="inlineStr">
        <is>
          <t>- Cartulinas y pinceles.</t>
        </is>
      </c>
    </row>
    <row r="4" ht="42.75" customHeight="1">
      <c r="A4" s="32" t="inlineStr">
        <is>
          <t>Persona y entorno</t>
        </is>
      </c>
      <c r="B4" s="32" t="inlineStr">
        <is>
          <t>Reflexiona acerca de la práctica de los principios y valores democráticos.</t>
        </is>
      </c>
      <c r="C4" s="32" t="inlineStr">
        <is>
          <t>Ética y Moral. Diferencias y moralidad social.</t>
        </is>
      </c>
      <c r="D4" s="32" t="inlineStr">
        <is>
          <t>- Diseña carteles de concientización.</t>
        </is>
      </c>
      <c r="E4" s="32" t="n"/>
      <c r="F4" s="32" t="n"/>
      <c r="G4" s="33" t="n"/>
    </row>
    <row r="5" ht="57" customHeight="1">
      <c r="A5" s="32" t="inlineStr">
        <is>
          <t>Persona y entorno</t>
        </is>
      </c>
      <c r="B5" s="32" t="inlineStr">
        <is>
          <t>Analiza dilemas éticos contemporáneos y su impacto social.</t>
        </is>
      </c>
      <c r="C5" s="32" t="inlineStr">
        <is>
          <t>**Escándalos éticos de nuestro tiempo:** Pobreza, hambre y mortalidad infantil.</t>
        </is>
      </c>
      <c r="D5" s="32" t="inlineStr">
        <is>
          <t>- Análisis de noticias actuales.</t>
        </is>
      </c>
      <c r="E5" s="32" t="inlineStr">
        <is>
          <t>- Reconoce problemáticas éticas globales.</t>
        </is>
      </c>
      <c r="F5" s="32" t="inlineStr">
        <is>
          <t>- Registro de observación.</t>
        </is>
      </c>
      <c r="G5" s="33" t="inlineStr">
        <is>
          <t>- Material de lectura.</t>
        </is>
      </c>
    </row>
    <row r="6" ht="57" customHeight="1">
      <c r="A6" s="32" t="inlineStr">
        <is>
          <t>Persona y entorno</t>
        </is>
      </c>
      <c r="B6" s="32" t="inlineStr">
        <is>
          <t>Analiza dilemas éticos contemporáneos y su impacto social.</t>
        </is>
      </c>
      <c r="C6" s="32" t="inlineStr">
        <is>
          <t>**Escándalos éticos de nuestro tiempo:** Pobreza, hambre y mortalidad infantil.</t>
        </is>
      </c>
      <c r="D6" s="32" t="inlineStr">
        <is>
          <t>- Debate sobre déficit de agua potable.</t>
        </is>
      </c>
      <c r="E6" s="32" t="inlineStr">
        <is>
          <t>- Analiza causas de la mortalidad infantil.</t>
        </is>
      </c>
      <c r="F6" s="32" t="inlineStr">
        <is>
          <t>- Ensayos escritos.</t>
        </is>
      </c>
      <c r="G6" s="33" t="inlineStr">
        <is>
          <t>- Artículos de prensa.</t>
        </is>
      </c>
    </row>
    <row r="7" ht="28.5" customHeight="1">
      <c r="A7" s="32" t="inlineStr">
        <is>
          <t>Persona y entorno</t>
        </is>
      </c>
      <c r="B7" s="32" t="inlineStr">
        <is>
          <t>Analiza dilemas éticos contemporáneos y su impacto social.</t>
        </is>
      </c>
      <c r="C7" s="32" t="inlineStr">
        <is>
          <t>**Escándalos éticos de nuestro tiempo:** Pobreza, hambre y mortalidad infantil.</t>
        </is>
      </c>
      <c r="D7" s="32" t="inlineStr">
        <is>
          <t>- Elaboración de ensayos breves.</t>
        </is>
      </c>
      <c r="E7" s="32" t="n"/>
      <c r="F7" s="32" t="n"/>
      <c r="G7" s="33" t="n"/>
    </row>
    <row r="8" ht="71.25" customHeight="1">
      <c r="A8" s="32" t="inlineStr">
        <is>
          <t>Persona y entorno</t>
        </is>
      </c>
      <c r="B8" s="32" t="inlineStr">
        <is>
          <t>Comprende la importancia de la convivencia armónica en el ámbito escolar.</t>
        </is>
      </c>
      <c r="C8" s="32" t="inlineStr">
        <is>
          <t>**Acuerdos de relacionamiento:** Código de convivencia docente-estudiante.</t>
        </is>
      </c>
      <c r="D8" s="32" t="inlineStr">
        <is>
          <t>- Lluvia de ideas sobre normas.</t>
        </is>
      </c>
      <c r="E8" s="32" t="inlineStr">
        <is>
          <t>- Valora el código de convivencia.</t>
        </is>
      </c>
      <c r="F8" s="32" t="inlineStr">
        <is>
          <t>- Participación activa.</t>
        </is>
      </c>
      <c r="G8" s="33" t="inlineStr">
        <is>
          <t>- Papelógrafos.</t>
        </is>
      </c>
    </row>
    <row r="9" ht="28.5" customHeight="1">
      <c r="A9" s="32" t="inlineStr">
        <is>
          <t>Persona y entorno</t>
        </is>
      </c>
      <c r="B9" s="32" t="inlineStr">
        <is>
          <t>Comprende la importancia de la convivencia armónica en el ámbito escolar.</t>
        </is>
      </c>
      <c r="C9" s="32" t="inlineStr">
        <is>
          <t>**Acuerdos de relacionamiento:** Código de convivencia docente-estudiante.</t>
        </is>
      </c>
      <c r="D9" s="32" t="inlineStr">
        <is>
          <t>- Redacción participativa de acuerdos de aula.</t>
        </is>
      </c>
      <c r="E9" s="32" t="inlineStr">
        <is>
          <t>- Propone normas de respeto mutuo.</t>
        </is>
      </c>
      <c r="F9" s="32" t="inlineStr">
        <is>
          <t>- Documento de acuerdos.</t>
        </is>
      </c>
      <c r="G9" s="33" t="inlineStr">
        <is>
          <t>- Marcadores.</t>
        </is>
      </c>
    </row>
    <row r="10" ht="57" customHeight="1">
      <c r="A10" s="32" t="inlineStr">
        <is>
          <t>Persona y entorno</t>
        </is>
      </c>
      <c r="B10" s="32" t="inlineStr">
        <is>
          <t>Identifica situaciones de acoso escolar y propone medidas de prevención.</t>
        </is>
      </c>
      <c r="C10" s="32" t="inlineStr">
        <is>
          <t>Bullying: Concepto, tipos, causas y consecuencias.</t>
        </is>
      </c>
      <c r="D10" s="32" t="inlineStr">
        <is>
          <t>(Abordaje &gt; 2 horas)</t>
        </is>
      </c>
      <c r="E10" s="32" t="inlineStr">
        <is>
          <t>- Define tipos de bullying.</t>
        </is>
      </c>
      <c r="F10" s="32" t="inlineStr">
        <is>
          <t>- Guía de trabajo grupal.</t>
        </is>
      </c>
      <c r="G10" s="33" t="inlineStr">
        <is>
          <t>- Proyector / Videos.</t>
        </is>
      </c>
    </row>
    <row r="11" ht="60" customHeight="1">
      <c r="A11" s="34" t="inlineStr">
        <is>
          <t>Persona y entorno</t>
        </is>
      </c>
      <c r="B11" s="35" t="inlineStr">
        <is>
          <t>Identifica situaciones de acoso escolar y propone medidas de prevención.</t>
        </is>
      </c>
      <c r="C11" s="35" t="inlineStr">
        <is>
          <t>Bullying: Concepto, tipos, causas y consecuencias.</t>
        </is>
      </c>
      <c r="D11" s="35" t="inlineStr">
        <is>
          <t>- Cine debate sobre casos reales.</t>
        </is>
      </c>
      <c r="E11" s="35" t="inlineStr">
        <is>
          <t>- Identifica consecuencias psicológicas.</t>
        </is>
      </c>
      <c r="F11" s="35" t="n"/>
      <c r="G11" s="35" t="n"/>
    </row>
    <row r="12" ht="60" customHeight="1">
      <c r="A12" s="34" t="inlineStr">
        <is>
          <t>Persona y entorno</t>
        </is>
      </c>
      <c r="B12" s="35" t="inlineStr">
        <is>
          <t>Identifica situaciones de acoso escolar y propone medidas de prevención.</t>
        </is>
      </c>
      <c r="C12" s="35" t="inlineStr">
        <is>
          <t>Bullying: Concepto, tipos, causas y consecuencias.</t>
        </is>
      </c>
      <c r="D12" s="35" t="inlineStr">
        <is>
          <t>- Talleres de rol (agresor/víctima).</t>
        </is>
      </c>
      <c r="E12" s="35" t="inlineStr">
        <is>
          <t>- Propone acciones de prevención.</t>
        </is>
      </c>
      <c r="F12" s="35" t="inlineStr">
        <is>
          <t>- RSA.</t>
        </is>
      </c>
      <c r="G12" s="35" t="inlineStr">
        <is>
          <t>- Fichas de casos.</t>
        </is>
      </c>
    </row>
    <row r="13" ht="60" customHeight="1">
      <c r="A13" s="34" t="inlineStr">
        <is>
          <t>Persona y entorno</t>
        </is>
      </c>
      <c r="B13" s="35" t="inlineStr">
        <is>
          <t>Identifica situaciones de acoso escolar y propone medidas de prevención.</t>
        </is>
      </c>
      <c r="C13" s="35" t="inlineStr">
        <is>
          <t>Bullying: Concepto, tipos, causas y consecuencias.</t>
        </is>
      </c>
      <c r="D13" s="35" t="inlineStr">
        <is>
          <t>- Elaboración de protocolos de ayuda.</t>
        </is>
      </c>
      <c r="E13" s="35" t="n"/>
      <c r="F13" s="35" t="n"/>
      <c r="G13" s="35" t="n"/>
    </row>
    <row r="14" ht="60" customHeight="1">
      <c r="A14" s="34" t="inlineStr">
        <is>
          <t>Persona y entorno</t>
        </is>
      </c>
      <c r="B14" s="35" t="inlineStr">
        <is>
          <t>Aplica técnicas básicas de resolución de conflictos en situaciones cotidianas.</t>
        </is>
      </c>
      <c r="C14" s="35" t="inlineStr">
        <is>
          <t>Mediación, Negociación y Confrontación.</t>
        </is>
      </c>
      <c r="D14" s="35" t="inlineStr">
        <is>
          <t>(Abordaje &gt; 2 horas)</t>
        </is>
      </c>
      <c r="E14" s="35" t="inlineStr">
        <is>
          <t>- Diferencia mediación de negociación.</t>
        </is>
      </c>
      <c r="F14" s="35" t="inlineStr">
        <is>
          <t>- Evaluación de desempeño (Role-play).</t>
        </is>
      </c>
      <c r="G14" s="35" t="inlineStr">
        <is>
          <t>- Guiones de casos.</t>
        </is>
      </c>
    </row>
    <row r="15" ht="60" customHeight="1">
      <c r="A15" s="34" t="inlineStr">
        <is>
          <t>Persona y entorno</t>
        </is>
      </c>
      <c r="B15" s="35" t="inlineStr">
        <is>
          <t>Aplica técnicas básicas de resolución de conflictos en situaciones cotidianas.</t>
        </is>
      </c>
      <c r="C15" s="35" t="inlineStr">
        <is>
          <t>Mediación, Negociación y Confrontación.</t>
        </is>
      </c>
      <c r="D15" s="35" t="inlineStr">
        <is>
          <t>- Simulacros de mediación escolar.</t>
        </is>
      </c>
      <c r="E15" s="35" t="n"/>
      <c r="F15" s="35" t="n"/>
      <c r="G15" s="35" t="n"/>
    </row>
    <row r="16" ht="60" customHeight="1">
      <c r="A16" s="34" t="inlineStr">
        <is>
          <t>Persona y entorno</t>
        </is>
      </c>
      <c r="B16" s="35" t="inlineStr">
        <is>
          <t>Aplica técnicas básicas de resolución de conflictos en situaciones cotidianas.</t>
        </is>
      </c>
      <c r="C16" s="35" t="inlineStr">
        <is>
          <t>Mediación, Negociación y Confrontación.</t>
        </is>
      </c>
      <c r="D16" s="35" t="inlineStr">
        <is>
          <t>- Ejercicios de comunicación asertiva.</t>
        </is>
      </c>
      <c r="E16" s="35" t="inlineStr">
        <is>
          <t>- Aplica pasos de la negociación asertiva.</t>
        </is>
      </c>
      <c r="F16" s="35" t="n"/>
      <c r="G16" s="35" t="inlineStr">
        <is>
          <t>- Pizarra.</t>
        </is>
      </c>
    </row>
    <row r="17" ht="60" customHeight="1">
      <c r="A17" s="34" t="inlineStr">
        <is>
          <t>Persona y entorno</t>
        </is>
      </c>
      <c r="B17" s="35" t="inlineStr">
        <is>
          <t>Aplica técnicas básicas de resolución de conflictos en situaciones cotidianas.</t>
        </is>
      </c>
      <c r="C17" s="35" t="inlineStr">
        <is>
          <t>Mediación, Negociación y Confrontación.</t>
        </is>
      </c>
      <c r="D17" s="35" t="inlineStr">
        <is>
          <t>- Análisis de casos de conflicto.</t>
        </is>
      </c>
      <c r="E17" s="35" t="n"/>
      <c r="F17" s="35" t="n"/>
      <c r="G17" s="35" t="n"/>
    </row>
    <row r="18" ht="45" customHeight="1">
      <c r="A18" s="36" t="inlineStr">
        <is>
          <t>La Familia</t>
        </is>
      </c>
      <c r="B18" s="37" t="inlineStr">
        <is>
          <t>Analiza la situación socioeconómica de las familias paraguayas.</t>
        </is>
      </c>
      <c r="C18" s="37" t="inlineStr">
        <is>
          <t>Pobreza y Canasta Básica Familiar.</t>
        </is>
      </c>
      <c r="D18" s="37" t="inlineStr">
        <is>
          <t>- Investigación de precios actuales.</t>
        </is>
      </c>
      <c r="E18" s="37" t="inlineStr">
        <is>
          <t>- Define el concepto de canasta básica.</t>
        </is>
      </c>
      <c r="F18" s="37" t="inlineStr">
        <is>
          <t>- Informe de investigación.</t>
        </is>
      </c>
      <c r="G18" s="37" t="inlineStr">
        <is>
          <t>- Datos estadísticos.</t>
        </is>
      </c>
    </row>
    <row r="19" ht="45" customHeight="1">
      <c r="A19" s="36" t="inlineStr">
        <is>
          <t>La Familia</t>
        </is>
      </c>
      <c r="B19" s="37" t="inlineStr">
        <is>
          <t>Analiza la situación socioeconómica de las familias paraguayas.</t>
        </is>
      </c>
      <c r="C19" s="37" t="inlineStr">
        <is>
          <t>Pobreza y Canasta Básica Familiar.</t>
        </is>
      </c>
      <c r="D19" s="37" t="inlineStr">
        <is>
          <t>- Comparación de ingresos y costos básicos.</t>
        </is>
      </c>
      <c r="E19" s="37" t="inlineStr">
        <is>
          <t>- Analiza el impacto de la pobreza.</t>
        </is>
      </c>
      <c r="F19" s="37" t="inlineStr">
        <is>
          <t>- Cuadro comparativo.</t>
        </is>
      </c>
      <c r="G19" s="37" t="inlineStr">
        <is>
          <t>- Calculadora.</t>
        </is>
      </c>
    </row>
    <row r="20" ht="45" customHeight="1">
      <c r="A20" s="36" t="inlineStr">
        <is>
          <t>La Familia</t>
        </is>
      </c>
      <c r="B20" s="37" t="inlineStr">
        <is>
          <t>Reconoce factores que inciden en la violencia intrafamiliar.</t>
        </is>
      </c>
      <c r="C20" s="37" t="inlineStr">
        <is>
          <t>Violencia Intrafamiliar: Causas y prevención.</t>
        </is>
      </c>
      <c r="D20" s="37" t="inlineStr">
        <is>
          <t>(Abordaje &gt; 2 horas)</t>
        </is>
      </c>
      <c r="E20" s="37" t="inlineStr">
        <is>
          <t>- Identifica tipos de violencia familiar.</t>
        </is>
      </c>
      <c r="F20" s="37" t="inlineStr">
        <is>
          <t>- Cuestionario reflexivo.</t>
        </is>
      </c>
      <c r="G20" s="37" t="inlineStr">
        <is>
          <t>- Trípticos informativos.</t>
        </is>
      </c>
    </row>
    <row r="21" ht="45" customHeight="1">
      <c r="A21" s="36" t="inlineStr">
        <is>
          <t>La Familia</t>
        </is>
      </c>
      <c r="B21" s="37" t="inlineStr">
        <is>
          <t>Reconoce factores que inciden en la violencia intrafamiliar.</t>
        </is>
      </c>
      <c r="C21" s="37" t="inlineStr">
        <is>
          <t>Violencia Intrafamiliar: Causas y prevención.</t>
        </is>
      </c>
      <c r="D21" s="37" t="inlineStr">
        <is>
          <t>- Charla con especialistas o videos informativos.</t>
        </is>
      </c>
      <c r="E21" s="37" t="inlineStr">
        <is>
          <t>- Conoce rutas de denuncia en Paraguay.</t>
        </is>
      </c>
      <c r="F21" s="37" t="inlineStr">
        <is>
          <t>- RSA.</t>
        </is>
      </c>
      <c r="G21" s="37" t="inlineStr">
        <is>
          <t>- Proyector.</t>
        </is>
      </c>
    </row>
    <row r="22" ht="45" customHeight="1">
      <c r="A22" s="36" t="inlineStr">
        <is>
          <t>La Familia</t>
        </is>
      </c>
      <c r="B22" s="37" t="inlineStr">
        <is>
          <t>Reconoce factores que inciden en la violencia intrafamiliar.</t>
        </is>
      </c>
      <c r="C22" s="37" t="inlineStr">
        <is>
          <t>Violencia Intrafamiliar: Causas y prevención.</t>
        </is>
      </c>
      <c r="D22" s="37" t="inlineStr">
        <is>
          <t>- Análisis de la Ley contra violencia doméstica.</t>
        </is>
      </c>
      <c r="E22" s="37" t="n"/>
      <c r="F22" s="37" t="n"/>
      <c r="G22" s="37" t="n"/>
    </row>
    <row r="23" ht="45" customHeight="1">
      <c r="A23" s="36" t="inlineStr">
        <is>
          <t>La Familia</t>
        </is>
      </c>
      <c r="B23" s="37" t="inlineStr">
        <is>
          <t>Reconoce factores que inciden en la violencia intrafamiliar.</t>
        </is>
      </c>
      <c r="C23" s="37" t="inlineStr">
        <is>
          <t>Violencia Intrafamiliar: Causas y prevención.</t>
        </is>
      </c>
      <c r="D23" s="37" t="inlineStr">
        <is>
          <t>- Mapa de instituciones de denuncia.</t>
        </is>
      </c>
      <c r="E23" s="37" t="n"/>
      <c r="F23" s="37" t="n"/>
      <c r="G23" s="37" t="n"/>
    </row>
    <row r="24" ht="60" customHeight="1">
      <c r="A24" s="34" t="inlineStr">
        <is>
          <t>Derechos Humanos</t>
        </is>
      </c>
      <c r="B24" s="35" t="inlineStr">
        <is>
          <t>Reconoce los principios básicos que rigen los Derechos Humanos.</t>
        </is>
      </c>
      <c r="C24" s="35" t="inlineStr">
        <is>
          <t>Principios de los DD.HH.: Universalidad, progresividad e irreversibilidad.</t>
        </is>
      </c>
      <c r="D24" s="35" t="inlineStr">
        <is>
          <t>(Abordaje &gt; 2 horas)</t>
        </is>
      </c>
      <c r="E24" s="35" t="inlineStr">
        <is>
          <t>- Explica la universalidad de los derechos.</t>
        </is>
      </c>
      <c r="F24" s="35" t="inlineStr">
        <is>
          <t>- Mapa conceptual.</t>
        </is>
      </c>
      <c r="G24" s="35" t="inlineStr">
        <is>
          <t>- Constitución Nacional.</t>
        </is>
      </c>
    </row>
    <row r="25" ht="60" customHeight="1">
      <c r="A25" s="34" t="inlineStr">
        <is>
          <t>Derechos Humanos</t>
        </is>
      </c>
      <c r="B25" s="35" t="inlineStr">
        <is>
          <t>Reconoce los principios básicos que rigen los Derechos Humanos.</t>
        </is>
      </c>
      <c r="C25" s="35" t="inlineStr">
        <is>
          <t>Principios de los DD.HH.: Universalidad, progresividad e irreversibilidad.</t>
        </is>
      </c>
      <c r="D25" s="35" t="inlineStr">
        <is>
          <t>- Lectura comprensiva de la Declaración Universal.</t>
        </is>
      </c>
      <c r="E25" s="35" t="n"/>
      <c r="F25" s="35" t="n"/>
      <c r="G25" s="35" t="n"/>
    </row>
    <row r="26" ht="60" customHeight="1">
      <c r="A26" s="34" t="inlineStr">
        <is>
          <t>Derechos Humanos</t>
        </is>
      </c>
      <c r="B26" s="35" t="inlineStr">
        <is>
          <t>Reconoce los principios básicos que rigen los Derechos Humanos.</t>
        </is>
      </c>
      <c r="C26" s="35" t="inlineStr">
        <is>
          <t>Principios de los DD.HH.: Universalidad, progresividad e irreversibilidad.</t>
        </is>
      </c>
      <c r="D26" s="35" t="inlineStr">
        <is>
          <t>- Análisis de casos históricos.</t>
        </is>
      </c>
      <c r="E26" s="35" t="inlineStr">
        <is>
          <t>- Distingue progresividad de irreversibilidad.</t>
        </is>
      </c>
      <c r="F26" s="35" t="inlineStr">
        <is>
          <t>- Prueba escrita formativa.</t>
        </is>
      </c>
      <c r="G26" s="35" t="inlineStr">
        <is>
          <t>- Textos guía.</t>
        </is>
      </c>
    </row>
    <row r="27" ht="60" customHeight="1">
      <c r="A27" s="34" t="inlineStr">
        <is>
          <t>Derechos Humanos</t>
        </is>
      </c>
      <c r="B27" s="35" t="inlineStr">
        <is>
          <t>Reconoce los principios básicos que rigen los Derechos Humanos.</t>
        </is>
      </c>
      <c r="C27" s="35" t="inlineStr">
        <is>
          <t>Principios de los DD.HH.: Universalidad, progresividad e irreversibilidad.</t>
        </is>
      </c>
      <c r="D27" s="35" t="inlineStr">
        <is>
          <t>- Debate sobre la temporalidad de los derechos.</t>
        </is>
      </c>
      <c r="E27" s="35" t="n"/>
      <c r="F27" s="35" t="n"/>
      <c r="G27" s="35" t="n"/>
    </row>
    <row r="28" ht="60" customHeight="1">
      <c r="A28" s="34" t="inlineStr">
        <is>
          <t>Derechos Humanos</t>
        </is>
      </c>
      <c r="B28" s="35" t="inlineStr">
        <is>
          <t>Analiza situaciones de vulneración de derechos en la niñez y adolescencia.</t>
        </is>
      </c>
      <c r="C28" s="35" t="inlineStr">
        <is>
          <t>**Causas de explotación:** Sexual, laboral y trabajos forzados.</t>
        </is>
      </c>
      <c r="D28" s="35" t="inlineStr">
        <is>
          <t>- Análisis de estadísticas nacionales.</t>
        </is>
      </c>
      <c r="E28" s="35" t="inlineStr">
        <is>
          <t>- Reconoce formas de explotación infantil.</t>
        </is>
      </c>
      <c r="F28" s="35" t="inlineStr">
        <is>
          <t>- Murales preventivos.</t>
        </is>
      </c>
      <c r="G28" s="35" t="inlineStr">
        <is>
          <t>- Afiches.</t>
        </is>
      </c>
    </row>
    <row r="29" ht="60" customHeight="1">
      <c r="A29" s="34" t="inlineStr">
        <is>
          <t>Derechos Humanos</t>
        </is>
      </c>
      <c r="B29" s="35" t="inlineStr">
        <is>
          <t>Analiza situaciones de vulneración de derechos en la niñez y adolescencia.</t>
        </is>
      </c>
      <c r="C29" s="35" t="inlineStr">
        <is>
          <t>**Causas de explotación:** Sexual, laboral y trabajos forzados.</t>
        </is>
      </c>
      <c r="D29" s="35" t="inlineStr">
        <is>
          <t>- Identificación de señales de riesgo.</t>
        </is>
      </c>
      <c r="E29" s="35" t="inlineStr">
        <is>
          <t>- Valora la protección contra el trabajo forzado.</t>
        </is>
      </c>
      <c r="F29" s="35" t="inlineStr">
        <is>
          <t>- Portafolio.</t>
        </is>
      </c>
      <c r="G29" s="35" t="inlineStr">
        <is>
          <t>- Material audiovisual.</t>
        </is>
      </c>
    </row>
    <row r="30" ht="60" customHeight="1">
      <c r="A30" s="34" t="inlineStr">
        <is>
          <t>Derechos Humanos</t>
        </is>
      </c>
      <c r="B30" s="35" t="inlineStr">
        <is>
          <t>Analiza situaciones de vulneración de derechos en la niñez y adolescencia.</t>
        </is>
      </c>
      <c r="C30" s="35" t="inlineStr">
        <is>
          <t>**Causas de explotación:** Sexual, laboral y trabajos forzados.</t>
        </is>
      </c>
      <c r="D30" s="35" t="inlineStr">
        <is>
          <t>- Elaboración de campañas preventivas.</t>
        </is>
      </c>
      <c r="E30" s="35" t="n"/>
      <c r="F30" s="35" t="n"/>
      <c r="G30" s="35" t="n"/>
    </row>
    <row r="31" ht="45" customHeight="1">
      <c r="A31" s="36" t="inlineStr">
        <is>
          <t>Democracia y Estado</t>
        </is>
      </c>
      <c r="B31" s="37" t="inlineStr">
        <is>
          <t>Analiza la situación de la mujer en la estructura social actual.</t>
        </is>
      </c>
      <c r="C31" s="37" t="inlineStr">
        <is>
          <t>**Pobreza, desigualdad y exclusión a la mujer.**</t>
        </is>
      </c>
      <c r="D31" s="37" t="inlineStr">
        <is>
          <t>- Debate sobre brecha salarial y acceso a educación.</t>
        </is>
      </c>
      <c r="E31" s="37" t="inlineStr">
        <is>
          <t>- Identifica factores de exclusión femenina.</t>
        </is>
      </c>
      <c r="F31" s="37" t="inlineStr">
        <is>
          <t>- RSA.</t>
        </is>
      </c>
      <c r="G31" s="37" t="inlineStr">
        <is>
          <t>- Material de lectura.</t>
        </is>
      </c>
    </row>
    <row r="32" ht="45" customHeight="1">
      <c r="A32" s="36" t="inlineStr">
        <is>
          <t>Democracia y Estado</t>
        </is>
      </c>
      <c r="B32" s="37" t="inlineStr">
        <is>
          <t>Analiza la situación de la mujer en la estructura social actual.</t>
        </is>
      </c>
      <c r="C32" s="37" t="inlineStr">
        <is>
          <t>**Pobreza, desigualdad y exclusión a la mujer.**</t>
        </is>
      </c>
      <c r="D32" s="37" t="inlineStr">
        <is>
          <t>- Biografías de mujeres líderes en Paraguay.</t>
        </is>
      </c>
      <c r="E32" s="37" t="inlineStr">
        <is>
          <t>- Propone acciones para la igualdad.</t>
        </is>
      </c>
      <c r="F32" s="37" t="inlineStr">
        <is>
          <t>- Debate dirigido.</t>
        </is>
      </c>
      <c r="G32" s="37" t="inlineStr">
        <is>
          <t>- Artículos de género.</t>
        </is>
      </c>
    </row>
    <row r="33" ht="60" customHeight="1">
      <c r="A33" s="36" t="inlineStr">
        <is>
          <t>Democracia y Estado</t>
        </is>
      </c>
      <c r="B33" s="37" t="inlineStr">
        <is>
          <t>Analiza el Sistema Tributario en función al fortalecimiento institucional.</t>
        </is>
      </c>
      <c r="C33" s="37" t="inlineStr">
        <is>
          <t>Sistema Tributario y funciones de la S.E.T.</t>
        </is>
      </c>
      <c r="D33" s="37" t="inlineStr">
        <is>
          <t>(Abordaje &gt; 2 horas)</t>
        </is>
      </c>
      <c r="E33" s="37" t="inlineStr">
        <is>
          <t>- Identifica la función tributaria.</t>
        </is>
      </c>
      <c r="F33" s="37" t="inlineStr">
        <is>
          <t>- Ejercicios prácticos.</t>
        </is>
      </c>
      <c r="G33" s="37" t="inlineStr">
        <is>
          <t>- Formularios de práctica.</t>
        </is>
      </c>
    </row>
    <row r="34" ht="60" customHeight="1">
      <c r="A34" s="36" t="inlineStr">
        <is>
          <t>Democracia y Estado</t>
        </is>
      </c>
      <c r="B34" s="37" t="inlineStr">
        <is>
          <t>Analiza el Sistema Tributario en función al fortalecimiento institucional.</t>
        </is>
      </c>
      <c r="C34" s="37" t="inlineStr">
        <is>
          <t>Sistema Tributario y funciones de la S.E.T.</t>
        </is>
      </c>
      <c r="D34" s="37" t="inlineStr">
        <is>
          <t>- Taller sobre el IVA y su importancia social.</t>
        </is>
      </c>
      <c r="E34" s="37" t="n"/>
      <c r="F34" s="37" t="n"/>
      <c r="G34" s="37" t="n"/>
    </row>
    <row r="35" ht="60" customHeight="1">
      <c r="A35" s="36" t="inlineStr">
        <is>
          <t>Democracia y Estado</t>
        </is>
      </c>
      <c r="B35" s="37" t="inlineStr">
        <is>
          <t>Analiza el Sistema Tributario en función al fortalecimiento institucional.</t>
        </is>
      </c>
      <c r="C35" s="37" t="inlineStr">
        <is>
          <t>Sistema Tributario y funciones de la S.E.T.</t>
        </is>
      </c>
      <c r="D35" s="37" t="inlineStr">
        <is>
          <t>- Visita virtual o análisis de la página de la SET.</t>
        </is>
      </c>
      <c r="E35" s="37" t="inlineStr">
        <is>
          <t>- Valora la función social de los tributos.</t>
        </is>
      </c>
      <c r="F35" s="37" t="inlineStr">
        <is>
          <t>- Portafolio.</t>
        </is>
      </c>
      <c r="G35" s="37" t="inlineStr">
        <is>
          <t>- Internet.</t>
        </is>
      </c>
    </row>
    <row r="36" ht="60" customHeight="1">
      <c r="A36" s="36" t="inlineStr">
        <is>
          <t>Democracia y Estado</t>
        </is>
      </c>
      <c r="B36" s="37" t="inlineStr">
        <is>
          <t>Analiza el Sistema Tributario en función al fortalecimiento institucional.</t>
        </is>
      </c>
      <c r="C36" s="37" t="inlineStr">
        <is>
          <t>Sistema Tributario y funciones de la S.E.T.</t>
        </is>
      </c>
      <c r="D36" s="37" t="inlineStr">
        <is>
          <t>- Ejercicios de cálculo básico de impuestos.</t>
        </is>
      </c>
      <c r="E36" s="37" t="n"/>
      <c r="F36" s="37" t="n"/>
      <c r="G36" s="37" t="n"/>
    </row>
    <row r="37" ht="60" customHeight="1">
      <c r="A37" s="36" t="inlineStr">
        <is>
          <t>Democracia y Estado</t>
        </is>
      </c>
      <c r="B37" s="37" t="inlineStr">
        <is>
          <t>Analiza la estructura y funciones de los organismos del Estado.</t>
        </is>
      </c>
      <c r="C37" s="37" t="inlineStr">
        <is>
          <t>Ministerio de Hacienda y Autoridades Locales (Intendencias/Gobernaciones).</t>
        </is>
      </c>
      <c r="D37" s="37" t="inlineStr">
        <is>
          <t>- Elaboración de organigrama del Estado.</t>
        </is>
      </c>
      <c r="E37" s="37" t="inlineStr">
        <is>
          <t>- Reconoce funciones del Ministerio de Hacienda.</t>
        </is>
      </c>
      <c r="F37" s="37" t="inlineStr">
        <is>
          <t>- Mapa conceptual.</t>
        </is>
      </c>
      <c r="G37" s="37" t="inlineStr">
        <is>
          <t>- Organigrama estatal.</t>
        </is>
      </c>
    </row>
    <row r="38" ht="60" customHeight="1">
      <c r="A38" s="36" t="inlineStr">
        <is>
          <t>Democracia y Estado</t>
        </is>
      </c>
      <c r="B38" s="37" t="inlineStr">
        <is>
          <t>Analiza la estructura y funciones de los organismos del Estado.</t>
        </is>
      </c>
      <c r="C38" s="37" t="inlineStr">
        <is>
          <t>Ministerio de Hacienda y Autoridades Locales (Intendencias/Gobernaciones).</t>
        </is>
      </c>
      <c r="D38" s="37" t="inlineStr">
        <is>
          <t>- Investigación sobre funciones municipales.</t>
        </is>
      </c>
      <c r="E38" s="37" t="inlineStr">
        <is>
          <t>- Diferencia roles de Intendentes y Gobernadores.</t>
        </is>
      </c>
      <c r="F38" s="37" t="inlineStr">
        <is>
          <t>- RSA.</t>
        </is>
      </c>
      <c r="G38" s="37" t="inlineStr">
        <is>
          <t>- Páginas web oficiales.</t>
        </is>
      </c>
    </row>
    <row r="39" ht="60" customHeight="1">
      <c r="A39" s="36" t="inlineStr">
        <is>
          <t>Democracia y Estado</t>
        </is>
      </c>
      <c r="B39" s="37" t="inlineStr">
        <is>
          <t>Analiza la estructura y funciones de los organismos del Estado.</t>
        </is>
      </c>
      <c r="C39" s="37" t="inlineStr">
        <is>
          <t>Ministerio de Hacienda y Autoridades Locales (Intendencias/Gobernaciones).</t>
        </is>
      </c>
      <c r="D39" s="37" t="inlineStr">
        <is>
          <t>- Entrevista a autoridades o análisis de gestión.</t>
        </is>
      </c>
      <c r="E39" s="37" t="n"/>
      <c r="F39" s="37" t="n"/>
      <c r="G39" s="37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30.85546875" customWidth="1" min="1" max="1"/>
    <col width="14.28515625" customWidth="1" min="2" max="2"/>
    <col width="35.140625" customWidth="1" min="3" max="3"/>
    <col width="21.42578125" customWidth="1" min="4" max="4"/>
    <col width="29.140625" customWidth="1" min="5" max="5"/>
    <col width="26.7109375" customWidth="1" min="7" max="7"/>
    <col width="11.28515625" customWidth="1" min="8" max="8"/>
  </cols>
  <sheetData>
    <row r="1" ht="18" customHeight="1">
      <c r="B1" s="38" t="inlineStr">
        <is>
          <t>PLANILLA DE EJECUCIÓN DE CLASES</t>
        </is>
      </c>
      <c r="C1" s="39" t="n"/>
      <c r="D1" s="40" t="n"/>
      <c r="E1" t="n">
        <v>2026</v>
      </c>
    </row>
    <row r="2" ht="18.75" customHeight="1">
      <c r="B2" s="41" t="n"/>
      <c r="C2" s="42" t="inlineStr">
        <is>
          <t>Plan de Clases</t>
        </is>
      </c>
      <c r="D2" s="41" t="inlineStr">
        <is>
          <t>ESTADO</t>
        </is>
      </c>
      <c r="E2" s="41" t="inlineStr">
        <is>
          <t xml:space="preserve">Ejecutado </t>
        </is>
      </c>
    </row>
    <row r="3" ht="29.25" customHeight="1">
      <c r="A3" s="43">
        <f>+B3</f>
        <v/>
      </c>
      <c r="B3" s="44" t="n">
        <v>46079</v>
      </c>
      <c r="C3" s="45" t="n"/>
      <c r="D3" s="46">
        <f>IFERROR(VLOOKUP(B3, fechaMEC, 3, FALSE), "Clase Normal")</f>
        <v/>
      </c>
      <c r="E3" s="46">
        <f>IFERROR(VLOOKUP(B3, fechaMEC, 2, FALSE), "Ejecutado")</f>
        <v/>
      </c>
    </row>
    <row r="4">
      <c r="A4" s="43">
        <f>+B4</f>
        <v/>
      </c>
      <c r="B4" s="44" t="n">
        <v>46086</v>
      </c>
      <c r="C4" s="45" t="inlineStr">
        <is>
          <t xml:space="preserve">Dinamica -concepto de etica y moral </t>
        </is>
      </c>
      <c r="D4" s="46">
        <f>IFERROR(VLOOKUP(B4, fechaMEC, 3, FALSE), "Clase Normal")</f>
        <v/>
      </c>
      <c r="E4" s="46">
        <f>IFERROR(VLOOKUP(B4, fechaMEC, 2, FALSE), "Ejecutado")</f>
        <v/>
      </c>
    </row>
    <row r="5">
      <c r="A5" s="43">
        <f>+B5</f>
        <v/>
      </c>
      <c r="B5" s="44" t="n">
        <v>46093</v>
      </c>
      <c r="C5" s="45" t="inlineStr">
        <is>
          <t xml:space="preserve">concepto de etica y moral </t>
        </is>
      </c>
      <c r="D5" s="46">
        <f>IFERROR(VLOOKUP(B5, fechaMEC, 3, FALSE), "Clase Normal")</f>
        <v/>
      </c>
      <c r="E5" s="46">
        <f>IFERROR(VLOOKUP(B5, fechaMEC, 2, FALSE), "Ejecutado")</f>
        <v/>
      </c>
    </row>
    <row r="6">
      <c r="A6" s="43">
        <f>+B6</f>
        <v/>
      </c>
      <c r="B6" s="44" t="n">
        <v>46100</v>
      </c>
      <c r="C6" s="45" t="inlineStr">
        <is>
          <t xml:space="preserve">concepto de etica y moral </t>
        </is>
      </c>
      <c r="D6" s="46">
        <f>IFERROR(VLOOKUP(B6, fechaMEC, 3, FALSE), "Clase Normal")</f>
        <v/>
      </c>
      <c r="E6" s="46">
        <f>IFERROR(VLOOKUP(B6, fechaMEC, 2, FALSE), "Ejecutado")</f>
        <v/>
      </c>
    </row>
    <row r="7">
      <c r="A7" s="43">
        <f>+B7</f>
        <v/>
      </c>
      <c r="B7" s="44" t="n">
        <v>46107</v>
      </c>
      <c r="C7" s="45" t="inlineStr">
        <is>
          <t>Moralidad y normas morales</t>
        </is>
      </c>
      <c r="D7" s="46">
        <f>IFERROR(VLOOKUP(B7, fechaMEC, 3, FALSE), "Clase Normal")</f>
        <v/>
      </c>
      <c r="E7" s="46">
        <f>IFERROR(VLOOKUP(B7, fechaMEC, 2, FALSE), "Ejecutado")</f>
        <v/>
      </c>
    </row>
    <row r="8">
      <c r="A8" s="43">
        <f>+B8</f>
        <v/>
      </c>
      <c r="B8" s="44" t="n">
        <v>46114</v>
      </c>
      <c r="C8" s="47" t="n"/>
      <c r="D8" s="46">
        <f>IFERROR(VLOOKUP(B8, fechaMEC, 3, FALSE), "Clase Normal")</f>
        <v/>
      </c>
      <c r="E8" s="46">
        <f>IFERROR(VLOOKUP(B8, fechaMEC, 2, FALSE), "Ejecutado")</f>
        <v/>
      </c>
    </row>
    <row r="9">
      <c r="A9" s="43">
        <f>+B9</f>
        <v/>
      </c>
      <c r="B9" s="44" t="n">
        <v>46121</v>
      </c>
      <c r="C9" s="48" t="inlineStr">
        <is>
          <t>Moralidad y normas morales</t>
        </is>
      </c>
      <c r="D9" s="46">
        <f>IFERROR(VLOOKUP(B9, fechaMEC, 3, FALSE), "Clase Normal")</f>
        <v/>
      </c>
      <c r="E9" s="46">
        <f>IFERROR(VLOOKUP(B9, fechaMEC, 2, FALSE), "Ejecutado")</f>
        <v/>
      </c>
    </row>
    <row r="10">
      <c r="A10" s="43">
        <f>+B10</f>
        <v/>
      </c>
      <c r="B10" s="44" t="n">
        <v>46128</v>
      </c>
      <c r="C10" s="48" t="n"/>
      <c r="D10" s="46">
        <f>IFERROR(VLOOKUP(B10, fechaMEC, 3, FALSE), "Clase Normal")</f>
        <v/>
      </c>
      <c r="E10" s="46">
        <f>IFERROR(VLOOKUP(B10, fechaMEC, 2, FALSE), "Ejecutado")</f>
        <v/>
      </c>
    </row>
    <row r="11">
      <c r="A11" s="43">
        <f>+B11</f>
        <v/>
      </c>
      <c r="B11" s="44" t="n">
        <v>46135</v>
      </c>
      <c r="C11" s="48" t="n"/>
      <c r="D11" s="46">
        <f>IFERROR(VLOOKUP(B11, fechaMEC, 3, FALSE), "Clase Normal")</f>
        <v/>
      </c>
      <c r="E11" s="46" t="n"/>
    </row>
    <row r="12" ht="29.25" customHeight="1">
      <c r="A12" s="43">
        <f>+B12</f>
        <v/>
      </c>
      <c r="B12" s="44" t="n">
        <v>46142</v>
      </c>
      <c r="C12" s="49" t="n"/>
      <c r="D12" s="46">
        <f>IFERROR(VLOOKUP(B12, fechaMEC, 3, FALSE), "Clase Normal")</f>
        <v/>
      </c>
      <c r="E12" s="50">
        <f>IFERROR(VLOOKUP(B12, fechaMEC, 2, FALSE), "Ejecutado")</f>
        <v/>
      </c>
    </row>
    <row r="13">
      <c r="A13" s="43">
        <f>+B13</f>
        <v/>
      </c>
      <c r="B13" s="44" t="n">
        <v>46149</v>
      </c>
      <c r="C13" s="48" t="n"/>
      <c r="D13" s="46">
        <f>IFERROR(VLOOKUP(B13, fechaMEC, 3, FALSE), "Clase Normal")</f>
        <v/>
      </c>
      <c r="E13" s="46" t="n"/>
    </row>
    <row r="14" ht="29.25" customHeight="1">
      <c r="A14" s="43">
        <f>+B14</f>
        <v/>
      </c>
      <c r="B14" s="44" t="n">
        <v>46156</v>
      </c>
      <c r="C14" s="49" t="n"/>
      <c r="D14" s="46">
        <f>IFERROR(VLOOKUP(B14, fechaMEC, 3, FALSE), "Clase Normal")</f>
        <v/>
      </c>
      <c r="E14" s="50">
        <f>IFERROR(VLOOKUP(B14, fechaMEC, 2, FALSE), "Ejecutado")</f>
        <v/>
      </c>
    </row>
    <row r="15">
      <c r="A15" s="43">
        <f>+B15</f>
        <v/>
      </c>
      <c r="B15" s="44" t="n">
        <v>46163</v>
      </c>
      <c r="C15" s="48" t="n"/>
      <c r="D15" s="46">
        <f>IFERROR(VLOOKUP(B15, fechaMEC, 3, FALSE), "Clase Normal")</f>
        <v/>
      </c>
      <c r="E15" s="46" t="n"/>
    </row>
    <row r="16">
      <c r="A16" s="43">
        <f>+B16</f>
        <v/>
      </c>
      <c r="B16" s="44" t="n">
        <v>46170</v>
      </c>
      <c r="C16" s="48" t="n"/>
      <c r="D16" s="46">
        <f>IFERROR(VLOOKUP(B16, fechaMEC, 3, FALSE), "Clase Normal")</f>
        <v/>
      </c>
      <c r="E16" s="46" t="n"/>
    </row>
    <row r="17">
      <c r="A17" s="43">
        <f>+B17</f>
        <v/>
      </c>
      <c r="B17" s="44" t="n">
        <v>46177</v>
      </c>
      <c r="C17" s="48" t="n"/>
      <c r="D17" s="46">
        <f>IFERROR(VLOOKUP(B17, fechaMEC, 3, FALSE), "Clase Normal")</f>
        <v/>
      </c>
      <c r="E17" s="46" t="n"/>
    </row>
    <row r="18" ht="43.5" customHeight="1">
      <c r="A18" s="43">
        <f>+B18</f>
        <v/>
      </c>
      <c r="B18" s="44" t="n">
        <v>46184</v>
      </c>
      <c r="C18" s="49" t="n"/>
      <c r="D18" s="46">
        <f>IFERROR(VLOOKUP(B18, fechaMEC, 3, FALSE), "Clase Normal")</f>
        <v/>
      </c>
      <c r="E18" s="50">
        <f>IFERROR(VLOOKUP(B18, fechaMEC, 2, FALSE), "Ejecutado")</f>
        <v/>
      </c>
      <c r="H18" s="44" t="inlineStr">
        <is>
          <t>Fecha (DD/MM/YYYY)</t>
        </is>
      </c>
      <c r="I18" t="inlineStr">
        <is>
          <t>Evento / Conmemoración</t>
        </is>
      </c>
      <c r="J18" t="inlineStr">
        <is>
          <t>Tipo</t>
        </is>
      </c>
    </row>
    <row r="19">
      <c r="A19" s="43">
        <f>+B19</f>
        <v/>
      </c>
      <c r="B19" s="44" t="n">
        <v>46191</v>
      </c>
      <c r="C19" s="48" t="n"/>
      <c r="D19" s="46">
        <f>IFERROR(VLOOKUP(B19, fechaMEC, 3, FALSE), "Clase Normal")</f>
        <v/>
      </c>
      <c r="E19" s="46">
        <f>IFERROR(VLOOKUP(B19, fechaMEC, 2, FALSE), "Ejecutado")</f>
        <v/>
      </c>
      <c r="H19" s="44" t="n">
        <v>46023</v>
      </c>
      <c r="I19" t="inlineStr">
        <is>
          <t>Año Nuevo</t>
        </is>
      </c>
      <c r="J19" t="inlineStr">
        <is>
          <t>Feriado Nacional</t>
        </is>
      </c>
    </row>
    <row r="20">
      <c r="A20" s="43">
        <f>+B20</f>
        <v/>
      </c>
      <c r="B20" s="44" t="n">
        <v>46198</v>
      </c>
      <c r="C20" s="48" t="n"/>
      <c r="D20" s="46">
        <f>IFERROR(VLOOKUP(B20, fechaMEC, 3, FALSE), "Clase Normal")</f>
        <v/>
      </c>
      <c r="E20" s="46" t="n"/>
      <c r="H20" s="44" t="n">
        <v>46063</v>
      </c>
      <c r="I20" t="inlineStr">
        <is>
          <t>Apertura Institucional y Retorno Docente</t>
        </is>
      </c>
      <c r="J20" t="inlineStr">
        <is>
          <t>MEC - INSTITUCIONAL</t>
        </is>
      </c>
    </row>
    <row r="21">
      <c r="A21" s="43">
        <f>+B21</f>
        <v/>
      </c>
      <c r="B21" s="44" t="n">
        <v>46205</v>
      </c>
      <c r="C21" s="51" t="inlineStr">
        <is>
          <t>Examen Primera Etapa</t>
        </is>
      </c>
      <c r="D21" s="46">
        <f>IFERROR(VLOOKUP(B21, fechaMEC, 3, FALSE), "Clase Normal")</f>
        <v/>
      </c>
      <c r="E21" s="46" t="n"/>
      <c r="H21" s="44" t="n">
        <v>46076</v>
      </c>
      <c r="I21" t="inlineStr">
        <is>
          <t>Inicio de Clases (Sector Oficial)</t>
        </is>
      </c>
      <c r="J21" t="inlineStr">
        <is>
          <t>MEC - INSTITUCIONAL</t>
        </is>
      </c>
    </row>
    <row r="22">
      <c r="A22" s="43">
        <f>+B22</f>
        <v/>
      </c>
      <c r="B22" s="44" t="n">
        <v>46212</v>
      </c>
      <c r="C22" s="48" t="n"/>
      <c r="D22" s="46">
        <f>IFERROR(VLOOKUP(B22, fechaMEC, 3, FALSE), "Clase Normal")</f>
        <v/>
      </c>
      <c r="E22" s="46" t="n"/>
      <c r="H22" s="44" t="n">
        <v>46077</v>
      </c>
      <c r="I22" t="inlineStr">
        <is>
          <t>Día de la Mujer Paraguaya (Homenaje a las Residentas)</t>
        </is>
      </c>
      <c r="J22" t="inlineStr">
        <is>
          <t>Dia para conmemorar</t>
        </is>
      </c>
    </row>
    <row r="23">
      <c r="A23" s="43">
        <f>+B23</f>
        <v/>
      </c>
      <c r="B23" s="44" t="n">
        <v>46219</v>
      </c>
      <c r="C23" s="49" t="inlineStr">
        <is>
          <t>Vacaciones de Invierno</t>
        </is>
      </c>
      <c r="D23" s="46">
        <f>IFERROR(VLOOKUP(B23, fechaMEC, 3, FALSE), "Clase Normal")</f>
        <v/>
      </c>
      <c r="E23" s="50">
        <f>IFERROR(VLOOKUP(B23, fechaMEC, 2, FALSE), "Ejecutado")</f>
        <v/>
      </c>
      <c r="H23" s="44" t="n">
        <v>46082</v>
      </c>
      <c r="I23" t="inlineStr">
        <is>
          <t>Día de los Héroes</t>
        </is>
      </c>
      <c r="J23" t="inlineStr">
        <is>
          <t>Feriado Nacional</t>
        </is>
      </c>
    </row>
    <row r="24">
      <c r="A24" s="43">
        <f>+B24</f>
        <v/>
      </c>
      <c r="B24" s="44" t="n">
        <v>46226</v>
      </c>
      <c r="C24" s="49" t="inlineStr">
        <is>
          <t>Vacaciones de Invierno</t>
        </is>
      </c>
      <c r="D24" s="46">
        <f>IFERROR(VLOOKUP(B24, fechaMEC, 3, FALSE), "Clase Normal")</f>
        <v/>
      </c>
      <c r="E24" s="50">
        <f>IFERROR(VLOOKUP(B24, fechaMEC, 2, FALSE), "Ejecutado")</f>
        <v/>
      </c>
      <c r="H24" s="44" t="n">
        <v>46082</v>
      </c>
      <c r="I24" t="inlineStr">
        <is>
          <t>Día de los Héroes (Muerte del Mcal. López en Cerro Corá)</t>
        </is>
      </c>
      <c r="J24" t="inlineStr">
        <is>
          <t>Dia para conmemorar</t>
        </is>
      </c>
    </row>
    <row r="25" ht="29.25" customHeight="1">
      <c r="A25" s="43">
        <f>+B25</f>
        <v/>
      </c>
      <c r="B25" s="44" t="n">
        <v>46233</v>
      </c>
      <c r="C25" s="48" t="n"/>
      <c r="D25" s="46">
        <f>IFERROR(VLOOKUP(B25, fechaMEC, 3, FALSE), "Clase Normal")</f>
        <v/>
      </c>
      <c r="E25" s="46" t="n"/>
      <c r="H25" s="44" t="n">
        <v>46102</v>
      </c>
      <c r="I25" t="inlineStr">
        <is>
          <t>Día Mundial de la Poesía y Día del Síndrome de Down</t>
        </is>
      </c>
      <c r="J25" t="inlineStr">
        <is>
          <t>Dia para conmemorar</t>
        </is>
      </c>
    </row>
    <row r="26">
      <c r="A26" s="43">
        <f>+B26</f>
        <v/>
      </c>
      <c r="B26" s="44" t="n">
        <v>46240</v>
      </c>
      <c r="C26" s="48" t="n"/>
      <c r="D26" s="46">
        <f>IFERROR(VLOOKUP(B26, fechaMEC, 3, FALSE), "Clase Normal")</f>
        <v/>
      </c>
      <c r="E26" s="46" t="n"/>
      <c r="H26" s="44" t="n">
        <v>46114</v>
      </c>
      <c r="I26" t="inlineStr">
        <is>
          <t>Jueves Santo (Receso)</t>
        </is>
      </c>
      <c r="J26" t="inlineStr">
        <is>
          <t>Feriado Nacional</t>
        </is>
      </c>
    </row>
    <row r="27">
      <c r="A27" s="43">
        <f>+B27</f>
        <v/>
      </c>
      <c r="B27" s="44" t="n">
        <v>46247</v>
      </c>
      <c r="C27" s="48" t="n"/>
      <c r="D27" s="46">
        <f>IFERROR(VLOOKUP(B27, fechaMEC, 3, FALSE), "Clase Normal")</f>
        <v/>
      </c>
      <c r="E27" s="46">
        <f>IFERROR(VLOOKUP(B27, fechaMEC, 2, FALSE), "Ejecutado")</f>
        <v/>
      </c>
      <c r="H27" s="44" t="n">
        <v>46115</v>
      </c>
      <c r="I27" t="inlineStr">
        <is>
          <t>Viernes Santo (Receso)</t>
        </is>
      </c>
      <c r="J27" t="inlineStr">
        <is>
          <t>Feriado Nacional</t>
        </is>
      </c>
    </row>
    <row r="28">
      <c r="A28" s="43">
        <f>+B28</f>
        <v/>
      </c>
      <c r="B28" s="44" t="n">
        <v>46254</v>
      </c>
      <c r="C28" s="48" t="n"/>
      <c r="D28" s="46">
        <f>IFERROR(VLOOKUP(B28, fechaMEC, 3, FALSE), "Clase Normal")</f>
        <v/>
      </c>
      <c r="E28" s="46" t="n"/>
      <c r="H28" s="44" t="n">
        <v>46135</v>
      </c>
      <c r="I28" t="inlineStr">
        <is>
          <t>Día del Libro y del Derecho de Autor</t>
        </is>
      </c>
      <c r="J28" t="inlineStr">
        <is>
          <t>Dia para conmemorar</t>
        </is>
      </c>
    </row>
    <row r="29">
      <c r="A29" s="43">
        <f>+B29</f>
        <v/>
      </c>
      <c r="B29" s="44" t="n">
        <v>46261</v>
      </c>
      <c r="C29" s="48" t="n"/>
      <c r="D29" s="46">
        <f>IFERROR(VLOOKUP(B29, fechaMEC, 3, FALSE), "Clase Normal")</f>
        <v/>
      </c>
      <c r="E29" s="46" t="n"/>
      <c r="H29" s="44" t="n">
        <v>46138</v>
      </c>
      <c r="I29" t="inlineStr">
        <is>
          <t>Día del Periodista (Muerte de Santiago Leguizamón)</t>
        </is>
      </c>
      <c r="J29" t="inlineStr">
        <is>
          <t>Dia para conmemorar</t>
        </is>
      </c>
    </row>
    <row r="30">
      <c r="A30" s="43">
        <f>+B30</f>
        <v/>
      </c>
      <c r="B30" s="44" t="n">
        <v>46268</v>
      </c>
      <c r="C30" s="48" t="n"/>
      <c r="D30" s="46">
        <f>IFERROR(VLOOKUP(B30, fechaMEC, 3, FALSE), "Clase Normal")</f>
        <v/>
      </c>
      <c r="E30" s="46" t="n"/>
      <c r="H30" s="44" t="n">
        <v>46142</v>
      </c>
      <c r="I30" t="inlineStr">
        <is>
          <t>Día del Maestro (En Paraguay)</t>
        </is>
      </c>
      <c r="J30" t="inlineStr">
        <is>
          <t>Dia para conmemorar</t>
        </is>
      </c>
    </row>
    <row r="31">
      <c r="A31" s="43">
        <f>+B31</f>
        <v/>
      </c>
      <c r="B31" s="44" t="n">
        <v>46275</v>
      </c>
      <c r="C31" s="48" t="n"/>
      <c r="D31" s="46">
        <f>IFERROR(VLOOKUP(B31, fechaMEC, 3, FALSE), "Clase Normal")</f>
        <v/>
      </c>
      <c r="E31" s="46" t="n"/>
      <c r="H31" s="44" t="n">
        <v>46143</v>
      </c>
      <c r="I31" t="inlineStr">
        <is>
          <t>Día de los Trabajadores</t>
        </is>
      </c>
      <c r="J31" t="inlineStr">
        <is>
          <t>Feriado Nacional</t>
        </is>
      </c>
    </row>
    <row r="32">
      <c r="A32" s="43">
        <f>+B32</f>
        <v/>
      </c>
      <c r="B32" s="44" t="n">
        <v>46282</v>
      </c>
      <c r="C32" s="48" t="n"/>
      <c r="D32" s="46">
        <f>IFERROR(VLOOKUP(B32, fechaMEC, 3, FALSE), "Clase Normal")</f>
        <v/>
      </c>
      <c r="E32" s="46" t="n"/>
      <c r="H32" s="44" t="n">
        <v>46156</v>
      </c>
      <c r="I32" t="inlineStr">
        <is>
          <t>Día de la Independencia Nacional</t>
        </is>
      </c>
      <c r="J32" t="inlineStr">
        <is>
          <t>Feriado Nacional</t>
        </is>
      </c>
    </row>
    <row r="33">
      <c r="A33" s="43">
        <f>+B33</f>
        <v/>
      </c>
      <c r="B33" s="44" t="n">
        <v>46289</v>
      </c>
      <c r="C33" s="48" t="n"/>
      <c r="D33" s="46">
        <f>IFERROR(VLOOKUP(B33, fechaMEC, 3, FALSE), "Clase Normal")</f>
        <v/>
      </c>
      <c r="E33" s="46" t="n"/>
      <c r="H33" s="44" t="n">
        <v>46156</v>
      </c>
      <c r="I33" t="inlineStr">
        <is>
          <t>Día de la Madre</t>
        </is>
      </c>
      <c r="J33" t="inlineStr">
        <is>
          <t>Dia para conmemorar</t>
        </is>
      </c>
    </row>
    <row r="34">
      <c r="A34" s="43">
        <f>+B34</f>
        <v/>
      </c>
      <c r="B34" s="44" t="n">
        <v>46296</v>
      </c>
      <c r="C34" s="48" t="n"/>
      <c r="D34" s="46">
        <f>IFERROR(VLOOKUP(B34, fechaMEC, 3, FALSE), "Clase Normal")</f>
        <v/>
      </c>
      <c r="E34" s="46" t="n"/>
      <c r="H34" s="44" t="n">
        <v>46157</v>
      </c>
      <c r="I34" t="inlineStr">
        <is>
          <t>Día de la Independencia Nacional</t>
        </is>
      </c>
      <c r="J34" t="inlineStr">
        <is>
          <t>Feriado Nacional</t>
        </is>
      </c>
    </row>
    <row r="35">
      <c r="A35" s="43">
        <f>+B35</f>
        <v/>
      </c>
      <c r="B35" s="44" t="n">
        <v>46303</v>
      </c>
      <c r="C35" s="51" t="inlineStr">
        <is>
          <t>Examen Segunda Etapa</t>
        </is>
      </c>
      <c r="D35" s="46">
        <f>IFERROR(VLOOKUP(B35, fechaMEC, 3, FALSE), "Clase Normal")</f>
        <v/>
      </c>
      <c r="E35" s="46" t="n"/>
      <c r="H35" s="44" t="n">
        <v>46157</v>
      </c>
      <c r="I35" t="inlineStr">
        <is>
          <t>Día de la Independencia Nacional</t>
        </is>
      </c>
      <c r="J35" t="inlineStr">
        <is>
          <t>Dia para conmemorar</t>
        </is>
      </c>
    </row>
    <row r="36">
      <c r="A36" s="43">
        <f>+B36</f>
        <v/>
      </c>
      <c r="B36" s="44" t="n">
        <v>46310</v>
      </c>
      <c r="C36" s="48" t="n"/>
      <c r="D36" s="46">
        <f>IFERROR(VLOOKUP(B36, fechaMEC, 3, FALSE), "Clase Normal")</f>
        <v/>
      </c>
      <c r="E36" s="46" t="n"/>
      <c r="H36" s="44" t="n">
        <v>46171</v>
      </c>
      <c r="I36" t="inlineStr">
        <is>
          <t>Día del Ejército Paraguayo</t>
        </is>
      </c>
      <c r="J36" t="inlineStr">
        <is>
          <t>Dia para conmemorar</t>
        </is>
      </c>
    </row>
    <row r="37">
      <c r="A37" s="43">
        <f>+B37</f>
        <v/>
      </c>
      <c r="B37" s="44" t="n">
        <v>46317</v>
      </c>
      <c r="C37" s="48" t="n"/>
      <c r="D37" s="46">
        <f>IFERROR(VLOOKUP(B37, fechaMEC, 3, FALSE), "Clase Normal")</f>
        <v/>
      </c>
      <c r="E37" s="46">
        <f>IFERROR(VLOOKUP(B37, fechaMEC, 2, FALSE), "Ejecutado")</f>
        <v/>
      </c>
      <c r="H37" s="44" t="n">
        <v>46185</v>
      </c>
      <c r="I37" t="inlineStr">
        <is>
          <t>Paz del Chaco</t>
        </is>
      </c>
      <c r="J37" t="inlineStr">
        <is>
          <t>Feriado Nacional</t>
        </is>
      </c>
    </row>
    <row r="38">
      <c r="A38" s="43">
        <f>+B38</f>
        <v/>
      </c>
      <c r="B38" s="44" t="n">
        <v>46324</v>
      </c>
      <c r="C38" s="48" t="n"/>
      <c r="D38" s="46">
        <f>IFERROR(VLOOKUP(B38, fechaMEC, 3, FALSE), "Clase Normal")</f>
        <v/>
      </c>
      <c r="E38" s="46" t="n"/>
      <c r="H38" s="44" t="n">
        <v>46185</v>
      </c>
      <c r="I38" t="inlineStr">
        <is>
          <t>Paz del Chaco (Firma del Protocolo de Paz, 1935)</t>
        </is>
      </c>
      <c r="J38" t="inlineStr">
        <is>
          <t>Asueto - Departamental / Desfile</t>
        </is>
      </c>
    </row>
    <row r="39">
      <c r="A39" s="43">
        <f>+B39</f>
        <v/>
      </c>
      <c r="B39" s="44" t="n">
        <v>46331</v>
      </c>
      <c r="C39" s="48" t="n"/>
      <c r="D39" s="46">
        <f>IFERROR(VLOOKUP(B39, fechaMEC, 3, FALSE), "Clase Normal")</f>
        <v/>
      </c>
      <c r="E39" s="46" t="n"/>
      <c r="H39" s="44" t="n">
        <v>46192</v>
      </c>
      <c r="I39" t="inlineStr">
        <is>
          <t>Día del Árbol (En Paraguay)</t>
        </is>
      </c>
      <c r="J39" t="inlineStr">
        <is>
          <t>Clase Normal</t>
        </is>
      </c>
    </row>
    <row r="40">
      <c r="A40" s="43">
        <f>+B40</f>
        <v/>
      </c>
      <c r="B40" s="44" t="n">
        <v>46338</v>
      </c>
      <c r="C40" s="48" t="n"/>
      <c r="D40" s="46">
        <f>IFERROR(VLOOKUP(B40, fechaMEC, 3, FALSE), "Clase Normal")</f>
        <v/>
      </c>
      <c r="E40" s="46" t="n"/>
      <c r="H40" s="44" t="n">
        <v>46216</v>
      </c>
      <c r="I40" t="inlineStr">
        <is>
          <t>Inicio Vacaciones de Invierno</t>
        </is>
      </c>
      <c r="J40" t="inlineStr">
        <is>
          <t>MEC - VACACIONES</t>
        </is>
      </c>
    </row>
    <row r="41">
      <c r="A41" s="43">
        <f>+B41</f>
        <v/>
      </c>
      <c r="B41" s="44" t="n">
        <v>46345</v>
      </c>
      <c r="C41" s="48" t="n"/>
      <c r="D41" s="46">
        <f>IFERROR(VLOOKUP(B41, fechaMEC, 3, FALSE), "Clase Normal")</f>
        <v/>
      </c>
      <c r="E41" s="46" t="n"/>
      <c r="G41" s="18" t="n"/>
      <c r="H41" s="44" t="n">
        <v>46217</v>
      </c>
      <c r="I41" t="inlineStr">
        <is>
          <t>Inicio Vacaciones de Invierno</t>
        </is>
      </c>
      <c r="J41" t="inlineStr">
        <is>
          <t>MEC - VACACIONES</t>
        </is>
      </c>
    </row>
    <row r="42">
      <c r="A42" s="43">
        <f>+B42</f>
        <v/>
      </c>
      <c r="B42" s="44" t="n">
        <v>46352</v>
      </c>
      <c r="C42" s="48" t="n"/>
      <c r="D42" s="46">
        <f>IFERROR(VLOOKUP(B42, fechaMEC, 3, FALSE), "Clase Normal")</f>
        <v/>
      </c>
      <c r="E42" s="46" t="n"/>
      <c r="H42" s="44" t="n">
        <v>46218</v>
      </c>
      <c r="I42" t="inlineStr">
        <is>
          <t>Inicio Vacaciones de Invierno</t>
        </is>
      </c>
      <c r="J42" t="inlineStr">
        <is>
          <t>MEC - VACACIONES</t>
        </is>
      </c>
    </row>
    <row r="43" ht="4.5" customHeight="1">
      <c r="B43" s="52" t="n"/>
      <c r="C43" s="53" t="n"/>
      <c r="D43" s="54" t="n"/>
      <c r="E43" s="54" t="n"/>
      <c r="H43" s="44" t="n">
        <v>46219</v>
      </c>
      <c r="I43" t="inlineStr">
        <is>
          <t>Inicio Vacaciones de Invierno</t>
        </is>
      </c>
      <c r="J43" t="inlineStr">
        <is>
          <t>MEC - VACACIONES</t>
        </is>
      </c>
    </row>
    <row r="44">
      <c r="H44" s="44" t="n">
        <v>46220</v>
      </c>
      <c r="I44" t="inlineStr">
        <is>
          <t>Inicio Vacaciones de Invierno</t>
        </is>
      </c>
      <c r="J44" t="inlineStr">
        <is>
          <t>MEC - VACACIONES</t>
        </is>
      </c>
    </row>
    <row r="45">
      <c r="H45" s="44" t="n">
        <v>46221</v>
      </c>
      <c r="I45" t="inlineStr">
        <is>
          <t>Inicio Vacaciones de Invierno</t>
        </is>
      </c>
      <c r="J45" t="inlineStr">
        <is>
          <t>MEC - VACACIONES</t>
        </is>
      </c>
    </row>
    <row r="46">
      <c r="H46" s="44" t="n">
        <v>46222</v>
      </c>
      <c r="I46" t="inlineStr">
        <is>
          <t>Inicio Vacaciones de Invierno</t>
        </is>
      </c>
      <c r="J46" t="inlineStr">
        <is>
          <t>MEC - VACACIONES</t>
        </is>
      </c>
    </row>
    <row r="47">
      <c r="H47" s="44" t="n">
        <v>46223</v>
      </c>
      <c r="I47" t="inlineStr">
        <is>
          <t>Inicio Vacaciones de Invierno</t>
        </is>
      </c>
      <c r="J47" t="inlineStr">
        <is>
          <t>MEC - VACACIONES</t>
        </is>
      </c>
    </row>
    <row r="48">
      <c r="H48" s="44" t="n">
        <v>46224</v>
      </c>
      <c r="I48" t="inlineStr">
        <is>
          <t>Inicio Vacaciones de Invierno</t>
        </is>
      </c>
      <c r="J48" t="inlineStr">
        <is>
          <t>MEC - VACACIONES</t>
        </is>
      </c>
    </row>
    <row r="49">
      <c r="H49" s="44" t="n">
        <v>46225</v>
      </c>
      <c r="I49" t="inlineStr">
        <is>
          <t>Inicio Vacaciones de Invierno</t>
        </is>
      </c>
      <c r="J49" t="inlineStr">
        <is>
          <t>MEC - VACACIONES</t>
        </is>
      </c>
    </row>
    <row r="50">
      <c r="H50" s="44" t="n">
        <v>46226</v>
      </c>
      <c r="I50" t="inlineStr">
        <is>
          <t>Inicio Vacaciones de Invierno</t>
        </is>
      </c>
      <c r="J50" t="inlineStr">
        <is>
          <t>MEC - VACACIONES</t>
        </is>
      </c>
    </row>
    <row r="51">
      <c r="H51" s="44" t="n">
        <v>46227</v>
      </c>
      <c r="I51" t="inlineStr">
        <is>
          <t>Fin Vacaciones de Invierno</t>
        </is>
      </c>
      <c r="J51" t="inlineStr">
        <is>
          <t>MEC - VACACIONES</t>
        </is>
      </c>
    </row>
    <row r="52">
      <c r="H52" s="44" t="n">
        <v>46227</v>
      </c>
      <c r="I52" t="inlineStr">
        <is>
          <t>Natalicio del Mcal. Francisco Solano López</t>
        </is>
      </c>
      <c r="J52" t="inlineStr">
        <is>
          <t>Dia para conmemorar</t>
        </is>
      </c>
    </row>
    <row r="53">
      <c r="H53" s="44" t="n">
        <v>46233</v>
      </c>
      <c r="I53" t="inlineStr">
        <is>
          <t>Día de la Amistad (Cruzada Mundial de la Amistad)</t>
        </is>
      </c>
      <c r="J53" t="inlineStr">
        <is>
          <t>Dia para conmemorar</t>
        </is>
      </c>
    </row>
    <row r="54">
      <c r="H54" s="44" t="n">
        <v>46248</v>
      </c>
      <c r="I54" t="inlineStr">
        <is>
          <t>Día de la Bandera</t>
        </is>
      </c>
      <c r="J54" t="inlineStr">
        <is>
          <t>Dia para conmemorar</t>
        </is>
      </c>
    </row>
    <row r="55">
      <c r="H55" s="44" t="n">
        <v>46249</v>
      </c>
      <c r="I55" t="inlineStr">
        <is>
          <t>Fundación de Asunción</t>
        </is>
      </c>
      <c r="J55" t="inlineStr">
        <is>
          <t>Feriado Nacional</t>
        </is>
      </c>
    </row>
    <row r="56">
      <c r="H56" s="44" t="n">
        <v>46249</v>
      </c>
      <c r="I56" t="inlineStr">
        <is>
          <t>Fundación de Asunción y Día del Niño (En Paraguay)</t>
        </is>
      </c>
      <c r="J56" t="inlineStr">
        <is>
          <t>Dia para conmemorar</t>
        </is>
      </c>
    </row>
    <row r="57">
      <c r="H57" s="44" t="n">
        <v>46250</v>
      </c>
      <c r="I57" t="inlineStr">
        <is>
          <t>Día de los Niños Mártires de Acosta Ñu</t>
        </is>
      </c>
      <c r="J57" t="inlineStr">
        <is>
          <t>Dia para conmemorar</t>
        </is>
      </c>
    </row>
    <row r="58">
      <c r="H58" s="44" t="n">
        <v>46256</v>
      </c>
      <c r="I58" t="inlineStr">
        <is>
          <t>Día del Folklore Paraguayo</t>
        </is>
      </c>
      <c r="J58" t="inlineStr">
        <is>
          <t>Dia para conmemorar</t>
        </is>
      </c>
    </row>
    <row r="59">
      <c r="H59" s="44" t="n">
        <v>46259</v>
      </c>
      <c r="I59" t="inlineStr">
        <is>
          <t>Día del Idioma Guaraní</t>
        </is>
      </c>
      <c r="J59" t="inlineStr">
        <is>
          <t>Dia para conmemorar</t>
        </is>
      </c>
    </row>
    <row r="60">
      <c r="H60" s="44" t="n">
        <v>46286</v>
      </c>
      <c r="I60" t="inlineStr">
        <is>
          <t>Día de la Juventud y de la Primavera</t>
        </is>
      </c>
      <c r="J60" t="inlineStr">
        <is>
          <t>Clase Normal</t>
        </is>
      </c>
    </row>
    <row r="61">
      <c r="H61" s="44" t="n">
        <v>46294</v>
      </c>
      <c r="I61" t="inlineStr">
        <is>
          <t>Victoria de Boquerón</t>
        </is>
      </c>
      <c r="J61" t="inlineStr">
        <is>
          <t>Feriado Nacional</t>
        </is>
      </c>
    </row>
    <row r="62">
      <c r="H62" s="44" t="n">
        <v>46294</v>
      </c>
      <c r="I62" t="inlineStr">
        <is>
          <t>Batalla de Boquerón (Victoria paraguaya, 1932)</t>
        </is>
      </c>
      <c r="J62" t="inlineStr">
        <is>
          <t>Dia para conmemorar</t>
        </is>
      </c>
    </row>
    <row r="63">
      <c r="H63" s="44" t="n">
        <v>46307</v>
      </c>
      <c r="I63" t="inlineStr">
        <is>
          <t>Día de la Raza (Descubrimiento de América)</t>
        </is>
      </c>
      <c r="J63" t="inlineStr">
        <is>
          <t>Dia para conmemorar</t>
        </is>
      </c>
    </row>
    <row r="64">
      <c r="H64" s="44" t="n">
        <v>46318</v>
      </c>
      <c r="I64" t="inlineStr">
        <is>
          <t>Día del Diseñador Gráfico y del Radiooperador</t>
        </is>
      </c>
      <c r="J64" t="inlineStr">
        <is>
          <t>Dia para conmemorar</t>
        </is>
      </c>
    </row>
    <row r="65">
      <c r="H65" s="44" t="n">
        <v>46351</v>
      </c>
      <c r="I65" t="inlineStr">
        <is>
          <t>Día Internacional de la Eliminación de la Violencia contra la Mujer</t>
        </is>
      </c>
      <c r="J65" t="inlineStr">
        <is>
          <t>Dia para conmemorar</t>
        </is>
      </c>
    </row>
    <row r="66">
      <c r="H66" s="44" t="n">
        <v>46356</v>
      </c>
      <c r="I66" t="inlineStr">
        <is>
          <t>Finalización de Clases</t>
        </is>
      </c>
      <c r="J66" t="inlineStr">
        <is>
          <t>MEC - CIERRE PEDAGOGICAS</t>
        </is>
      </c>
    </row>
    <row r="67">
      <c r="H67" s="44" t="n">
        <v>46364</v>
      </c>
      <c r="I67" t="inlineStr">
        <is>
          <t>Día de la Virgen de Caacupé</t>
        </is>
      </c>
      <c r="J67" t="inlineStr">
        <is>
          <t>Feriado Nacional</t>
        </is>
      </c>
    </row>
    <row r="68">
      <c r="H68" s="44" t="n">
        <v>46367</v>
      </c>
      <c r="I68" t="inlineStr">
        <is>
          <t>Cierre de Actividades Administrativas</t>
        </is>
      </c>
      <c r="J68" t="inlineStr">
        <is>
          <t>MEC - CIERRE ADM.</t>
        </is>
      </c>
    </row>
    <row r="69">
      <c r="H69" s="44" t="n">
        <v>46381</v>
      </c>
      <c r="I69" t="inlineStr">
        <is>
          <t>Navidad</t>
        </is>
      </c>
      <c r="J69" t="inlineStr">
        <is>
          <t>Feriado Nacional</t>
        </is>
      </c>
    </row>
  </sheetData>
  <mergeCells count="1">
    <mergeCell ref="B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N17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3.7109375" customWidth="1" min="6" max="6"/>
    <col width="10.7109375" customWidth="1" min="144" max="144"/>
  </cols>
  <sheetData>
    <row r="1" ht="6" customHeight="1"/>
    <row r="2" ht="21" customHeight="1">
      <c r="C2" s="55" t="inlineStr">
        <is>
          <t>PLANILLA DE ASISTENCIA</t>
        </is>
      </c>
      <c r="D2" s="56">
        <f>+AVERAGE(D4:D17)</f>
        <v/>
      </c>
      <c r="E2" s="57" t="n"/>
      <c r="I2" s="21" t="inlineStr">
        <is>
          <t>CIENCIAS NATURALES</t>
        </is>
      </c>
      <c r="O2" s="58" t="inlineStr">
        <is>
          <t>SEPTIMO</t>
        </is>
      </c>
      <c r="R2" s="59" t="n"/>
      <c r="S2" s="59" t="inlineStr">
        <is>
          <t>TT</t>
        </is>
      </c>
      <c r="T2" s="60" t="n">
        <v>2026</v>
      </c>
      <c r="U2" s="61" t="n"/>
      <c r="V2" s="61" t="n"/>
    </row>
    <row r="3" ht="61.5" customHeight="1">
      <c r="A3" s="62" t="inlineStr">
        <is>
          <t>N° Orden</t>
        </is>
      </c>
      <c r="B3" s="62" t="n"/>
      <c r="C3" s="62" t="inlineStr">
        <is>
          <t>Apellido/s Nombre/s</t>
        </is>
      </c>
      <c r="D3" s="63" t="inlineStr">
        <is>
          <t>% DE ASISTENCIA</t>
        </is>
      </c>
      <c r="E3" s="64" t="inlineStr">
        <is>
          <t>FIRMAS</t>
        </is>
      </c>
      <c r="F3" s="65" t="n">
        <v>46079</v>
      </c>
      <c r="G3" s="65" t="n">
        <v>46086</v>
      </c>
      <c r="H3" s="65" t="n">
        <v>46093</v>
      </c>
      <c r="I3" s="65" t="n">
        <v>46100</v>
      </c>
      <c r="J3" s="65" t="n">
        <v>46107</v>
      </c>
      <c r="K3" s="65" t="n">
        <v>46114</v>
      </c>
      <c r="L3" s="65" t="n">
        <v>46121</v>
      </c>
      <c r="M3" s="65" t="n">
        <v>46128</v>
      </c>
      <c r="N3" s="65" t="n">
        <v>46135</v>
      </c>
      <c r="O3" s="65" t="n">
        <v>46142</v>
      </c>
      <c r="P3" s="65" t="n">
        <v>46149</v>
      </c>
      <c r="Q3" s="65" t="n">
        <v>46156</v>
      </c>
      <c r="R3" s="65" t="n">
        <v>46163</v>
      </c>
      <c r="S3" s="65" t="n">
        <v>46170</v>
      </c>
      <c r="T3" s="65" t="n">
        <v>46177</v>
      </c>
      <c r="U3" s="65" t="n">
        <v>46184</v>
      </c>
      <c r="V3" s="65" t="n">
        <v>46191</v>
      </c>
      <c r="W3" s="65" t="n">
        <v>46198</v>
      </c>
      <c r="X3" s="65" t="n">
        <v>46205</v>
      </c>
      <c r="Y3" s="65" t="n">
        <v>46212</v>
      </c>
      <c r="Z3" s="65" t="n">
        <v>46219</v>
      </c>
      <c r="AA3" s="65" t="n">
        <v>46226</v>
      </c>
      <c r="AB3" s="65" t="n">
        <v>46233</v>
      </c>
      <c r="AC3" s="65" t="n">
        <v>46240</v>
      </c>
      <c r="AD3" s="65" t="n">
        <v>46247</v>
      </c>
      <c r="AE3" s="65" t="n">
        <v>46254</v>
      </c>
      <c r="AF3" s="65" t="n">
        <v>46261</v>
      </c>
      <c r="AG3" s="65" t="n">
        <v>46268</v>
      </c>
      <c r="AH3" s="65" t="n">
        <v>46275</v>
      </c>
      <c r="AI3" s="65" t="n">
        <v>46282</v>
      </c>
      <c r="AJ3" s="65" t="n">
        <v>46289</v>
      </c>
      <c r="AK3" s="65" t="n">
        <v>46296</v>
      </c>
      <c r="AL3" s="65" t="n">
        <v>46303</v>
      </c>
      <c r="AM3" s="65" t="n">
        <v>46310</v>
      </c>
      <c r="AN3" s="65" t="n">
        <v>46317</v>
      </c>
      <c r="AO3" s="65" t="n">
        <v>46324</v>
      </c>
      <c r="AP3" s="65" t="n">
        <v>46331</v>
      </c>
      <c r="AQ3" s="65" t="n">
        <v>46338</v>
      </c>
      <c r="AR3" s="65" t="n">
        <v>46345</v>
      </c>
      <c r="AS3" s="65" t="n">
        <v>46352</v>
      </c>
      <c r="EN3" s="66">
        <f>+TODAY()</f>
        <v/>
      </c>
    </row>
    <row r="4" ht="15.75" customHeight="1">
      <c r="A4" s="67" t="n">
        <v>1</v>
      </c>
      <c r="B4" s="67" t="n"/>
      <c r="C4" s="68">
        <f>+'Datos '!H1</f>
        <v/>
      </c>
      <c r="D4" s="69">
        <f>_xlfn.LET(_xlpm.rango, F4:AJ4, (COUNTIF(_xlpm.rango, "P") + COUNTIF(_xlpm.rango, "PF")) / (COUNTIF(_xlpm.rango, "P") + COUNTIF(_xlpm.rango, "A") + COUNTIF(_xlpm.rango, "PF")))</f>
        <v/>
      </c>
      <c r="E4" s="70">
        <f>COUNTIF(F4:W4,"PF")</f>
        <v/>
      </c>
      <c r="F4" s="71" t="inlineStr">
        <is>
          <t>P</t>
        </is>
      </c>
      <c r="G4" s="71" t="inlineStr">
        <is>
          <t>PF</t>
        </is>
      </c>
      <c r="H4" s="71" t="inlineStr">
        <is>
          <t>P</t>
        </is>
      </c>
      <c r="I4" s="71" t="inlineStr">
        <is>
          <t>PF</t>
        </is>
      </c>
      <c r="J4" s="71" t="inlineStr">
        <is>
          <t>P</t>
        </is>
      </c>
      <c r="K4" s="71" t="inlineStr">
        <is>
          <t>F</t>
        </is>
      </c>
      <c r="L4" s="71" t="inlineStr">
        <is>
          <t>PF</t>
        </is>
      </c>
      <c r="M4" s="71" t="inlineStr">
        <is>
          <t>PF</t>
        </is>
      </c>
      <c r="N4" s="71" t="n"/>
      <c r="O4" s="71" t="n"/>
      <c r="P4" s="71" t="n"/>
      <c r="Q4" s="71" t="inlineStr">
        <is>
          <t>F</t>
        </is>
      </c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  <c r="AG4" s="71" t="n"/>
      <c r="AH4" s="71" t="n"/>
      <c r="AI4" s="71" t="n"/>
      <c r="AJ4" s="71" t="n"/>
    </row>
    <row r="5" ht="15.75" customHeight="1">
      <c r="A5" s="67" t="n">
        <v>2</v>
      </c>
      <c r="B5" s="67" t="n"/>
      <c r="C5" s="68">
        <f>+'Datos '!H2</f>
        <v/>
      </c>
      <c r="D5" s="69">
        <f>_xlfn.LET(_xlpm.rango, F5:AJ5, (COUNTIF(_xlpm.rango, "P") + COUNTIF(_xlpm.rango, "PF")) / (COUNTIF(_xlpm.rango, "P") + COUNTIF(_xlpm.rango, "A") + COUNTIF(_xlpm.rango, "PF")))</f>
        <v/>
      </c>
      <c r="E5" s="70">
        <f>COUNTIF(F5:W5,"PF")</f>
        <v/>
      </c>
      <c r="F5" s="71" t="inlineStr">
        <is>
          <t>P</t>
        </is>
      </c>
      <c r="G5" s="71" t="inlineStr">
        <is>
          <t>PF</t>
        </is>
      </c>
      <c r="H5" s="71" t="inlineStr">
        <is>
          <t>P</t>
        </is>
      </c>
      <c r="I5" s="71" t="inlineStr">
        <is>
          <t>PF</t>
        </is>
      </c>
      <c r="J5" s="71" t="inlineStr">
        <is>
          <t>P</t>
        </is>
      </c>
      <c r="K5" s="71" t="inlineStr">
        <is>
          <t>F</t>
        </is>
      </c>
      <c r="L5" s="71" t="inlineStr">
        <is>
          <t>PF</t>
        </is>
      </c>
      <c r="M5" s="71" t="inlineStr">
        <is>
          <t>P</t>
        </is>
      </c>
      <c r="N5" s="71" t="n"/>
      <c r="O5" s="71" t="n"/>
      <c r="P5" s="71" t="n"/>
      <c r="Q5" s="71" t="inlineStr">
        <is>
          <t>F</t>
        </is>
      </c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  <c r="AI5" s="71" t="n"/>
      <c r="AJ5" s="71" t="n"/>
    </row>
    <row r="6" ht="15.75" customHeight="1">
      <c r="A6" s="67" t="n">
        <v>3</v>
      </c>
      <c r="B6" s="67" t="n"/>
      <c r="C6" s="68">
        <f>+'Datos '!H3</f>
        <v/>
      </c>
      <c r="D6" s="69">
        <f>_xlfn.LET(_xlpm.rango, F6:AJ6, (COUNTIF(_xlpm.rango, "P") + COUNTIF(_xlpm.rango, "PF")) / (COUNTIF(_xlpm.rango, "P") + COUNTIF(_xlpm.rango, "A") + COUNTIF(_xlpm.rango, "PF")))</f>
        <v/>
      </c>
      <c r="E6" s="70">
        <f>COUNTIF(F6:W6,"PF")</f>
        <v/>
      </c>
      <c r="F6" s="71" t="inlineStr">
        <is>
          <t>P</t>
        </is>
      </c>
      <c r="G6" s="71" t="inlineStr">
        <is>
          <t>PF</t>
        </is>
      </c>
      <c r="H6" s="71" t="inlineStr">
        <is>
          <t>P</t>
        </is>
      </c>
      <c r="I6" s="71" t="inlineStr">
        <is>
          <t>PF</t>
        </is>
      </c>
      <c r="J6" s="71" t="inlineStr">
        <is>
          <t>P</t>
        </is>
      </c>
      <c r="K6" s="71" t="inlineStr">
        <is>
          <t>F</t>
        </is>
      </c>
      <c r="L6" s="71" t="inlineStr">
        <is>
          <t>PF</t>
        </is>
      </c>
      <c r="M6" s="71" t="inlineStr">
        <is>
          <t>P</t>
        </is>
      </c>
      <c r="N6" s="71" t="n"/>
      <c r="O6" s="71" t="n"/>
      <c r="P6" s="71" t="n"/>
      <c r="Q6" s="71" t="inlineStr">
        <is>
          <t>F</t>
        </is>
      </c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  <c r="AI6" s="71" t="n"/>
      <c r="AJ6" s="71" t="n"/>
    </row>
    <row r="7" ht="15.75" customHeight="1">
      <c r="A7" s="67" t="n">
        <v>4</v>
      </c>
      <c r="B7" s="67" t="n"/>
      <c r="C7" s="68">
        <f>+'Datos '!H4</f>
        <v/>
      </c>
      <c r="D7" s="69">
        <f>_xlfn.LET(_xlpm.rango, F7:AJ7, (COUNTIF(_xlpm.rango, "P") + COUNTIF(_xlpm.rango, "PF")) / (COUNTIF(_xlpm.rango, "P") + COUNTIF(_xlpm.rango, "A") + COUNTIF(_xlpm.rango, "PF")))</f>
        <v/>
      </c>
      <c r="E7" s="70">
        <f>COUNTIF(F7:W7,"PF")</f>
        <v/>
      </c>
      <c r="F7" s="71" t="inlineStr">
        <is>
          <t>P</t>
        </is>
      </c>
      <c r="G7" s="71" t="inlineStr">
        <is>
          <t>PF</t>
        </is>
      </c>
      <c r="H7" s="71" t="inlineStr">
        <is>
          <t>P</t>
        </is>
      </c>
      <c r="I7" s="71" t="inlineStr">
        <is>
          <t>PF</t>
        </is>
      </c>
      <c r="J7" s="71" t="inlineStr">
        <is>
          <t>P</t>
        </is>
      </c>
      <c r="K7" s="71" t="inlineStr">
        <is>
          <t>F</t>
        </is>
      </c>
      <c r="L7" s="71" t="inlineStr">
        <is>
          <t>PF</t>
        </is>
      </c>
      <c r="M7" s="71" t="inlineStr">
        <is>
          <t>PF</t>
        </is>
      </c>
      <c r="N7" s="71" t="n"/>
      <c r="O7" s="71" t="n"/>
      <c r="P7" s="71" t="n"/>
      <c r="Q7" s="71" t="inlineStr">
        <is>
          <t>F</t>
        </is>
      </c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  <c r="AI7" s="71" t="n"/>
      <c r="AJ7" s="71" t="n"/>
    </row>
    <row r="8" ht="15.75" customHeight="1">
      <c r="A8" s="67" t="n">
        <v>5</v>
      </c>
      <c r="B8" s="67" t="n"/>
      <c r="C8" s="68">
        <f>+'Datos '!H5</f>
        <v/>
      </c>
      <c r="D8" s="69">
        <f>_xlfn.LET(_xlpm.rango, F8:AJ8, (COUNTIF(_xlpm.rango, "P") + COUNTIF(_xlpm.rango, "PF")) / (COUNTIF(_xlpm.rango, "P") + COUNTIF(_xlpm.rango, "A") + COUNTIF(_xlpm.rango, "PF")))</f>
        <v/>
      </c>
      <c r="E8" s="70">
        <f>COUNTIF(F8:W8,"PF")</f>
        <v/>
      </c>
      <c r="F8" s="71" t="inlineStr">
        <is>
          <t>P</t>
        </is>
      </c>
      <c r="G8" s="71" t="inlineStr">
        <is>
          <t>PF</t>
        </is>
      </c>
      <c r="H8" s="71" t="inlineStr">
        <is>
          <t>P</t>
        </is>
      </c>
      <c r="I8" s="71" t="inlineStr">
        <is>
          <t>PF</t>
        </is>
      </c>
      <c r="J8" s="71" t="inlineStr">
        <is>
          <t>P</t>
        </is>
      </c>
      <c r="K8" s="71" t="inlineStr">
        <is>
          <t>F</t>
        </is>
      </c>
      <c r="L8" s="71" t="inlineStr">
        <is>
          <t>PF</t>
        </is>
      </c>
      <c r="M8" s="71" t="inlineStr">
        <is>
          <t>PF</t>
        </is>
      </c>
      <c r="N8" s="71" t="n"/>
      <c r="O8" s="71" t="n"/>
      <c r="P8" s="71" t="n"/>
      <c r="Q8" s="71" t="inlineStr">
        <is>
          <t>F</t>
        </is>
      </c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</row>
    <row r="9" ht="15.75" customHeight="1">
      <c r="A9" s="67" t="n">
        <v>6</v>
      </c>
      <c r="B9" s="67" t="n"/>
      <c r="C9" s="68">
        <f>+'Datos '!H6</f>
        <v/>
      </c>
      <c r="D9" s="69">
        <f>_xlfn.LET(_xlpm.rango, F9:AJ9, (COUNTIF(_xlpm.rango, "P") + COUNTIF(_xlpm.rango, "PF")) / (COUNTIF(_xlpm.rango, "P") + COUNTIF(_xlpm.rango, "A") + COUNTIF(_xlpm.rango, "PF")))</f>
        <v/>
      </c>
      <c r="E9" s="70">
        <f>COUNTIF(F9:W9,"PF")</f>
        <v/>
      </c>
      <c r="F9" s="71" t="inlineStr">
        <is>
          <t>P</t>
        </is>
      </c>
      <c r="G9" s="71" t="inlineStr">
        <is>
          <t>PF</t>
        </is>
      </c>
      <c r="H9" s="71" t="inlineStr">
        <is>
          <t>P</t>
        </is>
      </c>
      <c r="I9" s="71" t="inlineStr">
        <is>
          <t>PF</t>
        </is>
      </c>
      <c r="J9" s="71" t="inlineStr">
        <is>
          <t>P</t>
        </is>
      </c>
      <c r="K9" s="71" t="inlineStr">
        <is>
          <t>F</t>
        </is>
      </c>
      <c r="L9" s="71" t="inlineStr">
        <is>
          <t>PF</t>
        </is>
      </c>
      <c r="M9" s="71" t="inlineStr">
        <is>
          <t>P</t>
        </is>
      </c>
      <c r="N9" s="71" t="n"/>
      <c r="O9" s="71" t="n"/>
      <c r="P9" s="71" t="n"/>
      <c r="Q9" s="71" t="inlineStr">
        <is>
          <t>F</t>
        </is>
      </c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</row>
    <row r="10" ht="15.75" customHeight="1">
      <c r="A10" s="67" t="n">
        <v>7</v>
      </c>
      <c r="B10" s="67" t="n"/>
      <c r="C10" s="68">
        <f>+'Datos '!H7</f>
        <v/>
      </c>
      <c r="D10" s="69">
        <f>_xlfn.LET(_xlpm.rango, F10:AJ10, (COUNTIF(_xlpm.rango, "P") + COUNTIF(_xlpm.rango, "PF")) / (COUNTIF(_xlpm.rango, "P") + COUNTIF(_xlpm.rango, "A") + COUNTIF(_xlpm.rango, "PF")))</f>
        <v/>
      </c>
      <c r="E10" s="70">
        <f>COUNTIF(F10:W10,"PF")</f>
        <v/>
      </c>
      <c r="F10" s="71" t="inlineStr">
        <is>
          <t>P</t>
        </is>
      </c>
      <c r="G10" s="71" t="inlineStr">
        <is>
          <t>PF</t>
        </is>
      </c>
      <c r="H10" s="71" t="inlineStr">
        <is>
          <t>P</t>
        </is>
      </c>
      <c r="I10" s="71" t="inlineStr">
        <is>
          <t>PF</t>
        </is>
      </c>
      <c r="J10" s="71" t="inlineStr">
        <is>
          <t>P</t>
        </is>
      </c>
      <c r="K10" s="71" t="inlineStr">
        <is>
          <t>F</t>
        </is>
      </c>
      <c r="L10" s="71" t="inlineStr">
        <is>
          <t>PF</t>
        </is>
      </c>
      <c r="M10" s="71" t="inlineStr">
        <is>
          <t>PF</t>
        </is>
      </c>
      <c r="N10" s="71" t="n"/>
      <c r="O10" s="71" t="n"/>
      <c r="P10" s="71" t="n"/>
      <c r="Q10" s="71" t="inlineStr">
        <is>
          <t>F</t>
        </is>
      </c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  <c r="AJ10" s="71" t="n"/>
    </row>
    <row r="11" ht="15.75" customHeight="1">
      <c r="A11" s="67" t="n">
        <v>8</v>
      </c>
      <c r="B11" s="67" t="n"/>
      <c r="C11" s="68">
        <f>+'Datos '!H8</f>
        <v/>
      </c>
      <c r="D11" s="69">
        <f>_xlfn.LET(_xlpm.rango, F11:AJ11, (COUNTIF(_xlpm.rango, "P") + COUNTIF(_xlpm.rango, "PF")) / (COUNTIF(_xlpm.rango, "P") + COUNTIF(_xlpm.rango, "A") + COUNTIF(_xlpm.rango, "PF")))</f>
        <v/>
      </c>
      <c r="E11" s="70">
        <f>COUNTIF(F11:W11,"PF")</f>
        <v/>
      </c>
      <c r="F11" s="71" t="inlineStr">
        <is>
          <t>P</t>
        </is>
      </c>
      <c r="G11" s="71" t="inlineStr">
        <is>
          <t>PF</t>
        </is>
      </c>
      <c r="H11" s="71" t="inlineStr">
        <is>
          <t>P</t>
        </is>
      </c>
      <c r="I11" s="71" t="inlineStr">
        <is>
          <t>PF</t>
        </is>
      </c>
      <c r="J11" s="71" t="inlineStr">
        <is>
          <t>P</t>
        </is>
      </c>
      <c r="K11" s="71" t="inlineStr">
        <is>
          <t>F</t>
        </is>
      </c>
      <c r="L11" s="71" t="inlineStr">
        <is>
          <t>PF</t>
        </is>
      </c>
      <c r="M11" s="71" t="inlineStr">
        <is>
          <t>P</t>
        </is>
      </c>
      <c r="N11" s="71" t="n"/>
      <c r="O11" s="71" t="n"/>
      <c r="P11" s="71" t="n"/>
      <c r="Q11" s="71" t="inlineStr">
        <is>
          <t>F</t>
        </is>
      </c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  <c r="AI11" s="71" t="n"/>
      <c r="AJ11" s="71" t="n"/>
    </row>
    <row r="12" ht="15.75" customHeight="1">
      <c r="A12" s="67" t="n">
        <v>9</v>
      </c>
      <c r="B12" s="67" t="inlineStr">
        <is>
          <t>D</t>
        </is>
      </c>
      <c r="C12" s="68">
        <f>+'Datos '!H9</f>
        <v/>
      </c>
      <c r="D12" s="69">
        <f>_xlfn.LET(_xlpm.rango, F12:AJ12, (COUNTIF(_xlpm.rango, "P") + COUNTIF(_xlpm.rango, "PF")) / (COUNTIF(_xlpm.rango, "P") + COUNTIF(_xlpm.rango, "A") + COUNTIF(_xlpm.rango, "PF")))</f>
        <v/>
      </c>
      <c r="E12" s="70">
        <f>COUNTIF(F12:W12,"PF")</f>
        <v/>
      </c>
      <c r="F12" s="71" t="inlineStr">
        <is>
          <t>P</t>
        </is>
      </c>
      <c r="G12" s="71" t="inlineStr">
        <is>
          <t>PF</t>
        </is>
      </c>
      <c r="H12" s="71" t="inlineStr">
        <is>
          <t>P</t>
        </is>
      </c>
      <c r="I12" s="71" t="inlineStr">
        <is>
          <t>PF</t>
        </is>
      </c>
      <c r="J12" s="71" t="inlineStr">
        <is>
          <t>P</t>
        </is>
      </c>
      <c r="K12" s="71" t="inlineStr">
        <is>
          <t>F</t>
        </is>
      </c>
      <c r="L12" s="71" t="inlineStr">
        <is>
          <t>PF</t>
        </is>
      </c>
      <c r="M12" s="71" t="inlineStr">
        <is>
          <t>PF</t>
        </is>
      </c>
      <c r="N12" s="71" t="n"/>
      <c r="O12" s="71" t="n"/>
      <c r="P12" s="71" t="n"/>
      <c r="Q12" s="71" t="inlineStr">
        <is>
          <t>F</t>
        </is>
      </c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</row>
    <row r="13" ht="15.75" customHeight="1">
      <c r="A13" s="67" t="n">
        <v>10</v>
      </c>
      <c r="B13" s="67" t="n"/>
      <c r="C13" s="68">
        <f>+'Datos '!H10</f>
        <v/>
      </c>
      <c r="D13" s="69">
        <f>_xlfn.LET(_xlpm.rango, F13:AJ13, (COUNTIF(_xlpm.rango, "P") + COUNTIF(_xlpm.rango, "PF")) / (COUNTIF(_xlpm.rango, "P") + COUNTIF(_xlpm.rango, "A") + COUNTIF(_xlpm.rango, "PF")))</f>
        <v/>
      </c>
      <c r="E13" s="70">
        <f>COUNTIF(F13:W13,"PF")</f>
        <v/>
      </c>
      <c r="F13" s="71" t="inlineStr">
        <is>
          <t>P</t>
        </is>
      </c>
      <c r="G13" s="71" t="inlineStr">
        <is>
          <t>PF</t>
        </is>
      </c>
      <c r="H13" s="71" t="inlineStr">
        <is>
          <t>P</t>
        </is>
      </c>
      <c r="I13" s="71" t="inlineStr">
        <is>
          <t>PF</t>
        </is>
      </c>
      <c r="J13" s="71" t="inlineStr">
        <is>
          <t>P</t>
        </is>
      </c>
      <c r="K13" s="71" t="inlineStr">
        <is>
          <t>F</t>
        </is>
      </c>
      <c r="L13" s="71" t="inlineStr">
        <is>
          <t>PF</t>
        </is>
      </c>
      <c r="M13" s="71" t="inlineStr">
        <is>
          <t>PF</t>
        </is>
      </c>
      <c r="N13" s="71" t="n"/>
      <c r="O13" s="71" t="n"/>
      <c r="P13" s="71" t="n"/>
      <c r="Q13" s="71" t="inlineStr">
        <is>
          <t>F</t>
        </is>
      </c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</row>
    <row r="14" ht="15.75" customHeight="1">
      <c r="A14" s="67" t="n">
        <v>11</v>
      </c>
      <c r="B14" s="67" t="n"/>
      <c r="C14" s="68">
        <f>+'Datos '!H11</f>
        <v/>
      </c>
      <c r="D14" s="69">
        <f>_xlfn.LET(_xlpm.rango, F14:AJ14, (COUNTIF(_xlpm.rango, "P") + COUNTIF(_xlpm.rango, "PF")) / (COUNTIF(_xlpm.rango, "P") + COUNTIF(_xlpm.rango, "A") + COUNTIF(_xlpm.rango, "PF")))</f>
        <v/>
      </c>
      <c r="E14" s="70">
        <f>COUNTIF(F14:W14,"PF")</f>
        <v/>
      </c>
      <c r="F14" s="71" t="inlineStr">
        <is>
          <t>P</t>
        </is>
      </c>
      <c r="G14" s="71" t="inlineStr">
        <is>
          <t>PF</t>
        </is>
      </c>
      <c r="H14" s="71" t="inlineStr">
        <is>
          <t>P</t>
        </is>
      </c>
      <c r="I14" s="71" t="inlineStr">
        <is>
          <t>PF</t>
        </is>
      </c>
      <c r="J14" s="71" t="inlineStr">
        <is>
          <t>P</t>
        </is>
      </c>
      <c r="K14" s="71" t="inlineStr">
        <is>
          <t>F</t>
        </is>
      </c>
      <c r="L14" s="71" t="inlineStr">
        <is>
          <t>PF</t>
        </is>
      </c>
      <c r="M14" s="71" t="inlineStr">
        <is>
          <t>PF</t>
        </is>
      </c>
      <c r="N14" s="71" t="n"/>
      <c r="O14" s="71" t="n"/>
      <c r="P14" s="71" t="n"/>
      <c r="Q14" s="71" t="inlineStr">
        <is>
          <t>F</t>
        </is>
      </c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</row>
    <row r="15" ht="15.75" customHeight="1">
      <c r="A15" s="67" t="n">
        <v>12</v>
      </c>
      <c r="B15" s="67" t="n"/>
      <c r="C15" s="68">
        <f>+'Datos '!H12</f>
        <v/>
      </c>
      <c r="D15" s="69">
        <f>_xlfn.LET(_xlpm.rango, F15:AJ15, (COUNTIF(_xlpm.rango, "P") + COUNTIF(_xlpm.rango, "PF")) / (COUNTIF(_xlpm.rango, "P") + COUNTIF(_xlpm.rango, "A") + COUNTIF(_xlpm.rango, "PF")))</f>
        <v/>
      </c>
      <c r="E15" s="70">
        <f>COUNTIF(F15:W15,"PF")</f>
        <v/>
      </c>
      <c r="F15" s="71" t="inlineStr">
        <is>
          <t>P</t>
        </is>
      </c>
      <c r="G15" s="71" t="inlineStr">
        <is>
          <t>PF</t>
        </is>
      </c>
      <c r="H15" s="71" t="inlineStr">
        <is>
          <t>P</t>
        </is>
      </c>
      <c r="I15" s="71" t="inlineStr">
        <is>
          <t>PF</t>
        </is>
      </c>
      <c r="J15" s="71" t="inlineStr">
        <is>
          <t>P</t>
        </is>
      </c>
      <c r="K15" s="71" t="inlineStr">
        <is>
          <t>F</t>
        </is>
      </c>
      <c r="L15" s="71" t="inlineStr">
        <is>
          <t>PF</t>
        </is>
      </c>
      <c r="M15" s="71" t="inlineStr">
        <is>
          <t>PF</t>
        </is>
      </c>
      <c r="N15" s="71" t="n"/>
      <c r="O15" s="71" t="n"/>
      <c r="P15" s="71" t="n"/>
      <c r="Q15" s="71" t="inlineStr">
        <is>
          <t>F</t>
        </is>
      </c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</row>
    <row r="16" ht="15.75" customHeight="1">
      <c r="A16" s="67" t="n">
        <v>13</v>
      </c>
      <c r="B16" s="67" t="n"/>
      <c r="C16" s="68">
        <f>+'Datos '!H13</f>
        <v/>
      </c>
      <c r="D16" s="69">
        <f>_xlfn.LET(_xlpm.rango, F16:AJ16, (COUNTIF(_xlpm.rango, "P") + COUNTIF(_xlpm.rango, "PF")) / (COUNTIF(_xlpm.rango, "P") + COUNTIF(_xlpm.rango, "A") + COUNTIF(_xlpm.rango, "PF")))</f>
        <v/>
      </c>
      <c r="E16" s="70">
        <f>COUNTIF(F16:W16,"PF")</f>
        <v/>
      </c>
      <c r="F16" s="71" t="inlineStr">
        <is>
          <t>P</t>
        </is>
      </c>
      <c r="G16" s="71" t="inlineStr">
        <is>
          <t>PF</t>
        </is>
      </c>
      <c r="H16" s="71" t="inlineStr">
        <is>
          <t>P</t>
        </is>
      </c>
      <c r="I16" s="71" t="inlineStr">
        <is>
          <t>PF</t>
        </is>
      </c>
      <c r="J16" s="71" t="inlineStr">
        <is>
          <t>P</t>
        </is>
      </c>
      <c r="K16" s="71" t="inlineStr">
        <is>
          <t>F</t>
        </is>
      </c>
      <c r="L16" s="71" t="inlineStr">
        <is>
          <t>PF</t>
        </is>
      </c>
      <c r="M16" s="71" t="inlineStr">
        <is>
          <t>P</t>
        </is>
      </c>
      <c r="N16" s="71" t="n"/>
      <c r="O16" s="71" t="n"/>
      <c r="P16" s="71" t="n"/>
      <c r="Q16" s="71" t="inlineStr">
        <is>
          <t>F</t>
        </is>
      </c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</row>
    <row r="17" ht="15.75" customHeight="1">
      <c r="A17" s="67" t="n">
        <v>14</v>
      </c>
      <c r="B17" s="67" t="n"/>
      <c r="C17" s="68">
        <f>+'Datos '!H14</f>
        <v/>
      </c>
      <c r="D17" s="69">
        <f>_xlfn.LET(_xlpm.rango, F17:AJ17, (COUNTIF(_xlpm.rango, "P") + COUNTIF(_xlpm.rango, "PF")) / (COUNTIF(_xlpm.rango, "P") + COUNTIF(_xlpm.rango, "A") + COUNTIF(_xlpm.rango, "PF")))</f>
        <v/>
      </c>
      <c r="E17" s="70">
        <f>COUNTIF(F17:W17,"PF")</f>
        <v/>
      </c>
      <c r="F17" s="71" t="inlineStr">
        <is>
          <t>P</t>
        </is>
      </c>
      <c r="G17" s="71" t="inlineStr">
        <is>
          <t>PF</t>
        </is>
      </c>
      <c r="H17" s="71" t="inlineStr">
        <is>
          <t>P</t>
        </is>
      </c>
      <c r="I17" s="71" t="inlineStr">
        <is>
          <t>PF</t>
        </is>
      </c>
      <c r="J17" s="71" t="inlineStr">
        <is>
          <t>P</t>
        </is>
      </c>
      <c r="K17" s="71" t="inlineStr">
        <is>
          <t>F</t>
        </is>
      </c>
      <c r="L17" s="71" t="inlineStr">
        <is>
          <t>PF</t>
        </is>
      </c>
      <c r="M17" s="71" t="inlineStr">
        <is>
          <t>PFP</t>
        </is>
      </c>
      <c r="N17" s="71" t="n"/>
      <c r="O17" s="71" t="n"/>
      <c r="P17" s="71" t="n"/>
      <c r="Q17" s="71" t="inlineStr">
        <is>
          <t>F</t>
        </is>
      </c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</row>
  </sheetData>
  <mergeCells count="1">
    <mergeCell ref="T2:V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3" customWidth="1" min="1" max="1"/>
    <col width="39.85546875" customWidth="1" min="2" max="2"/>
    <col width="11.7109375" customWidth="1" min="3" max="3"/>
    <col width="12" customWidth="1" min="4" max="4"/>
    <col width="13.140625" customWidth="1" min="5" max="5"/>
    <col width="14.140625" customWidth="1" min="6" max="6"/>
    <col width="11.5703125" customWidth="1" min="7" max="7"/>
    <col width="12.140625" customWidth="1" min="8" max="8"/>
    <col width="9.7109375" customWidth="1" min="9" max="9"/>
    <col width="12.140625" customWidth="1" min="10" max="10"/>
    <col width="11.28515625" customWidth="1" min="11" max="11"/>
    <col width="12.140625" customWidth="1" min="12" max="12"/>
    <col width="10.7109375" customWidth="1" min="13" max="13"/>
    <col width="10.28515625" customWidth="1" min="14" max="14"/>
    <col width="10.5703125" customWidth="1" min="16" max="16"/>
    <col width="11.85546875" customWidth="1" min="17" max="17"/>
    <col width="10.28515625" customWidth="1" min="18" max="18"/>
    <col width="15.140625" customWidth="1" min="19" max="19"/>
    <col width="10.7109375" customWidth="1" min="20" max="20"/>
    <col width="15" customWidth="1" min="21" max="21"/>
    <col width="10.85546875" customWidth="1" min="22" max="22"/>
    <col width="9.7109375" customWidth="1" min="23" max="23"/>
    <col width="9.85546875" customWidth="1" min="24" max="24"/>
    <col width="11.5703125" customWidth="1" min="25" max="25"/>
    <col width="13" customWidth="1" min="26" max="26"/>
    <col width="14.140625" customWidth="1" min="27" max="27"/>
  </cols>
  <sheetData>
    <row r="1" ht="15.75" customHeight="1">
      <c r="C1" s="74" t="n"/>
      <c r="D1" s="39" t="n"/>
      <c r="E1" s="39" t="n"/>
      <c r="F1" s="40" t="n"/>
      <c r="G1" s="74" t="n"/>
      <c r="H1" s="75" t="n"/>
      <c r="I1" s="39" t="n"/>
      <c r="J1" s="39" t="n"/>
      <c r="K1" s="40" t="n"/>
      <c r="L1" s="76" t="n"/>
      <c r="M1" s="40" t="n"/>
      <c r="N1" s="75" t="n"/>
      <c r="O1" s="75" t="inlineStr">
        <is>
          <t>Promoción de la Salud</t>
        </is>
      </c>
      <c r="P1" s="40" t="n"/>
    </row>
    <row r="2" ht="69" customHeight="1">
      <c r="A2" s="77" t="inlineStr">
        <is>
          <t>ID</t>
        </is>
      </c>
      <c r="B2" s="77" t="inlineStr">
        <is>
          <t>Nombre del Alumno</t>
        </is>
      </c>
      <c r="C2" s="78" t="inlineStr">
        <is>
          <t>- Identifica principios éticos y morales.</t>
        </is>
      </c>
      <c r="D2" s="78" t="inlineStr">
        <is>
          <t>- Diferencia moral y moralidad.</t>
        </is>
      </c>
      <c r="E2" s="78" t="inlineStr">
        <is>
          <t>- Reconoce problemáticas éticas globales.</t>
        </is>
      </c>
      <c r="F2" s="78" t="inlineStr">
        <is>
          <t>- Analiza causas de la mortalidad infantil.</t>
        </is>
      </c>
      <c r="G2" s="78" t="inlineStr">
        <is>
          <t>- Valora el código de convivencia.</t>
        </is>
      </c>
      <c r="H2" s="78" t="inlineStr">
        <is>
          <t>- Propone normas de respeto mutuo.</t>
        </is>
      </c>
      <c r="I2" s="78" t="inlineStr">
        <is>
          <t>- Define tipos de bullying.</t>
        </is>
      </c>
      <c r="J2" s="79" t="inlineStr">
        <is>
          <t>- Identifica consecuencias psicológicas.</t>
        </is>
      </c>
      <c r="K2" s="79" t="inlineStr">
        <is>
          <t>- Propone acciones de prevención.</t>
        </is>
      </c>
      <c r="L2" s="79" t="inlineStr">
        <is>
          <t>- Diferencia mediación de negociación.</t>
        </is>
      </c>
      <c r="M2" s="79" t="inlineStr">
        <is>
          <t>- Aplica pasos de la negociación asertiva.</t>
        </is>
      </c>
      <c r="N2" s="80" t="inlineStr">
        <is>
          <t>- Define el concepto de canasta básica.</t>
        </is>
      </c>
      <c r="O2" s="80" t="inlineStr">
        <is>
          <t>- Analiza el impacto de la pobreza.</t>
        </is>
      </c>
      <c r="P2" s="80" t="inlineStr">
        <is>
          <t>- Identifica tipos de violencia familiar.</t>
        </is>
      </c>
      <c r="Q2" s="80" t="inlineStr">
        <is>
          <t>- Conoce rutas de denuncia en Paraguay.</t>
        </is>
      </c>
      <c r="R2" s="79" t="inlineStr">
        <is>
          <t>- Explica la universalidad de los derechos.</t>
        </is>
      </c>
      <c r="S2" s="79" t="inlineStr">
        <is>
          <t>- Distingue progresividad de irreversibilidad.</t>
        </is>
      </c>
      <c r="T2" s="79" t="inlineStr">
        <is>
          <t>- Reconoce formas de explotación infantil.</t>
        </is>
      </c>
      <c r="U2" s="79" t="inlineStr">
        <is>
          <t>- Valora la protección contra el trabajo forzado.</t>
        </is>
      </c>
      <c r="V2" s="80" t="inlineStr">
        <is>
          <t>- Identifica factores de exclusión femenina.</t>
        </is>
      </c>
      <c r="W2" s="80" t="inlineStr">
        <is>
          <t>- Propone acciones para la igualdad.</t>
        </is>
      </c>
      <c r="X2" s="80" t="inlineStr">
        <is>
          <t>- Identifica la función tributaria.</t>
        </is>
      </c>
      <c r="Y2" s="80" t="inlineStr">
        <is>
          <t>- Valora la función social de los tributos.</t>
        </is>
      </c>
      <c r="Z2" s="80" t="inlineStr">
        <is>
          <t>- Reconoce funciones del Ministerio de Hacienda.</t>
        </is>
      </c>
      <c r="AA2" s="80" t="inlineStr">
        <is>
          <t>- Diferencia roles de Intendentes y Gobernadores.</t>
        </is>
      </c>
    </row>
    <row r="3">
      <c r="A3" s="81" t="n">
        <v>1</v>
      </c>
      <c r="B3" s="81">
        <f>+'03-ASISTENCIA'!C3</f>
        <v/>
      </c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82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</row>
    <row r="4">
      <c r="A4" s="81" t="n">
        <v>2</v>
      </c>
      <c r="B4" s="81">
        <f>+'03-ASISTENCIA'!C4</f>
        <v/>
      </c>
      <c r="C4" s="82" t="n">
        <v>1</v>
      </c>
      <c r="D4" s="82" t="n">
        <v>1</v>
      </c>
      <c r="E4" s="82" t="n">
        <v>1</v>
      </c>
      <c r="F4" s="82" t="n"/>
      <c r="G4" s="82" t="n"/>
      <c r="H4" s="82" t="n">
        <v>1</v>
      </c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</row>
    <row r="5">
      <c r="A5" s="81" t="n">
        <v>3</v>
      </c>
      <c r="B5" s="81">
        <f>+'03-ASISTENCIA'!C5</f>
        <v/>
      </c>
      <c r="C5" s="82" t="n">
        <v>1</v>
      </c>
      <c r="D5" s="82" t="n">
        <v>1</v>
      </c>
      <c r="E5" s="82" t="n">
        <v>1</v>
      </c>
      <c r="F5" s="82" t="n"/>
      <c r="G5" s="82" t="n"/>
      <c r="H5" s="82" t="n">
        <v>1</v>
      </c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</row>
    <row r="6">
      <c r="A6" s="81" t="n">
        <v>4</v>
      </c>
      <c r="B6" s="81">
        <f>+'03-ASISTENCIA'!C6</f>
        <v/>
      </c>
      <c r="C6" s="82" t="n">
        <v>1</v>
      </c>
      <c r="D6" s="82" t="n">
        <v>1</v>
      </c>
      <c r="E6" s="82" t="n">
        <v>1</v>
      </c>
      <c r="F6" s="82" t="n"/>
      <c r="G6" s="82" t="n"/>
      <c r="H6" s="82" t="n">
        <v>1</v>
      </c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</row>
    <row r="7">
      <c r="A7" s="81" t="n">
        <v>5</v>
      </c>
      <c r="B7" s="81">
        <f>+'03-ASISTENCIA'!C7</f>
        <v/>
      </c>
      <c r="C7" s="82" t="n">
        <v>1</v>
      </c>
      <c r="D7" s="82" t="n">
        <v>1</v>
      </c>
      <c r="E7" s="82" t="n">
        <v>1</v>
      </c>
      <c r="F7" s="82" t="n"/>
      <c r="G7" s="82" t="n"/>
      <c r="H7" s="82" t="n">
        <v>1</v>
      </c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</row>
    <row r="8">
      <c r="A8" s="81" t="n">
        <v>6</v>
      </c>
      <c r="B8" s="81">
        <f>+'03-ASISTENCIA'!C8</f>
        <v/>
      </c>
      <c r="C8" s="82" t="n">
        <v>1</v>
      </c>
      <c r="D8" s="82" t="n">
        <v>1</v>
      </c>
      <c r="E8" s="82" t="n">
        <v>1</v>
      </c>
      <c r="F8" s="82" t="n"/>
      <c r="G8" s="82" t="n"/>
      <c r="H8" s="82" t="n">
        <v>1</v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</row>
    <row r="9">
      <c r="A9" s="81" t="n">
        <v>7</v>
      </c>
      <c r="B9" s="81">
        <f>+'03-ASISTENCIA'!C9</f>
        <v/>
      </c>
      <c r="C9" s="82" t="n">
        <v>1</v>
      </c>
      <c r="D9" s="82" t="n">
        <v>1</v>
      </c>
      <c r="E9" s="82" t="n">
        <v>1</v>
      </c>
      <c r="F9" s="82" t="n"/>
      <c r="G9" s="82" t="n"/>
      <c r="H9" s="82" t="n">
        <v>1</v>
      </c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</row>
    <row r="10">
      <c r="A10" s="81" t="n">
        <v>8</v>
      </c>
      <c r="B10" s="81">
        <f>+'03-ASISTENCIA'!C10</f>
        <v/>
      </c>
      <c r="C10" s="82" t="n">
        <v>1</v>
      </c>
      <c r="D10" s="82" t="n">
        <v>1</v>
      </c>
      <c r="E10" s="82" t="n">
        <v>1</v>
      </c>
      <c r="F10" s="82" t="n"/>
      <c r="G10" s="82" t="n"/>
      <c r="H10" s="82" t="n">
        <v>1</v>
      </c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</row>
    <row r="11">
      <c r="A11" s="81" t="n">
        <v>9</v>
      </c>
      <c r="B11" s="81">
        <f>+'03-ASISTENCIA'!C11</f>
        <v/>
      </c>
      <c r="C11" s="82" t="n">
        <v>1</v>
      </c>
      <c r="D11" s="82" t="n">
        <v>1</v>
      </c>
      <c r="E11" s="82" t="n">
        <v>1</v>
      </c>
      <c r="F11" s="82" t="n"/>
      <c r="G11" s="82" t="n"/>
      <c r="H11" s="82" t="n">
        <v>1</v>
      </c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</row>
    <row r="12">
      <c r="A12" s="81" t="n">
        <v>10</v>
      </c>
      <c r="B12" s="81">
        <f>+'03-ASISTENCIA'!C12</f>
        <v/>
      </c>
      <c r="C12" s="82" t="n">
        <v>1</v>
      </c>
      <c r="D12" s="82" t="n">
        <v>1</v>
      </c>
      <c r="E12" s="82" t="n">
        <v>1</v>
      </c>
      <c r="F12" s="82" t="n"/>
      <c r="G12" s="82" t="n"/>
      <c r="H12" s="82" t="n">
        <v>1</v>
      </c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</row>
    <row r="13">
      <c r="A13" s="81" t="n">
        <v>11</v>
      </c>
      <c r="B13" s="81">
        <f>+'03-ASISTENCIA'!C13</f>
        <v/>
      </c>
      <c r="C13" s="82" t="n">
        <v>1</v>
      </c>
      <c r="D13" s="82" t="n">
        <v>1</v>
      </c>
      <c r="E13" s="82" t="n">
        <v>1</v>
      </c>
      <c r="F13" s="82" t="n"/>
      <c r="G13" s="82" t="n"/>
      <c r="H13" s="82" t="n">
        <v>1</v>
      </c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2" t="n"/>
      <c r="S13" s="71" t="n"/>
      <c r="T13" s="71" t="n"/>
      <c r="U13" s="71" t="n"/>
      <c r="V13" s="71" t="n"/>
      <c r="W13" s="71" t="n"/>
      <c r="X13" s="71" t="n"/>
      <c r="Y13" s="71" t="n"/>
      <c r="Z13" s="71" t="n"/>
      <c r="AA13" s="71" t="n"/>
    </row>
    <row r="14">
      <c r="A14" s="81" t="n">
        <v>12</v>
      </c>
      <c r="B14" s="81">
        <f>+'03-ASISTENCIA'!C14</f>
        <v/>
      </c>
      <c r="C14" s="82" t="n">
        <v>1</v>
      </c>
      <c r="D14" s="82" t="n">
        <v>1</v>
      </c>
      <c r="E14" s="82" t="n">
        <v>1</v>
      </c>
      <c r="F14" s="82" t="n"/>
      <c r="G14" s="82" t="n"/>
      <c r="H14" s="82" t="n">
        <v>1</v>
      </c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2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</row>
    <row r="15">
      <c r="A15" s="81" t="n">
        <v>13</v>
      </c>
      <c r="B15" s="81">
        <f>+'03-ASISTENCIA'!C15</f>
        <v/>
      </c>
      <c r="C15" s="82" t="n">
        <v>1</v>
      </c>
      <c r="D15" s="82" t="n">
        <v>1</v>
      </c>
      <c r="E15" s="82" t="n">
        <v>1</v>
      </c>
      <c r="F15" s="82" t="n"/>
      <c r="G15" s="82" t="n"/>
      <c r="H15" s="82" t="n">
        <v>1</v>
      </c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2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</row>
    <row r="16">
      <c r="A16" s="81" t="n">
        <v>14</v>
      </c>
      <c r="B16" s="81">
        <f>+'03-ASISTENCIA'!C16</f>
        <v/>
      </c>
      <c r="C16" s="82" t="n">
        <v>1</v>
      </c>
      <c r="D16" s="82" t="n">
        <v>1</v>
      </c>
      <c r="E16" s="82" t="n">
        <v>1</v>
      </c>
      <c r="F16" s="82" t="n"/>
      <c r="G16" s="82" t="n"/>
      <c r="H16" s="82" t="n">
        <v>1</v>
      </c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</row>
    <row r="17">
      <c r="A17" s="81" t="n">
        <v>15</v>
      </c>
      <c r="B17" s="81">
        <f>+'03-ASISTENCIA'!C17</f>
        <v/>
      </c>
      <c r="C17" s="82" t="n">
        <v>1</v>
      </c>
      <c r="D17" s="82" t="n">
        <v>1</v>
      </c>
      <c r="E17" s="82" t="n">
        <v>1</v>
      </c>
      <c r="F17" s="82" t="n"/>
      <c r="G17" s="82" t="n"/>
      <c r="H17" s="82" t="n">
        <v>1</v>
      </c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</row>
  </sheetData>
  <mergeCells count="4">
    <mergeCell ref="L1:M1"/>
    <mergeCell ref="H1:K1"/>
    <mergeCell ref="O1:P1"/>
    <mergeCell ref="C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</cols>
  <sheetData>
    <row r="1">
      <c r="A1" s="84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85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87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87" t="inlineStr">
        <is>
          <t>Total general</t>
        </is>
      </c>
      <c r="C5" t="n">
        <v>1</v>
      </c>
      <c r="E5" s="87" t="inlineStr">
        <is>
          <t>Nombre y Apellido</t>
        </is>
      </c>
      <c r="F5" t="n">
        <v>1</v>
      </c>
      <c r="G5" t="n">
        <v>1</v>
      </c>
    </row>
    <row r="6">
      <c r="E6" s="87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87" t="inlineStr">
        <is>
          <t>Total general</t>
        </is>
      </c>
    </row>
    <row r="10"/>
    <row r="11"/>
    <row r="12">
      <c r="I12" s="86" t="n">
        <v>46136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L18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3.7109375" customWidth="1" min="23" max="23"/>
    <col width="10.7109375" customWidth="1" min="142" max="142"/>
  </cols>
  <sheetData>
    <row r="1" ht="6" customHeight="1"/>
    <row r="2" ht="31.5" customHeight="1">
      <c r="C2" s="55" t="inlineStr">
        <is>
          <t>PLANILLA DE ASISTENCIA</t>
        </is>
      </c>
      <c r="D2" s="56">
        <f>+AVERAGE(D5:D18)</f>
        <v/>
      </c>
      <c r="E2" s="57" t="n"/>
      <c r="F2" s="93" t="n"/>
      <c r="G2" s="93" t="n"/>
      <c r="H2" s="94" t="inlineStr">
        <is>
          <t>CIENCIAS NATURALES</t>
        </is>
      </c>
      <c r="I2" s="61" t="n"/>
      <c r="J2" s="61" t="n"/>
      <c r="K2" s="61" t="n"/>
      <c r="L2" s="61" t="n"/>
      <c r="M2" s="93" t="n"/>
      <c r="N2" s="95" t="inlineStr">
        <is>
          <t>SEPTIMO</t>
        </is>
      </c>
      <c r="O2" s="93" t="n"/>
      <c r="P2" s="93" t="n"/>
      <c r="Q2" s="96" t="n"/>
      <c r="R2" s="96" t="inlineStr">
        <is>
          <t>TT</t>
        </is>
      </c>
      <c r="S2" s="94" t="n">
        <v>2026</v>
      </c>
      <c r="T2" s="61" t="n"/>
      <c r="U2" s="61" t="n"/>
      <c r="V2" s="93" t="n"/>
    </row>
    <row r="3" ht="21.75" customHeight="1">
      <c r="C3" s="55" t="n"/>
      <c r="D3" s="56" t="n"/>
      <c r="E3" s="57" t="n"/>
      <c r="F3" s="93" t="n"/>
      <c r="G3" s="93" t="n"/>
      <c r="H3" s="94" t="n"/>
      <c r="I3" s="94" t="n"/>
      <c r="J3" s="94" t="n"/>
      <c r="K3" s="94" t="n"/>
      <c r="L3" s="94" t="n"/>
      <c r="M3" s="93" t="n"/>
      <c r="N3" s="95" t="n"/>
      <c r="O3" s="93" t="n"/>
      <c r="P3" s="93" t="n"/>
      <c r="Q3" s="96" t="n"/>
      <c r="R3" s="96" t="n"/>
      <c r="S3" s="94" t="n"/>
      <c r="T3" s="94" t="n"/>
      <c r="U3" s="94" t="n"/>
      <c r="V3" s="93" t="n"/>
    </row>
    <row r="4" ht="120.75" customHeight="1">
      <c r="A4" s="62" t="inlineStr">
        <is>
          <t>N° Orden</t>
        </is>
      </c>
      <c r="B4" s="62" t="n"/>
      <c r="C4" s="62" t="inlineStr">
        <is>
          <t>Apellido/s Nombre/s</t>
        </is>
      </c>
      <c r="D4" s="63" t="inlineStr">
        <is>
          <t>% DE ASISTENCIA</t>
        </is>
      </c>
      <c r="E4" s="64" t="inlineStr">
        <is>
          <t>FIRMAS</t>
        </is>
      </c>
      <c r="F4" s="97">
        <f>+'04-RSA'!C2</f>
        <v/>
      </c>
      <c r="G4" s="97">
        <f>+'04-RSA'!D2</f>
        <v/>
      </c>
      <c r="H4" s="97">
        <f>+'04-RSA'!E2</f>
        <v/>
      </c>
      <c r="I4" s="97">
        <f>+'04-RSA'!F2</f>
        <v/>
      </c>
      <c r="J4" s="97">
        <f>+'04-RSA'!G2</f>
        <v/>
      </c>
      <c r="K4" s="97">
        <f>+'04-RSA'!H2</f>
        <v/>
      </c>
      <c r="L4" s="97">
        <f>+'04-RSA'!I2</f>
        <v/>
      </c>
      <c r="M4" s="97">
        <f>+'04-RSA'!J2</f>
        <v/>
      </c>
      <c r="N4" s="97">
        <f>+'04-RSA'!K2</f>
        <v/>
      </c>
      <c r="O4" s="97">
        <f>+'04-RSA'!L2</f>
        <v/>
      </c>
      <c r="P4" s="97">
        <f>+'04-RSA'!M2</f>
        <v/>
      </c>
      <c r="Q4" s="97">
        <f>+'04-RSA'!N2</f>
        <v/>
      </c>
      <c r="R4" s="97">
        <f>+'04-RSA'!O2</f>
        <v/>
      </c>
      <c r="S4" s="97">
        <f>+'04-RSA'!P2</f>
        <v/>
      </c>
      <c r="T4" s="97">
        <f>+'04-RSA'!Q2</f>
        <v/>
      </c>
      <c r="U4" s="97">
        <f>+'04-RSA'!R2</f>
        <v/>
      </c>
      <c r="V4" s="97">
        <f>+'04-RSA'!S2</f>
        <v/>
      </c>
      <c r="W4" s="97">
        <f>+'04-RSA'!T2</f>
        <v/>
      </c>
      <c r="X4" s="97">
        <f>+'04-RSA'!U2</f>
        <v/>
      </c>
      <c r="Y4" s="97">
        <f>+'04-RSA'!V2</f>
        <v/>
      </c>
      <c r="Z4" s="97">
        <f>+'04-RSA'!W2</f>
        <v/>
      </c>
      <c r="AA4" s="97">
        <f>+'04-RSA'!X2</f>
        <v/>
      </c>
      <c r="AB4" s="97">
        <f>+'04-RSA'!Y2</f>
        <v/>
      </c>
      <c r="AC4" s="97">
        <f>+'04-RSA'!Z2</f>
        <v/>
      </c>
      <c r="AD4" s="97">
        <f>+'04-RSA'!AA2</f>
        <v/>
      </c>
      <c r="AE4" s="97">
        <f>+'04-RSA'!AB2</f>
        <v/>
      </c>
      <c r="AF4" s="97">
        <f>+'04-RSA'!AC2</f>
        <v/>
      </c>
      <c r="AG4" s="97">
        <f>+'04-RSA'!AD2</f>
        <v/>
      </c>
      <c r="AH4" s="97">
        <f>+'04-RSA'!AE2</f>
        <v/>
      </c>
      <c r="AI4" s="98" t="n"/>
      <c r="EL4" s="66">
        <f>+TODAY()</f>
        <v/>
      </c>
    </row>
    <row r="5" ht="15.75" customHeight="1">
      <c r="A5" s="67" t="n">
        <v>1</v>
      </c>
      <c r="B5" s="67" t="n"/>
      <c r="C5" s="68">
        <f>+'Datos '!B2</f>
        <v/>
      </c>
      <c r="D5" s="69">
        <f>+'03-ASISTENCIA'!D4</f>
        <v/>
      </c>
      <c r="E5" s="70">
        <f>+'03-ASISTENCIA'!E4</f>
        <v/>
      </c>
      <c r="F5" s="99" t="n">
        <v>1</v>
      </c>
      <c r="G5" s="99" t="n">
        <v>1</v>
      </c>
      <c r="H5" s="99" t="n">
        <v>1</v>
      </c>
      <c r="I5" s="99" t="n">
        <v>1</v>
      </c>
      <c r="J5" s="99" t="n">
        <v>1</v>
      </c>
      <c r="K5" s="99" t="n">
        <v>1</v>
      </c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</row>
    <row r="6" ht="15.75" customHeight="1">
      <c r="A6" s="67" t="n">
        <v>2</v>
      </c>
      <c r="B6" s="67" t="n"/>
      <c r="C6" s="68">
        <f>+'Datos '!B3</f>
        <v/>
      </c>
      <c r="D6" s="69">
        <f>+'03-ASISTENCIA'!D5</f>
        <v/>
      </c>
      <c r="E6" s="70">
        <f>+'03-ASISTENCIA'!E5</f>
        <v/>
      </c>
      <c r="F6" s="99" t="n">
        <v>1</v>
      </c>
      <c r="G6" s="99" t="n">
        <v>1</v>
      </c>
      <c r="H6" s="99" t="n">
        <v>1</v>
      </c>
      <c r="I6" s="99" t="n">
        <v>1</v>
      </c>
      <c r="J6" s="99" t="n">
        <v>1</v>
      </c>
      <c r="K6" s="99" t="n">
        <v>1</v>
      </c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  <c r="AF6" s="71" t="n"/>
      <c r="AG6" s="71" t="n"/>
      <c r="AH6" s="71" t="n"/>
    </row>
    <row r="7" ht="15.75" customHeight="1">
      <c r="A7" s="67" t="n">
        <v>3</v>
      </c>
      <c r="B7" s="67" t="n"/>
      <c r="C7" s="68">
        <f>+'Datos '!B4</f>
        <v/>
      </c>
      <c r="D7" s="69">
        <f>+'03-ASISTENCIA'!D6</f>
        <v/>
      </c>
      <c r="E7" s="70">
        <f>+'03-ASISTENCIA'!E6</f>
        <v/>
      </c>
      <c r="F7" s="99" t="n">
        <v>1</v>
      </c>
      <c r="G7" s="99" t="n">
        <v>1</v>
      </c>
      <c r="H7" s="99" t="n">
        <v>1</v>
      </c>
      <c r="I7" s="99" t="n">
        <v>1</v>
      </c>
      <c r="J7" s="99" t="n">
        <v>1</v>
      </c>
      <c r="K7" s="99" t="n">
        <v>1</v>
      </c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</row>
    <row r="8" ht="15.75" customHeight="1">
      <c r="A8" s="67" t="n">
        <v>4</v>
      </c>
      <c r="B8" s="67" t="n"/>
      <c r="C8" s="68">
        <f>+'Datos '!B5</f>
        <v/>
      </c>
      <c r="D8" s="69">
        <f>+'03-ASISTENCIA'!D7</f>
        <v/>
      </c>
      <c r="E8" s="70">
        <f>+'03-ASISTENCIA'!E7</f>
        <v/>
      </c>
      <c r="F8" s="99" t="n">
        <v>1</v>
      </c>
      <c r="G8" s="99" t="n">
        <v>1</v>
      </c>
      <c r="H8" s="99" t="n">
        <v>1</v>
      </c>
      <c r="I8" s="99" t="n">
        <v>1</v>
      </c>
      <c r="J8" s="99" t="n">
        <v>1</v>
      </c>
      <c r="K8" s="99" t="n">
        <v>1</v>
      </c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</row>
    <row r="9" ht="15.75" customHeight="1">
      <c r="A9" s="67" t="n">
        <v>5</v>
      </c>
      <c r="B9" s="67" t="n"/>
      <c r="C9" s="68">
        <f>+'Datos '!B6</f>
        <v/>
      </c>
      <c r="D9" s="69">
        <f>+'03-ASISTENCIA'!D8</f>
        <v/>
      </c>
      <c r="E9" s="70">
        <f>+'03-ASISTENCIA'!E8</f>
        <v/>
      </c>
      <c r="F9" s="99" t="n">
        <v>1</v>
      </c>
      <c r="G9" s="99" t="n">
        <v>1</v>
      </c>
      <c r="H9" s="99" t="n">
        <v>1</v>
      </c>
      <c r="I9" s="99" t="n">
        <v>1</v>
      </c>
      <c r="J9" s="99" t="n">
        <v>1</v>
      </c>
      <c r="K9" s="99" t="n">
        <v>1</v>
      </c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</row>
    <row r="10" ht="15.75" customHeight="1">
      <c r="A10" s="67" t="n">
        <v>6</v>
      </c>
      <c r="B10" s="67" t="n"/>
      <c r="C10" s="68">
        <f>+'Datos '!B7</f>
        <v/>
      </c>
      <c r="D10" s="69">
        <f>+'03-ASISTENCIA'!D9</f>
        <v/>
      </c>
      <c r="E10" s="70">
        <f>+'03-ASISTENCIA'!E9</f>
        <v/>
      </c>
      <c r="F10" s="99" t="n">
        <v>1</v>
      </c>
      <c r="G10" s="99" t="n">
        <v>1</v>
      </c>
      <c r="H10" s="99" t="n">
        <v>1</v>
      </c>
      <c r="I10" s="99" t="n">
        <v>1</v>
      </c>
      <c r="J10" s="99" t="n">
        <v>1</v>
      </c>
      <c r="K10" s="99" t="n">
        <v>1</v>
      </c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</row>
    <row r="11" ht="15.75" customHeight="1">
      <c r="A11" s="67" t="n">
        <v>7</v>
      </c>
      <c r="B11" s="67" t="n"/>
      <c r="C11" s="68">
        <f>+'Datos '!B8</f>
        <v/>
      </c>
      <c r="D11" s="69">
        <f>+'03-ASISTENCIA'!D10</f>
        <v/>
      </c>
      <c r="E11" s="70">
        <f>+'03-ASISTENCIA'!E10</f>
        <v/>
      </c>
      <c r="F11" s="99" t="n">
        <v>1</v>
      </c>
      <c r="G11" s="99" t="n">
        <v>1</v>
      </c>
      <c r="H11" s="99" t="n">
        <v>1</v>
      </c>
      <c r="I11" s="99" t="n">
        <v>1</v>
      </c>
      <c r="J11" s="99" t="n">
        <v>1</v>
      </c>
      <c r="K11" s="99" t="n">
        <v>1</v>
      </c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</row>
    <row r="12" ht="15.75" customHeight="1">
      <c r="A12" s="67" t="n">
        <v>8</v>
      </c>
      <c r="B12" s="67" t="n"/>
      <c r="C12" s="68">
        <f>+'Datos '!B9</f>
        <v/>
      </c>
      <c r="D12" s="69">
        <f>+'03-ASISTENCIA'!D11</f>
        <v/>
      </c>
      <c r="E12" s="70">
        <f>+'03-ASISTENCIA'!E11</f>
        <v/>
      </c>
      <c r="F12" s="99" t="n">
        <v>1</v>
      </c>
      <c r="G12" s="99" t="n">
        <v>1</v>
      </c>
      <c r="H12" s="99" t="n">
        <v>1</v>
      </c>
      <c r="I12" s="99" t="n">
        <v>1</v>
      </c>
      <c r="J12" s="99" t="n">
        <v>1</v>
      </c>
      <c r="K12" s="99" t="n">
        <v>1</v>
      </c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</row>
    <row r="13" ht="15.75" customHeight="1">
      <c r="A13" s="67" t="n">
        <v>9</v>
      </c>
      <c r="B13" s="67" t="inlineStr">
        <is>
          <t>D</t>
        </is>
      </c>
      <c r="C13" s="68">
        <f>+'Datos '!B10</f>
        <v/>
      </c>
      <c r="D13" s="69">
        <f>+'03-ASISTENCIA'!D12</f>
        <v/>
      </c>
      <c r="E13" s="70">
        <f>+'03-ASISTENCIA'!E12</f>
        <v/>
      </c>
      <c r="F13" s="99" t="n">
        <v>1</v>
      </c>
      <c r="G13" s="99" t="n">
        <v>1</v>
      </c>
      <c r="H13" s="99" t="n">
        <v>1</v>
      </c>
      <c r="I13" s="99" t="n">
        <v>1</v>
      </c>
      <c r="J13" s="99" t="n">
        <v>1</v>
      </c>
      <c r="K13" s="99" t="n">
        <v>1</v>
      </c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71" t="n"/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</row>
    <row r="14" ht="15.75" customHeight="1">
      <c r="A14" s="67" t="n">
        <v>10</v>
      </c>
      <c r="B14" s="67" t="n"/>
      <c r="C14" s="68">
        <f>+'Datos '!B11</f>
        <v/>
      </c>
      <c r="D14" s="69">
        <f>+'03-ASISTENCIA'!D13</f>
        <v/>
      </c>
      <c r="E14" s="70">
        <f>+'03-ASISTENCIA'!E13</f>
        <v/>
      </c>
      <c r="F14" s="99" t="n">
        <v>1</v>
      </c>
      <c r="G14" s="99" t="n">
        <v>1</v>
      </c>
      <c r="H14" s="99" t="n">
        <v>1</v>
      </c>
      <c r="I14" s="99" t="n">
        <v>1</v>
      </c>
      <c r="J14" s="99" t="n">
        <v>1</v>
      </c>
      <c r="K14" s="99" t="n">
        <v>1</v>
      </c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</row>
    <row r="15" ht="15.75" customHeight="1">
      <c r="A15" s="67" t="n">
        <v>11</v>
      </c>
      <c r="B15" s="67" t="n"/>
      <c r="C15" s="68">
        <f>+'Datos '!B12</f>
        <v/>
      </c>
      <c r="D15" s="69">
        <f>+'03-ASISTENCIA'!D14</f>
        <v/>
      </c>
      <c r="E15" s="70">
        <f>+'03-ASISTENCIA'!E14</f>
        <v/>
      </c>
      <c r="F15" s="99" t="n">
        <v>1</v>
      </c>
      <c r="G15" s="99" t="n">
        <v>1</v>
      </c>
      <c r="H15" s="99" t="n">
        <v>1</v>
      </c>
      <c r="I15" s="99" t="n">
        <v>1</v>
      </c>
      <c r="J15" s="99" t="n">
        <v>1</v>
      </c>
      <c r="K15" s="99" t="n">
        <v>1</v>
      </c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</row>
    <row r="16" ht="15.75" customHeight="1">
      <c r="A16" s="67" t="n">
        <v>12</v>
      </c>
      <c r="B16" s="67" t="n"/>
      <c r="C16" s="68">
        <f>+'Datos '!B13</f>
        <v/>
      </c>
      <c r="D16" s="69">
        <f>+'03-ASISTENCIA'!D15</f>
        <v/>
      </c>
      <c r="E16" s="70">
        <f>+'03-ASISTENCIA'!E15</f>
        <v/>
      </c>
      <c r="F16" s="99" t="n">
        <v>1</v>
      </c>
      <c r="G16" s="99" t="n">
        <v>1</v>
      </c>
      <c r="H16" s="99" t="n">
        <v>1</v>
      </c>
      <c r="I16" s="99" t="n">
        <v>1</v>
      </c>
      <c r="J16" s="99" t="n">
        <v>1</v>
      </c>
      <c r="K16" s="99" t="n">
        <v>1</v>
      </c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</row>
    <row r="17" ht="15.75" customHeight="1">
      <c r="A17" s="67" t="n">
        <v>13</v>
      </c>
      <c r="B17" s="67" t="n"/>
      <c r="C17" s="68">
        <f>+'Datos '!B14</f>
        <v/>
      </c>
      <c r="D17" s="69">
        <f>+'03-ASISTENCIA'!D16</f>
        <v/>
      </c>
      <c r="E17" s="70">
        <f>+'03-ASISTENCIA'!E16</f>
        <v/>
      </c>
      <c r="F17" s="99" t="n">
        <v>1</v>
      </c>
      <c r="G17" s="99" t="n">
        <v>1</v>
      </c>
      <c r="H17" s="99" t="n">
        <v>1</v>
      </c>
      <c r="I17" s="99" t="n">
        <v>1</v>
      </c>
      <c r="J17" s="99" t="n">
        <v>1</v>
      </c>
      <c r="K17" s="99" t="n">
        <v>1</v>
      </c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</row>
    <row r="18" ht="15.75" customHeight="1">
      <c r="A18" s="67" t="n">
        <v>14</v>
      </c>
      <c r="B18" s="67" t="n"/>
      <c r="C18" s="68">
        <f>+'Datos '!B15</f>
        <v/>
      </c>
      <c r="D18" s="69">
        <f>+'03-ASISTENCIA'!D17</f>
        <v/>
      </c>
      <c r="E18" s="70">
        <f>+'03-ASISTENCIA'!E17</f>
        <v/>
      </c>
      <c r="F18" s="99" t="n">
        <v>1</v>
      </c>
      <c r="G18" s="99" t="n">
        <v>1</v>
      </c>
      <c r="H18" s="99" t="n">
        <v>1</v>
      </c>
      <c r="I18" s="99" t="n">
        <v>1</v>
      </c>
      <c r="J18" s="99" t="n">
        <v>1</v>
      </c>
      <c r="K18" s="99" t="n">
        <v>1</v>
      </c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</row>
  </sheetData>
  <mergeCells count="2">
    <mergeCell ref="H2:L2"/>
    <mergeCell ref="S2:U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</cols>
  <sheetData>
    <row r="1" ht="30" customHeight="1">
      <c r="A1" s="100" t="inlineStr">
        <is>
          <t>Fecha (DD/MM/YYYY)</t>
        </is>
      </c>
      <c r="B1" s="100" t="inlineStr">
        <is>
          <t>Evento / Conmemoración</t>
        </is>
      </c>
      <c r="C1" s="101" t="inlineStr">
        <is>
          <t>Tipo</t>
        </is>
      </c>
    </row>
    <row r="2">
      <c r="A2" s="102" t="n">
        <v>46023</v>
      </c>
      <c r="B2" s="103" t="inlineStr">
        <is>
          <t>Año Nuevo</t>
        </is>
      </c>
      <c r="C2" s="104" t="inlineStr">
        <is>
          <t>Feriado Nacional</t>
        </is>
      </c>
    </row>
    <row r="3" ht="28.5" customHeight="1">
      <c r="A3" s="102" t="n">
        <v>46063</v>
      </c>
      <c r="B3" s="103" t="inlineStr">
        <is>
          <t>Apertura Institucional y Retorno Docente</t>
        </is>
      </c>
      <c r="C3" s="104" t="inlineStr">
        <is>
          <t>MEC - INSTITUCIONAL</t>
        </is>
      </c>
    </row>
    <row r="4">
      <c r="A4" s="102" t="n">
        <v>46076</v>
      </c>
      <c r="B4" s="100" t="inlineStr">
        <is>
          <t>Inicio de Clases (Sector Oficial)</t>
        </is>
      </c>
      <c r="C4" s="104" t="inlineStr">
        <is>
          <t>MEC - INSTITUCIONAL</t>
        </is>
      </c>
    </row>
    <row r="5" ht="28.5" customHeight="1">
      <c r="A5" s="105" t="n">
        <v>46077</v>
      </c>
      <c r="B5" s="104" t="inlineStr">
        <is>
          <t>Día de la Mujer Paraguaya (Homenaje a las Residentas)</t>
        </is>
      </c>
      <c r="C5" s="104" t="inlineStr">
        <is>
          <t>Dia para conmemorar</t>
        </is>
      </c>
    </row>
    <row r="6">
      <c r="A6" s="102" t="n">
        <v>46082</v>
      </c>
      <c r="B6" s="103" t="inlineStr">
        <is>
          <t>Día de los Héroes</t>
        </is>
      </c>
      <c r="C6" s="104" t="inlineStr">
        <is>
          <t>Feriado Nacional</t>
        </is>
      </c>
    </row>
    <row r="7" ht="28.5" customHeight="1">
      <c r="A7" s="105" t="n">
        <v>46082</v>
      </c>
      <c r="B7" s="104" t="inlineStr">
        <is>
          <t>Día de los Héroes (Muerte del Mcal. López en Cerro Corá)</t>
        </is>
      </c>
      <c r="C7" s="104" t="inlineStr">
        <is>
          <t>Dia para conmemorar</t>
        </is>
      </c>
    </row>
    <row r="8" ht="28.5" customHeight="1">
      <c r="A8" s="105" t="n">
        <v>46102</v>
      </c>
      <c r="B8" s="104" t="inlineStr">
        <is>
          <t>Día Mundial de la Poesía y Día del Síndrome de Down</t>
        </is>
      </c>
      <c r="C8" s="104" t="inlineStr">
        <is>
          <t>Dia para conmemorar</t>
        </is>
      </c>
    </row>
    <row r="9">
      <c r="A9" s="102" t="n">
        <v>46114</v>
      </c>
      <c r="B9" s="103" t="inlineStr">
        <is>
          <t>Jueves Santo (Receso)</t>
        </is>
      </c>
      <c r="C9" s="104" t="inlineStr">
        <is>
          <t>Feriado Nacional</t>
        </is>
      </c>
    </row>
    <row r="10">
      <c r="A10" s="102" t="n">
        <v>46115</v>
      </c>
      <c r="B10" s="103" t="inlineStr">
        <is>
          <t>Viernes Santo (Receso)</t>
        </is>
      </c>
      <c r="C10" s="104" t="inlineStr">
        <is>
          <t>Feriado Nacional</t>
        </is>
      </c>
    </row>
    <row r="11">
      <c r="A11" s="105" t="n">
        <v>46135</v>
      </c>
      <c r="B11" s="104" t="inlineStr">
        <is>
          <t>Día del Libro y del Derecho de Autor</t>
        </is>
      </c>
      <c r="C11" s="104" t="inlineStr">
        <is>
          <t>Dia para conmemorar</t>
        </is>
      </c>
    </row>
    <row r="12" ht="28.5" customHeight="1">
      <c r="A12" s="105" t="n">
        <v>46138</v>
      </c>
      <c r="B12" s="104" t="inlineStr">
        <is>
          <t>Día del Periodista (Muerte de Santiago Leguizamón)</t>
        </is>
      </c>
      <c r="C12" s="104" t="inlineStr">
        <is>
          <t>Dia para conmemorar</t>
        </is>
      </c>
    </row>
    <row r="13">
      <c r="A13" s="105" t="n">
        <v>46142</v>
      </c>
      <c r="B13" s="104" t="inlineStr">
        <is>
          <t>Día del Maestro (En Paraguay)</t>
        </is>
      </c>
      <c r="C13" s="104" t="inlineStr">
        <is>
          <t>Dia para conmemorar</t>
        </is>
      </c>
    </row>
    <row r="14">
      <c r="A14" s="102" t="n">
        <v>46143</v>
      </c>
      <c r="B14" s="103" t="inlineStr">
        <is>
          <t>Día de los Trabajadores</t>
        </is>
      </c>
      <c r="C14" s="104" t="inlineStr">
        <is>
          <t>Feriado Nacional</t>
        </is>
      </c>
    </row>
    <row r="15">
      <c r="A15" s="102" t="n">
        <v>46156</v>
      </c>
      <c r="B15" s="103" t="inlineStr">
        <is>
          <t>Día de la Independencia Nacional</t>
        </is>
      </c>
      <c r="C15" s="104" t="inlineStr">
        <is>
          <t>Feriado Nacional</t>
        </is>
      </c>
    </row>
    <row r="16">
      <c r="A16" s="105" t="n">
        <v>46156</v>
      </c>
      <c r="B16" s="104" t="inlineStr">
        <is>
          <t>Día de la Madre</t>
        </is>
      </c>
      <c r="C16" s="104" t="inlineStr">
        <is>
          <t>Dia para conmemorar</t>
        </is>
      </c>
    </row>
    <row r="17">
      <c r="A17" s="102" t="n">
        <v>46157</v>
      </c>
      <c r="B17" s="103" t="inlineStr">
        <is>
          <t>Día de la Independencia Nacional</t>
        </is>
      </c>
      <c r="C17" s="104" t="inlineStr">
        <is>
          <t>Feriado Nacional</t>
        </is>
      </c>
    </row>
    <row r="18">
      <c r="A18" s="105" t="n">
        <v>46157</v>
      </c>
      <c r="B18" s="104" t="inlineStr">
        <is>
          <t>Día de la Independencia Nacional</t>
        </is>
      </c>
      <c r="C18" s="104" t="inlineStr">
        <is>
          <t>Dia para conmemorar</t>
        </is>
      </c>
    </row>
    <row r="19">
      <c r="A19" s="105" t="n">
        <v>46171</v>
      </c>
      <c r="B19" s="104" t="inlineStr">
        <is>
          <t>Día del Ejército Paraguayo</t>
        </is>
      </c>
      <c r="C19" s="104" t="inlineStr">
        <is>
          <t>Dia para conmemorar</t>
        </is>
      </c>
    </row>
    <row r="20">
      <c r="A20" s="102" t="n">
        <v>46185</v>
      </c>
      <c r="B20" s="103" t="inlineStr">
        <is>
          <t>Paz del Chaco</t>
        </is>
      </c>
      <c r="C20" s="104" t="inlineStr">
        <is>
          <t>Feriado Nacional</t>
        </is>
      </c>
    </row>
    <row r="21" ht="28.5" customHeight="1">
      <c r="A21" s="105" t="n">
        <v>46185</v>
      </c>
      <c r="B21" s="104" t="inlineStr">
        <is>
          <t>Paz del Chaco (Firma del Protocolo de Paz, 1935)</t>
        </is>
      </c>
      <c r="C21" s="104" t="inlineStr">
        <is>
          <t>Asueto - Departamental / Desfile</t>
        </is>
      </c>
    </row>
    <row r="22">
      <c r="A22" s="105" t="n">
        <v>46192</v>
      </c>
      <c r="B22" s="104" t="inlineStr">
        <is>
          <t>Día del Árbol (En Paraguay)</t>
        </is>
      </c>
      <c r="C22" s="104" t="inlineStr">
        <is>
          <t>Clase Normal</t>
        </is>
      </c>
    </row>
    <row r="23">
      <c r="A23" s="102" t="n">
        <v>46216</v>
      </c>
      <c r="B23" s="100" t="inlineStr">
        <is>
          <t>Inicio Vacaciones de Invierno</t>
        </is>
      </c>
      <c r="C23" s="104" t="inlineStr">
        <is>
          <t>MEC - VACACIONES</t>
        </is>
      </c>
    </row>
    <row r="24">
      <c r="A24" s="102" t="n">
        <v>46217</v>
      </c>
      <c r="B24" s="100" t="inlineStr">
        <is>
          <t>Inicio Vacaciones de Invierno</t>
        </is>
      </c>
      <c r="C24" s="104" t="inlineStr">
        <is>
          <t>MEC - VACACIONES</t>
        </is>
      </c>
    </row>
    <row r="25">
      <c r="A25" s="102" t="n">
        <v>46218</v>
      </c>
      <c r="B25" s="100" t="inlineStr">
        <is>
          <t>Inicio Vacaciones de Invierno</t>
        </is>
      </c>
      <c r="C25" s="104" t="inlineStr">
        <is>
          <t>MEC - VACACIONES</t>
        </is>
      </c>
    </row>
    <row r="26">
      <c r="A26" s="102" t="n">
        <v>46219</v>
      </c>
      <c r="B26" s="100" t="inlineStr">
        <is>
          <t>Inicio Vacaciones de Invierno</t>
        </is>
      </c>
      <c r="C26" s="104" t="inlineStr">
        <is>
          <t>MEC - VACACIONES</t>
        </is>
      </c>
    </row>
    <row r="27">
      <c r="A27" s="102" t="n">
        <v>46220</v>
      </c>
      <c r="B27" s="100" t="inlineStr">
        <is>
          <t>Inicio Vacaciones de Invierno</t>
        </is>
      </c>
      <c r="C27" s="104" t="inlineStr">
        <is>
          <t>MEC - VACACIONES</t>
        </is>
      </c>
    </row>
    <row r="28">
      <c r="A28" s="102" t="n">
        <v>46221</v>
      </c>
      <c r="B28" s="100" t="inlineStr">
        <is>
          <t>Inicio Vacaciones de Invierno</t>
        </is>
      </c>
      <c r="C28" s="104" t="inlineStr">
        <is>
          <t>MEC - VACACIONES</t>
        </is>
      </c>
    </row>
    <row r="29">
      <c r="A29" s="102" t="n">
        <v>46222</v>
      </c>
      <c r="B29" s="100" t="inlineStr">
        <is>
          <t>Inicio Vacaciones de Invierno</t>
        </is>
      </c>
      <c r="C29" s="104" t="inlineStr">
        <is>
          <t>MEC - VACACIONES</t>
        </is>
      </c>
    </row>
    <row r="30">
      <c r="A30" s="102" t="n">
        <v>46223</v>
      </c>
      <c r="B30" s="100" t="inlineStr">
        <is>
          <t>Inicio Vacaciones de Invierno</t>
        </is>
      </c>
      <c r="C30" s="104" t="inlineStr">
        <is>
          <t>MEC - VACACIONES</t>
        </is>
      </c>
    </row>
    <row r="31">
      <c r="A31" s="102" t="n">
        <v>46224</v>
      </c>
      <c r="B31" s="100" t="inlineStr">
        <is>
          <t>Inicio Vacaciones de Invierno</t>
        </is>
      </c>
      <c r="C31" s="104" t="inlineStr">
        <is>
          <t>MEC - VACACIONES</t>
        </is>
      </c>
    </row>
    <row r="32">
      <c r="A32" s="102" t="n">
        <v>46225</v>
      </c>
      <c r="B32" s="100" t="inlineStr">
        <is>
          <t>Inicio Vacaciones de Invierno</t>
        </is>
      </c>
      <c r="C32" s="104" t="inlineStr">
        <is>
          <t>MEC - VACACIONES</t>
        </is>
      </c>
    </row>
    <row r="33">
      <c r="A33" s="102" t="n">
        <v>46226</v>
      </c>
      <c r="B33" s="100" t="inlineStr">
        <is>
          <t>Inicio Vacaciones de Invierno</t>
        </is>
      </c>
      <c r="C33" s="104" t="inlineStr">
        <is>
          <t>MEC - VACACIONES</t>
        </is>
      </c>
    </row>
    <row r="34">
      <c r="A34" s="102" t="n">
        <v>46227</v>
      </c>
      <c r="B34" s="100" t="inlineStr">
        <is>
          <t>Fin Vacaciones de Invierno</t>
        </is>
      </c>
      <c r="C34" s="104" t="inlineStr">
        <is>
          <t>MEC - VACACIONES</t>
        </is>
      </c>
    </row>
    <row r="35" ht="28.5" customHeight="1">
      <c r="A35" s="105" t="n">
        <v>46227</v>
      </c>
      <c r="B35" s="104" t="inlineStr">
        <is>
          <t>Natalicio del Mcal. Francisco Solano López</t>
        </is>
      </c>
      <c r="C35" s="104" t="inlineStr">
        <is>
          <t>Dia para conmemorar</t>
        </is>
      </c>
    </row>
    <row r="36" ht="28.5" customHeight="1">
      <c r="A36" s="105" t="n">
        <v>46233</v>
      </c>
      <c r="B36" s="104" t="inlineStr">
        <is>
          <t>Día de la Amistad (Cruzada Mundial de la Amistad)</t>
        </is>
      </c>
      <c r="C36" s="104" t="inlineStr">
        <is>
          <t>Dia para conmemorar</t>
        </is>
      </c>
    </row>
    <row r="37">
      <c r="A37" s="105" t="n">
        <v>46248</v>
      </c>
      <c r="B37" s="104" t="inlineStr">
        <is>
          <t>Día de la Bandera</t>
        </is>
      </c>
      <c r="C37" s="104" t="inlineStr">
        <is>
          <t>Dia para conmemorar</t>
        </is>
      </c>
    </row>
    <row r="38">
      <c r="A38" s="102" t="n">
        <v>46249</v>
      </c>
      <c r="B38" s="103" t="inlineStr">
        <is>
          <t>Fundación de Asunción</t>
        </is>
      </c>
      <c r="C38" s="104" t="inlineStr">
        <is>
          <t>Feriado Nacional</t>
        </is>
      </c>
    </row>
    <row r="39" ht="28.5" customHeight="1">
      <c r="A39" s="105" t="n">
        <v>46249</v>
      </c>
      <c r="B39" s="104" t="inlineStr">
        <is>
          <t>Fundación de Asunción y Día del Niño (En Paraguay)</t>
        </is>
      </c>
      <c r="C39" s="104" t="inlineStr">
        <is>
          <t>Dia para conmemorar</t>
        </is>
      </c>
    </row>
    <row r="40" ht="28.5" customHeight="1">
      <c r="A40" s="105" t="n">
        <v>46250</v>
      </c>
      <c r="B40" s="104" t="inlineStr">
        <is>
          <t>Día de los Niños Mártires de Acosta Ñu</t>
        </is>
      </c>
      <c r="C40" s="104" t="inlineStr">
        <is>
          <t>Dia para conmemorar</t>
        </is>
      </c>
    </row>
    <row r="41">
      <c r="A41" s="105" t="n">
        <v>46256</v>
      </c>
      <c r="B41" s="104" t="inlineStr">
        <is>
          <t>Día del Folklore Paraguayo</t>
        </is>
      </c>
      <c r="C41" s="104" t="inlineStr">
        <is>
          <t>Dia para conmemorar</t>
        </is>
      </c>
    </row>
    <row r="42">
      <c r="A42" s="105" t="n">
        <v>46259</v>
      </c>
      <c r="B42" s="104" t="inlineStr">
        <is>
          <t>Día del Idioma Guaraní</t>
        </is>
      </c>
      <c r="C42" s="104" t="inlineStr">
        <is>
          <t>Dia para conmemorar</t>
        </is>
      </c>
    </row>
    <row r="43">
      <c r="A43" s="106" t="n">
        <v>46286</v>
      </c>
      <c r="B43" s="107" t="inlineStr">
        <is>
          <t>Día de la Juventud y de la Primavera</t>
        </is>
      </c>
      <c r="C43" s="107" t="inlineStr">
        <is>
          <t>Clase Normal</t>
        </is>
      </c>
    </row>
    <row r="44">
      <c r="A44" s="102" t="n">
        <v>46294</v>
      </c>
      <c r="B44" s="103" t="inlineStr">
        <is>
          <t>Victoria de Boquerón</t>
        </is>
      </c>
      <c r="C44" s="104" t="inlineStr">
        <is>
          <t>Feriado Nacional</t>
        </is>
      </c>
    </row>
    <row r="45" ht="28.5" customHeight="1">
      <c r="A45" s="105" t="n">
        <v>46294</v>
      </c>
      <c r="B45" s="104" t="inlineStr">
        <is>
          <t>Batalla de Boquerón (Victoria paraguaya, 1932)</t>
        </is>
      </c>
      <c r="C45" s="104" t="inlineStr">
        <is>
          <t>Dia para conmemorar</t>
        </is>
      </c>
    </row>
    <row r="46" ht="28.5" customHeight="1">
      <c r="A46" s="105" t="n">
        <v>46307</v>
      </c>
      <c r="B46" s="104" t="inlineStr">
        <is>
          <t>Día de la Raza (Descubrimiento de América)</t>
        </is>
      </c>
      <c r="C46" s="104" t="inlineStr">
        <is>
          <t>Dia para conmemorar</t>
        </is>
      </c>
    </row>
    <row r="47" ht="28.5" customHeight="1">
      <c r="A47" s="105" t="n">
        <v>46318</v>
      </c>
      <c r="B47" s="104" t="inlineStr">
        <is>
          <t>Día del Diseñador Gráfico y del Radiooperador</t>
        </is>
      </c>
      <c r="C47" s="104" t="inlineStr">
        <is>
          <t>Dia para conmemorar</t>
        </is>
      </c>
    </row>
    <row r="48" ht="28.5" customHeight="1">
      <c r="A48" s="105" t="n">
        <v>46351</v>
      </c>
      <c r="B48" s="104" t="inlineStr">
        <is>
          <t>Día Internacional de la Eliminación de la Violencia contra la Mujer</t>
        </is>
      </c>
      <c r="C48" s="104" t="inlineStr">
        <is>
          <t>Dia para conmemorar</t>
        </is>
      </c>
    </row>
    <row r="49">
      <c r="A49" s="102" t="n">
        <v>46356</v>
      </c>
      <c r="B49" s="100" t="inlineStr">
        <is>
          <t>Finalización de Clases</t>
        </is>
      </c>
      <c r="C49" s="104" t="inlineStr">
        <is>
          <t>MEC - CIERRE PEDAGOGICAS</t>
        </is>
      </c>
    </row>
    <row r="50">
      <c r="A50" s="102" t="n">
        <v>46364</v>
      </c>
      <c r="B50" s="103" t="inlineStr">
        <is>
          <t>Día de la Virgen de Caacupé</t>
        </is>
      </c>
      <c r="C50" s="104" t="inlineStr">
        <is>
          <t>Feriado Nacional</t>
        </is>
      </c>
    </row>
    <row r="51" ht="28.5" customHeight="1">
      <c r="A51" s="102" t="n">
        <v>46367</v>
      </c>
      <c r="B51" s="103" t="inlineStr">
        <is>
          <t>Cierre de Actividades Administrativas</t>
        </is>
      </c>
      <c r="C51" s="104" t="inlineStr">
        <is>
          <t>MEC - CIERRE ADM.</t>
        </is>
      </c>
    </row>
    <row r="52">
      <c r="A52" s="102" t="n">
        <v>46381</v>
      </c>
      <c r="B52" s="103" t="inlineStr">
        <is>
          <t>Navidad</t>
        </is>
      </c>
      <c r="C52" s="104" t="inlineStr">
        <is>
          <t>Feriado Nacional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101" t="inlineStr">
        <is>
          <t xml:space="preserve">Indicador </t>
        </is>
      </c>
      <c r="C1" s="101" t="inlineStr">
        <is>
          <t xml:space="preserve">Indicador </t>
        </is>
      </c>
      <c r="D1" s="100" t="inlineStr">
        <is>
          <t>Tipo de Indicador</t>
        </is>
      </c>
      <c r="E1" s="108" t="inlineStr">
        <is>
          <t>Categoría</t>
        </is>
      </c>
    </row>
    <row r="2">
      <c r="B2" s="109">
        <f>+CONCATENATE(LEFT(D2,3),"-",C2)</f>
        <v/>
      </c>
      <c r="C2" s="109" t="inlineStr">
        <is>
          <t>02. Presenta lagunas en conocimientos previos.</t>
        </is>
      </c>
      <c r="D2" s="110" t="inlineStr">
        <is>
          <t>Alerta/Mejora</t>
        </is>
      </c>
      <c r="E2" s="111" t="inlineStr">
        <is>
          <t>Académica</t>
        </is>
      </c>
    </row>
    <row r="3">
      <c r="B3" s="109">
        <f>+CONCATENATE(LEFT(D3,3),"-",C3)</f>
        <v/>
      </c>
      <c r="C3" s="109" t="inlineStr">
        <is>
          <t>04. Se limita a memorizar sin comprender.</t>
        </is>
      </c>
      <c r="D3" s="110" t="inlineStr">
        <is>
          <t>Alerta/Mejora</t>
        </is>
      </c>
      <c r="E3" s="111" t="inlineStr">
        <is>
          <t>Académica</t>
        </is>
      </c>
    </row>
    <row r="4">
      <c r="B4" s="109">
        <f>+CONCATENATE(LEFT(D4,3),"-",C4)</f>
        <v/>
      </c>
      <c r="C4" s="109" t="inlineStr">
        <is>
          <t>06. Entrega tareas incompletas o descuidadas.</t>
        </is>
      </c>
      <c r="D4" s="110" t="inlineStr">
        <is>
          <t>Alerta/Mejora</t>
        </is>
      </c>
      <c r="E4" s="111" t="inlineStr">
        <is>
          <t>Académica</t>
        </is>
      </c>
    </row>
    <row r="5">
      <c r="B5" s="109">
        <f>+CONCATENATE(LEFT(D5,3),"-",C5)</f>
        <v/>
      </c>
      <c r="C5" s="109" t="inlineStr">
        <is>
          <t>08. Se bloquea ante desafíos matemáticos.</t>
        </is>
      </c>
      <c r="D5" s="110" t="inlineStr">
        <is>
          <t>Alerta/Mejora</t>
        </is>
      </c>
      <c r="E5" s="111" t="inlineStr">
        <is>
          <t>Académica</t>
        </is>
      </c>
    </row>
    <row r="6">
      <c r="B6" s="109">
        <f>+CONCATENATE(LEFT(D6,3),"-",C6)</f>
        <v/>
      </c>
      <c r="C6" s="109" t="inlineStr">
        <is>
          <t>10. Tiene dificultades de expresión oral/escrita.</t>
        </is>
      </c>
      <c r="D6" s="110" t="inlineStr">
        <is>
          <t>Alerta/Mejora</t>
        </is>
      </c>
      <c r="E6" s="111" t="inlineStr">
        <is>
          <t>Académica</t>
        </is>
      </c>
    </row>
    <row r="7">
      <c r="B7" s="109">
        <f>+CONCATENATE(LEFT(D7,3),"-",C7)</f>
        <v/>
      </c>
      <c r="C7" s="109" t="inlineStr">
        <is>
          <t>12. Muestra rechazo o desinterés por la lectura.</t>
        </is>
      </c>
      <c r="D7" s="110" t="inlineStr">
        <is>
          <t>Alerta/Mejora</t>
        </is>
      </c>
      <c r="E7" s="111" t="inlineStr">
        <is>
          <t>Académica</t>
        </is>
      </c>
    </row>
    <row r="8">
      <c r="B8" s="109">
        <f>+CONCATENATE(LEFT(D8,3),"-",C8)</f>
        <v/>
      </c>
      <c r="C8" s="109" t="inlineStr">
        <is>
          <t>14. Requiere supervisión constante para avanzar.</t>
        </is>
      </c>
      <c r="D8" s="110" t="inlineStr">
        <is>
          <t>Alerta/Mejora</t>
        </is>
      </c>
      <c r="E8" s="111" t="inlineStr">
        <is>
          <t>Académica</t>
        </is>
      </c>
    </row>
    <row r="9">
      <c r="B9" s="109">
        <f>+CONCATENATE(LEFT(D9,3),"-",C9)</f>
        <v/>
      </c>
      <c r="C9" s="109" t="inlineStr">
        <is>
          <t>16. Muestra apatía por temas nuevos.</t>
        </is>
      </c>
      <c r="D9" s="110" t="inlineStr">
        <is>
          <t>Alerta/Mejora</t>
        </is>
      </c>
      <c r="E9" s="111" t="inlineStr">
        <is>
          <t>Académica</t>
        </is>
      </c>
    </row>
    <row r="10">
      <c r="B10" s="109">
        <f>+CONCATENATE(LEFT(D10,3),"-",C10)</f>
        <v/>
      </c>
      <c r="C10" s="109" t="inlineStr">
        <is>
          <t>18. Desafía activamente la autoridad.</t>
        </is>
      </c>
      <c r="D10" s="110" t="inlineStr">
        <is>
          <t>Alerta/Mejora</t>
        </is>
      </c>
      <c r="E10" s="111" t="inlineStr">
        <is>
          <t>Conductual</t>
        </is>
      </c>
    </row>
    <row r="11">
      <c r="B11" s="109">
        <f>+CONCATENATE(LEFT(D11,3),"-",C11)</f>
        <v/>
      </c>
      <c r="C11" s="109" t="inlineStr">
        <is>
          <t>20. Presenta retardos o inasistencias frecuentes.</t>
        </is>
      </c>
      <c r="D11" s="110" t="inlineStr">
        <is>
          <t>Alerta/Mejora</t>
        </is>
      </c>
      <c r="E11" s="111" t="inlineStr">
        <is>
          <t>Conductual</t>
        </is>
      </c>
    </row>
    <row r="12">
      <c r="B12" s="109">
        <f>+CONCATENATE(LEFT(D12,3),"-",C12)</f>
        <v/>
      </c>
      <c r="C12" s="109" t="inlineStr">
        <is>
          <t>22. Daña el mobiliario o materiales escolares.</t>
        </is>
      </c>
      <c r="D12" s="110" t="inlineStr">
        <is>
          <t>Alerta/Mejora</t>
        </is>
      </c>
      <c r="E12" s="111" t="inlineStr">
        <is>
          <t>Conductual</t>
        </is>
      </c>
    </row>
    <row r="13">
      <c r="B13" s="109">
        <f>+CONCATENATE(LEFT(D13,3),"-",C13)</f>
        <v/>
      </c>
      <c r="C13" s="109" t="inlineStr">
        <is>
          <t>24. Interrumpe constantemente el flujo de clase.</t>
        </is>
      </c>
      <c r="D13" s="110" t="inlineStr">
        <is>
          <t>Alerta/Mejora</t>
        </is>
      </c>
      <c r="E13" s="111" t="inlineStr">
        <is>
          <t>Conductual</t>
        </is>
      </c>
    </row>
    <row r="14">
      <c r="B14" s="109">
        <f>+CONCATENATE(LEFT(D14,3),"-",C14)</f>
        <v/>
      </c>
      <c r="C14" s="109" t="inlineStr">
        <is>
          <t>26. Emplea lenguaje soez o despectivo.</t>
        </is>
      </c>
      <c r="D14" s="110" t="inlineStr">
        <is>
          <t>Alerta/Mejora</t>
        </is>
      </c>
      <c r="E14" s="111" t="inlineStr">
        <is>
          <t>Conductual</t>
        </is>
      </c>
    </row>
    <row r="15">
      <c r="B15" s="109">
        <f>+CONCATENATE(LEFT(D15,3),"-",C15)</f>
        <v/>
      </c>
      <c r="C15" s="109" t="inlineStr">
        <is>
          <t>28. Miente o culpa a otros por sus actos.</t>
        </is>
      </c>
      <c r="D15" s="110" t="inlineStr">
        <is>
          <t>Alerta/Mejora</t>
        </is>
      </c>
      <c r="E15" s="111" t="inlineStr">
        <is>
          <t>Conductual</t>
        </is>
      </c>
    </row>
    <row r="16">
      <c r="B16" s="109">
        <f>+CONCATENATE(LEFT(D16,3),"-",C16)</f>
        <v/>
      </c>
      <c r="C16" s="109" t="inlineStr">
        <is>
          <t>30. Se distrae con dispositivos electrónicos.</t>
        </is>
      </c>
      <c r="D16" s="110" t="inlineStr">
        <is>
          <t>Alerta/Mejora</t>
        </is>
      </c>
      <c r="E16" s="111" t="inlineStr">
        <is>
          <t>Conductual</t>
        </is>
      </c>
    </row>
    <row r="17">
      <c r="B17" s="109">
        <f>+CONCATENATE(LEFT(D17,3),"-",C17)</f>
        <v/>
      </c>
      <c r="C17" s="109" t="inlineStr">
        <is>
          <t>32. Fomenta el desorden o el caos en el grupo.</t>
        </is>
      </c>
      <c r="D17" s="110" t="inlineStr">
        <is>
          <t>Alerta/Mejora</t>
        </is>
      </c>
      <c r="E17" s="111" t="inlineStr">
        <is>
          <t>Conductual</t>
        </is>
      </c>
    </row>
    <row r="18">
      <c r="B18" s="109">
        <f>+CONCATENATE(LEFT(D18,3),"-",C18)</f>
        <v/>
      </c>
      <c r="C18" s="109" t="inlineStr">
        <is>
          <t>34. Se rinde fácilmente ante la frustración.</t>
        </is>
      </c>
      <c r="D18" s="110" t="inlineStr">
        <is>
          <t>Alerta/Mejora</t>
        </is>
      </c>
      <c r="E18" s="111" t="inlineStr">
        <is>
          <t>Socio-Emocional</t>
        </is>
      </c>
    </row>
    <row r="19">
      <c r="B19" s="109">
        <f>+CONCATENATE(LEFT(D19,3),"-",C19)</f>
        <v/>
      </c>
      <c r="C19" s="109" t="inlineStr">
        <is>
          <t>36. Trabaja de forma aislada o es individualista.</t>
        </is>
      </c>
      <c r="D19" s="110" t="inlineStr">
        <is>
          <t>Alerta/Mejora</t>
        </is>
      </c>
      <c r="E19" s="111" t="inlineStr">
        <is>
          <t>Socio-Emocional</t>
        </is>
      </c>
    </row>
    <row r="20">
      <c r="B20" s="109">
        <f>+CONCATENATE(LEFT(D20,3),"-",C20)</f>
        <v/>
      </c>
      <c r="C20" s="109" t="inlineStr">
        <is>
          <t>38. Ignora o se burla de los sentimientos de otros.</t>
        </is>
      </c>
      <c r="D20" s="110" t="inlineStr">
        <is>
          <t>Alerta/Mejora</t>
        </is>
      </c>
      <c r="E20" s="111" t="inlineStr">
        <is>
          <t>Socio-Emocional</t>
        </is>
      </c>
    </row>
    <row r="21">
      <c r="B21" s="109">
        <f>+CONCATENATE(LEFT(D21,3),"-",C21)</f>
        <v/>
      </c>
      <c r="C21" s="109" t="inlineStr">
        <is>
          <t>40. Ejerce presión negativa o bullying.</t>
        </is>
      </c>
      <c r="D21" s="110" t="inlineStr">
        <is>
          <t>Alerta/Mejora</t>
        </is>
      </c>
      <c r="E21" s="111" t="inlineStr">
        <is>
          <t>Socio-Emocional</t>
        </is>
      </c>
    </row>
    <row r="22">
      <c r="B22" s="109">
        <f>+CONCATENATE(LEFT(D22,3),"-",C22)</f>
        <v/>
      </c>
      <c r="C22" s="109" t="inlineStr">
        <is>
          <t>42. Reacciona de forma agresiva o impulsiva.</t>
        </is>
      </c>
      <c r="D22" s="110" t="inlineStr">
        <is>
          <t>Alerta/Mejora</t>
        </is>
      </c>
      <c r="E22" s="111" t="inlineStr">
        <is>
          <t>Socio-Emocional</t>
        </is>
      </c>
    </row>
    <row r="23">
      <c r="B23" s="109">
        <f>+CONCATENATE(LEFT(D23,3),"-",C23)</f>
        <v/>
      </c>
      <c r="C23" s="109" t="inlineStr">
        <is>
          <t>44. Expresa inseguridad constante ("no puedo").</t>
        </is>
      </c>
      <c r="D23" s="110" t="inlineStr">
        <is>
          <t>Alerta/Mejora</t>
        </is>
      </c>
      <c r="E23" s="111" t="inlineStr">
        <is>
          <t>Socio-Emocional</t>
        </is>
      </c>
    </row>
    <row r="24">
      <c r="B24" s="109">
        <f>+CONCATENATE(LEFT(D24,3),"-",C24)</f>
        <v/>
      </c>
      <c r="C24" s="109" t="inlineStr">
        <is>
          <t>46. Requiere estímulos externos para trabajar.</t>
        </is>
      </c>
      <c r="D24" s="110" t="inlineStr">
        <is>
          <t>Alerta/Mejora</t>
        </is>
      </c>
      <c r="E24" s="111" t="inlineStr">
        <is>
          <t>Actitudinal</t>
        </is>
      </c>
    </row>
    <row r="25">
      <c r="B25" s="109">
        <f>+CONCATENATE(LEFT(D25,3),"-",C25)</f>
        <v/>
      </c>
      <c r="C25" s="109" t="inlineStr">
        <is>
          <t>48. Abandona proyectos a mitad de camino.</t>
        </is>
      </c>
      <c r="D25" s="110" t="inlineStr">
        <is>
          <t>Alerta/Mejora</t>
        </is>
      </c>
      <c r="E25" s="111" t="inlineStr">
        <is>
          <t>Actitudinal</t>
        </is>
      </c>
    </row>
    <row r="26">
      <c r="B26" s="109">
        <f>+CONCATENATE(LEFT(D26,3),"-",C26)</f>
        <v/>
      </c>
      <c r="C26" s="109" t="inlineStr">
        <is>
          <t>50. Se muestra a la defensiva ante críticas.</t>
        </is>
      </c>
      <c r="D26" s="110" t="inlineStr">
        <is>
          <t>Alerta/Mejora</t>
        </is>
      </c>
      <c r="E26" s="111" t="inlineStr">
        <is>
          <t>Actitudinal</t>
        </is>
      </c>
    </row>
    <row r="27" ht="3.75" customHeight="1">
      <c r="B27" s="109" t="n"/>
      <c r="C27" s="109" t="n"/>
      <c r="D27" s="110" t="n"/>
      <c r="E27" s="111" t="n"/>
    </row>
    <row r="28">
      <c r="B28" s="109">
        <f>+CONCATENATE(LEFT(D28,3),"-",C28)</f>
        <v/>
      </c>
      <c r="C28" s="104" t="inlineStr">
        <is>
          <t>01. Domina los conceptos clave del grado.</t>
        </is>
      </c>
      <c r="D28" s="103" t="inlineStr">
        <is>
          <t>Fortaleza/Logro</t>
        </is>
      </c>
      <c r="E28" s="112" t="inlineStr">
        <is>
          <t>Académica</t>
        </is>
      </c>
    </row>
    <row r="29">
      <c r="B29" s="109">
        <f>+CONCATENATE(LEFT(D29,3),"-",C29)</f>
        <v/>
      </c>
      <c r="C29" s="104" t="inlineStr">
        <is>
          <t>03. Posee un pensamiento crítico y analítico.</t>
        </is>
      </c>
      <c r="D29" s="103" t="inlineStr">
        <is>
          <t>Fortaleza/Logro</t>
        </is>
      </c>
      <c r="E29" s="112" t="inlineStr">
        <is>
          <t>Académica</t>
        </is>
      </c>
    </row>
    <row r="30">
      <c r="B30" s="109">
        <f>+CONCATENATE(LEFT(D30,3),"-",C30)</f>
        <v/>
      </c>
      <c r="C30" s="104" t="inlineStr">
        <is>
          <t>05. Entrega trabajos con alta calidad y orden.</t>
        </is>
      </c>
      <c r="D30" s="103" t="inlineStr">
        <is>
          <t>Fortaleza/Logro</t>
        </is>
      </c>
      <c r="E30" s="112" t="inlineStr">
        <is>
          <t>Académica</t>
        </is>
      </c>
    </row>
    <row r="31">
      <c r="B31" s="109">
        <f>+CONCATENATE(LEFT(D31,3),"-",C31)</f>
        <v/>
      </c>
      <c r="C31" s="104" t="inlineStr">
        <is>
          <t>07. Resuelve problemas lógicos con fluidez.</t>
        </is>
      </c>
      <c r="D31" s="103" t="inlineStr">
        <is>
          <t>Fortaleza/Logro</t>
        </is>
      </c>
      <c r="E31" s="112" t="inlineStr">
        <is>
          <t>Académica</t>
        </is>
      </c>
    </row>
    <row r="32">
      <c r="B32" s="109">
        <f>+CONCATENATE(LEFT(D32,3),"-",C32)</f>
        <v/>
      </c>
      <c r="C32" s="104" t="inlineStr">
        <is>
          <t>09. Utiliza vocabulario técnico preciso.</t>
        </is>
      </c>
      <c r="D32" s="103" t="inlineStr">
        <is>
          <t>Fortaleza/Logro</t>
        </is>
      </c>
      <c r="E32" s="112" t="inlineStr">
        <is>
          <t>Académica</t>
        </is>
      </c>
    </row>
    <row r="33">
      <c r="B33" s="109">
        <f>+CONCATENATE(LEFT(D33,3),"-",C33)</f>
        <v/>
      </c>
      <c r="C33" s="104" t="inlineStr">
        <is>
          <t>11. Posee excelentes hábitos de lectura.</t>
        </is>
      </c>
      <c r="D33" s="103" t="inlineStr">
        <is>
          <t>Fortaleza/Logro</t>
        </is>
      </c>
      <c r="E33" s="112" t="inlineStr">
        <is>
          <t>Académica</t>
        </is>
      </c>
    </row>
    <row r="34">
      <c r="B34" s="109">
        <f>+CONCATENATE(LEFT(D34,3),"-",C34)</f>
        <v/>
      </c>
      <c r="C34" s="104" t="inlineStr">
        <is>
          <t>13. Es autónomo en la realización de tareas.</t>
        </is>
      </c>
      <c r="D34" s="103" t="inlineStr">
        <is>
          <t>Fortaleza/Logro</t>
        </is>
      </c>
      <c r="E34" s="112" t="inlineStr">
        <is>
          <t>Académica</t>
        </is>
      </c>
    </row>
    <row r="35">
      <c r="B35" s="109">
        <f>+CONCATENATE(LEFT(D35,3),"-",C35)</f>
        <v/>
      </c>
      <c r="C35" s="104" t="inlineStr">
        <is>
          <t>15. Investiga más allá de lo solicitado.</t>
        </is>
      </c>
      <c r="D35" s="103" t="inlineStr">
        <is>
          <t>Fortaleza/Logro</t>
        </is>
      </c>
      <c r="E35" s="112" t="inlineStr">
        <is>
          <t>Académica</t>
        </is>
      </c>
    </row>
    <row r="36">
      <c r="B36" s="109">
        <f>+CONCATENATE(LEFT(D36,3),"-",C36)</f>
        <v/>
      </c>
      <c r="C36" s="104" t="inlineStr">
        <is>
          <t>17. Respeta las normas de convivencia.</t>
        </is>
      </c>
      <c r="D36" s="103" t="inlineStr">
        <is>
          <t>Fortaleza/Logro</t>
        </is>
      </c>
      <c r="E36" s="112" t="inlineStr">
        <is>
          <t>Conductual</t>
        </is>
      </c>
    </row>
    <row r="37">
      <c r="B37" s="109">
        <f>+CONCATENATE(LEFT(D37,3),"-",C37)</f>
        <v/>
      </c>
      <c r="C37" s="104" t="inlineStr">
        <is>
          <t>19. Es puntual en todas sus obligaciones.</t>
        </is>
      </c>
      <c r="D37" s="103" t="inlineStr">
        <is>
          <t>Fortaleza/Logro</t>
        </is>
      </c>
      <c r="E37" s="112" t="inlineStr">
        <is>
          <t>Conductual</t>
        </is>
      </c>
    </row>
    <row r="38">
      <c r="B38" s="109">
        <f>+CONCATENATE(LEFT(D38,3),"-",C38)</f>
        <v/>
      </c>
      <c r="C38" s="104" t="inlineStr">
        <is>
          <t>21. Cuida el material propio y ajeno.</t>
        </is>
      </c>
      <c r="D38" s="103" t="inlineStr">
        <is>
          <t>Fortaleza/Logro</t>
        </is>
      </c>
      <c r="E38" s="112" t="inlineStr">
        <is>
          <t>Conductual</t>
        </is>
      </c>
    </row>
    <row r="39">
      <c r="B39" s="109">
        <f>+CONCATENATE(LEFT(D39,3),"-",C39)</f>
        <v/>
      </c>
      <c r="C39" s="104" t="inlineStr">
        <is>
          <t>23. Escucha con atención y no interrumpe.</t>
        </is>
      </c>
      <c r="D39" s="103" t="inlineStr">
        <is>
          <t>Fortaleza/Logro</t>
        </is>
      </c>
      <c r="E39" s="112" t="inlineStr">
        <is>
          <t>Conductual</t>
        </is>
      </c>
    </row>
    <row r="40">
      <c r="B40" s="109">
        <f>+CONCATENATE(LEFT(D40,3),"-",C40)</f>
        <v/>
      </c>
      <c r="C40" s="104" t="inlineStr">
        <is>
          <t>25. Utiliza el lenguaje de forma respetuosa.</t>
        </is>
      </c>
      <c r="D40" s="103" t="inlineStr">
        <is>
          <t>Fortaleza/Logro</t>
        </is>
      </c>
      <c r="E40" s="112" t="inlineStr">
        <is>
          <t>Conductual</t>
        </is>
      </c>
    </row>
    <row r="41">
      <c r="B41" s="109">
        <f>+CONCATENATE(LEFT(D41,3),"-",C41)</f>
        <v/>
      </c>
      <c r="C41" s="104" t="inlineStr">
        <is>
          <t>27. Reconoce sus errores honestamente.</t>
        </is>
      </c>
      <c r="D41" s="103" t="inlineStr">
        <is>
          <t>Fortaleza/Logro</t>
        </is>
      </c>
      <c r="E41" s="112" t="inlineStr">
        <is>
          <t>Conductual</t>
        </is>
      </c>
    </row>
    <row r="42">
      <c r="B42" s="109">
        <f>+CONCATENATE(LEFT(D42,3),"-",C42)</f>
        <v/>
      </c>
      <c r="C42" s="104" t="inlineStr">
        <is>
          <t>29. Usa la tecnología con fines educativos.</t>
        </is>
      </c>
      <c r="D42" s="103" t="inlineStr">
        <is>
          <t>Fortaleza/Logro</t>
        </is>
      </c>
      <c r="E42" s="112" t="inlineStr">
        <is>
          <t>Conductual</t>
        </is>
      </c>
    </row>
    <row r="43">
      <c r="B43" s="109">
        <f>+CONCATENATE(LEFT(D43,3),"-",C43)</f>
        <v/>
      </c>
      <c r="C43" s="104" t="inlineStr">
        <is>
          <t>31. Mantiene el orden en espacios comunes.</t>
        </is>
      </c>
      <c r="D43" s="103" t="inlineStr">
        <is>
          <t>Fortaleza/Logro</t>
        </is>
      </c>
      <c r="E43" s="112" t="inlineStr">
        <is>
          <t>Conductual</t>
        </is>
      </c>
    </row>
    <row r="44">
      <c r="B44" s="109">
        <f>+CONCATENATE(LEFT(D44,3),"-",C44)</f>
        <v/>
      </c>
      <c r="C44" s="104" t="inlineStr">
        <is>
          <t>33. Muestra resiliencia ante el fracaso.</t>
        </is>
      </c>
      <c r="D44" s="103" t="inlineStr">
        <is>
          <t>Fortaleza/Logro</t>
        </is>
      </c>
      <c r="E44" s="112" t="inlineStr">
        <is>
          <t>Socio-Emocional</t>
        </is>
      </c>
    </row>
    <row r="45">
      <c r="B45" s="109">
        <f>+CONCATENATE(LEFT(D45,3),"-",C45)</f>
        <v/>
      </c>
      <c r="C45" s="104" t="inlineStr">
        <is>
          <t>35. Trabaja de forma colaborativa y equitativa.</t>
        </is>
      </c>
      <c r="D45" s="103" t="inlineStr">
        <is>
          <t>Fortaleza/Logro</t>
        </is>
      </c>
      <c r="E45" s="112" t="inlineStr">
        <is>
          <t>Socio-Emocional</t>
        </is>
      </c>
    </row>
    <row r="46">
      <c r="B46" s="109">
        <f>+CONCATENATE(LEFT(D46,3),"-",C46)</f>
        <v/>
      </c>
      <c r="C46" s="104" t="inlineStr">
        <is>
          <t>37. Es empático con las necesidades ajenas.</t>
        </is>
      </c>
      <c r="D46" s="103" t="inlineStr">
        <is>
          <t>Fortaleza/Logro</t>
        </is>
      </c>
      <c r="E46" s="112" t="inlineStr">
        <is>
          <t>Socio-Emocional</t>
        </is>
      </c>
    </row>
    <row r="47">
      <c r="B47" s="109">
        <f>+CONCATENATE(LEFT(D47,3),"-",C47)</f>
        <v/>
      </c>
      <c r="C47" s="104" t="inlineStr">
        <is>
          <t>39. Posee un liderazgo positivo y ético.</t>
        </is>
      </c>
      <c r="D47" s="103" t="inlineStr">
        <is>
          <t>Fortaleza/Logro</t>
        </is>
      </c>
      <c r="E47" s="112" t="inlineStr">
        <is>
          <t>Socio-Emocional</t>
        </is>
      </c>
    </row>
    <row r="48">
      <c r="B48" s="109">
        <f>+CONCATENATE(LEFT(D48,3),"-",C48)</f>
        <v/>
      </c>
      <c r="C48" s="104" t="inlineStr">
        <is>
          <t>41. Se comunica de manera asertiva.</t>
        </is>
      </c>
      <c r="D48" s="103" t="inlineStr">
        <is>
          <t>Fortaleza/Logro</t>
        </is>
      </c>
      <c r="E48" s="112" t="inlineStr">
        <is>
          <t>Socio-Emocional</t>
        </is>
      </c>
    </row>
    <row r="49">
      <c r="B49" s="109">
        <f>+CONCATENATE(LEFT(D49,3),"-",C49)</f>
        <v/>
      </c>
      <c r="C49" s="104" t="inlineStr">
        <is>
          <t>43. Tiene una autoestima académica sólida.</t>
        </is>
      </c>
      <c r="D49" s="103" t="inlineStr">
        <is>
          <t>Fortaleza/Logro</t>
        </is>
      </c>
      <c r="E49" s="112" t="inlineStr">
        <is>
          <t>Socio-Emocional</t>
        </is>
      </c>
    </row>
    <row r="50">
      <c r="B50" s="109">
        <f>+CONCATENATE(LEFT(D50,3),"-",C50)</f>
        <v/>
      </c>
      <c r="C50" s="104" t="inlineStr">
        <is>
          <t>45. Muestra curiosidad e iniciativa propia.</t>
        </is>
      </c>
      <c r="D50" s="103" t="inlineStr">
        <is>
          <t>Fortaleza/Logro</t>
        </is>
      </c>
      <c r="E50" s="112" t="inlineStr">
        <is>
          <t>Actitudinal</t>
        </is>
      </c>
    </row>
    <row r="51">
      <c r="B51" s="109">
        <f>+CONCATENATE(LEFT(D51,3),"-",C51)</f>
        <v/>
      </c>
      <c r="C51" s="104" t="inlineStr">
        <is>
          <t>47. Es persistente en tareas complejas.</t>
        </is>
      </c>
      <c r="D51" s="103" t="inlineStr">
        <is>
          <t>Fortaleza/Logro</t>
        </is>
      </c>
      <c r="E51" s="112" t="inlineStr">
        <is>
          <t>Actitudinal</t>
        </is>
      </c>
    </row>
    <row r="52">
      <c r="B52" s="109">
        <f>+CONCATENATE(LEFT(D52,3),"-",C52)</f>
        <v/>
      </c>
      <c r="C52" s="104" t="inlineStr">
        <is>
          <t>49. Acepta retroalimentación constructiva.</t>
        </is>
      </c>
      <c r="D52" s="103" t="inlineStr">
        <is>
          <t>Fortaleza/Logro</t>
        </is>
      </c>
      <c r="E52" s="112" t="inlineStr">
        <is>
          <t>Actitudinal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.5703125" customWidth="1" min="1" max="1"/>
    <col width="19.28515625" customWidth="1" min="2" max="2"/>
  </cols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3.7109375" customWidth="1" min="8" max="8"/>
    <col width="5.140625" customWidth="1" min="11" max="11"/>
    <col width="6.28515625" customWidth="1" min="12" max="12"/>
    <col width="15.28515625" customWidth="1" min="13" max="13"/>
    <col width="12.5703125" customWidth="1" min="14" max="14"/>
  </cols>
  <sheetData>
    <row r="1">
      <c r="A1" s="108" t="inlineStr">
        <is>
          <t>Categoría</t>
        </is>
      </c>
      <c r="B1" s="101" t="inlineStr">
        <is>
          <t xml:space="preserve">Indicador </t>
        </is>
      </c>
      <c r="C1" s="101" t="inlineStr">
        <is>
          <t xml:space="preserve">Indicador </t>
        </is>
      </c>
      <c r="D1" s="100" t="inlineStr">
        <is>
          <t>Tipo de Indicador</t>
        </is>
      </c>
      <c r="E1" s="113" t="inlineStr">
        <is>
          <t>Cantidad de veces</t>
        </is>
      </c>
      <c r="F1" t="inlineStr">
        <is>
          <t>NOTA</t>
        </is>
      </c>
      <c r="G1">
        <f>+'Datos '!G14</f>
        <v/>
      </c>
    </row>
    <row r="2">
      <c r="A2" s="111" t="inlineStr">
        <is>
          <t>Académica</t>
        </is>
      </c>
      <c r="B2" s="109">
        <f>+CONCATENATE(LEFT(D2,3),"-",C2)</f>
        <v/>
      </c>
      <c r="C2" s="109" t="inlineStr">
        <is>
          <t>02. Presenta lagunas en conocimientos previos.</t>
        </is>
      </c>
      <c r="D2" s="110" t="inlineStr">
        <is>
          <t>Alerta/Mejora</t>
        </is>
      </c>
      <c r="E2" s="114" t="n">
        <v>3</v>
      </c>
      <c r="F2">
        <f>VLOOKUP(G2, $I$3:$K$7, 3, 1)</f>
        <v/>
      </c>
      <c r="G2">
        <f>+G$1-E2</f>
        <v/>
      </c>
    </row>
    <row r="3">
      <c r="A3" s="111" t="inlineStr">
        <is>
          <t>Académica</t>
        </is>
      </c>
      <c r="B3" s="109">
        <f>+CONCATENATE(LEFT(D3,3),"-",C3)</f>
        <v/>
      </c>
      <c r="C3" s="109" t="inlineStr">
        <is>
          <t>04. Se limita a memorizar sin comprender.</t>
        </is>
      </c>
      <c r="D3" s="110" t="inlineStr">
        <is>
          <t>Alerta/Mejora</t>
        </is>
      </c>
      <c r="E3" s="114" t="n">
        <v>3</v>
      </c>
      <c r="F3">
        <f>VLOOKUP(G3, $I$3:$K$7, 3, 1)</f>
        <v/>
      </c>
      <c r="G3">
        <f>+G$1-E3</f>
        <v/>
      </c>
      <c r="I3" s="115" t="n">
        <v>1</v>
      </c>
      <c r="J3" s="115" t="n">
        <v>8</v>
      </c>
      <c r="K3" s="116" t="n">
        <v>1</v>
      </c>
      <c r="M3" t="inlineStr">
        <is>
          <t>Etiquetas de fila</t>
        </is>
      </c>
      <c r="N3" t="inlineStr">
        <is>
          <t>Suma de Cantidad de veces</t>
        </is>
      </c>
    </row>
    <row r="4">
      <c r="A4" s="111" t="inlineStr">
        <is>
          <t>Académica</t>
        </is>
      </c>
      <c r="B4" s="109">
        <f>+CONCATENATE(LEFT(D4,3),"-",C4)</f>
        <v/>
      </c>
      <c r="C4" s="109" t="inlineStr">
        <is>
          <t>06. Entrega tareas incompletas o descuidadas.</t>
        </is>
      </c>
      <c r="D4" s="110" t="inlineStr">
        <is>
          <t>Alerta/Mejora</t>
        </is>
      </c>
      <c r="E4" s="114" t="n">
        <v>2</v>
      </c>
      <c r="F4">
        <f>VLOOKUP(G4, $I$3:$K$7, 3, 1)</f>
        <v/>
      </c>
      <c r="G4">
        <f>+G$1-E4</f>
        <v/>
      </c>
      <c r="I4" s="115" t="n"/>
      <c r="J4" s="115" t="n">
        <v>9</v>
      </c>
      <c r="K4" s="116" t="n">
        <v>2</v>
      </c>
      <c r="M4" s="87" t="inlineStr">
        <is>
          <t>Alerta/Mejora</t>
        </is>
      </c>
      <c r="N4" t="n">
        <v>89</v>
      </c>
    </row>
    <row r="5">
      <c r="A5" s="111" t="inlineStr">
        <is>
          <t>Académica</t>
        </is>
      </c>
      <c r="B5" s="109">
        <f>+CONCATENATE(LEFT(D5,3),"-",C5)</f>
        <v/>
      </c>
      <c r="C5" s="109" t="inlineStr">
        <is>
          <t>08. Se bloquea ante desafíos matemáticos.</t>
        </is>
      </c>
      <c r="D5" s="110" t="inlineStr">
        <is>
          <t>Alerta/Mejora</t>
        </is>
      </c>
      <c r="E5" s="114" t="n">
        <v>3</v>
      </c>
      <c r="F5">
        <f>VLOOKUP(G5, $I$3:$K$7, 3, 1)</f>
        <v/>
      </c>
      <c r="G5">
        <f>+G$1-E5</f>
        <v/>
      </c>
      <c r="I5" s="115" t="n">
        <v>10</v>
      </c>
      <c r="J5" s="115" t="n">
        <v>11</v>
      </c>
      <c r="K5" s="116" t="n">
        <v>3</v>
      </c>
      <c r="M5" s="87" t="inlineStr">
        <is>
          <t>Fortaleza/Logro</t>
        </is>
      </c>
      <c r="N5" t="n">
        <v>588</v>
      </c>
    </row>
    <row r="6">
      <c r="A6" s="111" t="inlineStr">
        <is>
          <t>Académica</t>
        </is>
      </c>
      <c r="B6" s="109">
        <f>+CONCATENATE(LEFT(D6,3),"-",C6)</f>
        <v/>
      </c>
      <c r="C6" s="109" t="inlineStr">
        <is>
          <t>10. Tiene dificultades de expresión oral/escrita.</t>
        </is>
      </c>
      <c r="D6" s="110" t="inlineStr">
        <is>
          <t>Alerta/Mejora</t>
        </is>
      </c>
      <c r="E6" s="114" t="n">
        <v>2</v>
      </c>
      <c r="F6">
        <f>VLOOKUP(G6, $I$3:$K$7, 3, 1)</f>
        <v/>
      </c>
      <c r="G6">
        <f>+G$1-E6</f>
        <v/>
      </c>
      <c r="I6" s="115" t="n">
        <v>12</v>
      </c>
      <c r="J6" s="115" t="n">
        <v>13</v>
      </c>
      <c r="K6" s="116" t="n">
        <v>4</v>
      </c>
      <c r="M6" s="87" t="inlineStr">
        <is>
          <t>Total general</t>
        </is>
      </c>
      <c r="N6" t="n">
        <v>677</v>
      </c>
    </row>
    <row r="7">
      <c r="A7" s="111" t="inlineStr">
        <is>
          <t>Académica</t>
        </is>
      </c>
      <c r="B7" s="109">
        <f>+CONCATENATE(LEFT(D7,3),"-",C7)</f>
        <v/>
      </c>
      <c r="C7" s="109" t="inlineStr">
        <is>
          <t>12. Muestra rechazo o desinterés por la lectura.</t>
        </is>
      </c>
      <c r="D7" s="110" t="inlineStr">
        <is>
          <t>Alerta/Mejora</t>
        </is>
      </c>
      <c r="E7" s="114" t="n">
        <v>3</v>
      </c>
      <c r="F7">
        <f>VLOOKUP(G7, $I$3:$K$7, 3, 1)</f>
        <v/>
      </c>
      <c r="G7">
        <f>+G$1-E7</f>
        <v/>
      </c>
      <c r="I7" s="115" t="n"/>
      <c r="J7" s="115" t="n">
        <v>14</v>
      </c>
      <c r="K7" s="116" t="n">
        <v>5</v>
      </c>
    </row>
    <row r="8">
      <c r="A8" s="111" t="inlineStr">
        <is>
          <t>Académica</t>
        </is>
      </c>
      <c r="B8" s="109">
        <f>+CONCATENATE(LEFT(D8,3),"-",C8)</f>
        <v/>
      </c>
      <c r="C8" s="109" t="inlineStr">
        <is>
          <t>14. Requiere supervisión constante para avanzar.</t>
        </is>
      </c>
      <c r="D8" s="110" t="inlineStr">
        <is>
          <t>Alerta/Mejora</t>
        </is>
      </c>
      <c r="E8" s="114" t="n">
        <v>3</v>
      </c>
      <c r="F8">
        <f>VLOOKUP(G8, $I$3:$K$7, 3, 1)</f>
        <v/>
      </c>
      <c r="G8">
        <f>+G$1-E8</f>
        <v/>
      </c>
    </row>
    <row r="9">
      <c r="A9" s="111" t="inlineStr">
        <is>
          <t>Académica</t>
        </is>
      </c>
      <c r="B9" s="109">
        <f>+CONCATENATE(LEFT(D9,3),"-",C9)</f>
        <v/>
      </c>
      <c r="C9" s="109" t="inlineStr">
        <is>
          <t>16. Muestra apatía por temas nuevos.</t>
        </is>
      </c>
      <c r="D9" s="110" t="inlineStr">
        <is>
          <t>Alerta/Mejora</t>
        </is>
      </c>
      <c r="E9" s="114" t="n">
        <v>0</v>
      </c>
      <c r="F9">
        <f>VLOOKUP(G9, $I$3:$K$7, 3, 1)</f>
        <v/>
      </c>
      <c r="G9">
        <f>+G$1-E9</f>
        <v/>
      </c>
    </row>
    <row r="10">
      <c r="A10" s="111" t="inlineStr">
        <is>
          <t>Conductual</t>
        </is>
      </c>
      <c r="B10" s="109">
        <f>+CONCATENATE(LEFT(D10,3),"-",C10)</f>
        <v/>
      </c>
      <c r="C10" s="109" t="inlineStr">
        <is>
          <t>18. Desafía activamente la autoridad.</t>
        </is>
      </c>
      <c r="D10" s="110" t="inlineStr">
        <is>
          <t>Alerta/Mejora</t>
        </is>
      </c>
      <c r="E10" s="114" t="n">
        <v>0</v>
      </c>
      <c r="F10">
        <f>VLOOKUP(G10, $I$3:$K$7, 3, 1)</f>
        <v/>
      </c>
      <c r="G10">
        <f>+G$1-E10</f>
        <v/>
      </c>
    </row>
    <row r="11">
      <c r="A11" s="111" t="inlineStr">
        <is>
          <t>Conductual</t>
        </is>
      </c>
      <c r="B11" s="109">
        <f>+CONCATENATE(LEFT(D11,3),"-",C11)</f>
        <v/>
      </c>
      <c r="C11" s="109" t="inlineStr">
        <is>
          <t>20. Presenta retardos o inasistencias frecuentes.</t>
        </is>
      </c>
      <c r="D11" s="110" t="inlineStr">
        <is>
          <t>Alerta/Mejora</t>
        </is>
      </c>
      <c r="E11" s="114" t="n">
        <v>2</v>
      </c>
      <c r="F11">
        <f>VLOOKUP(G11, $I$3:$K$7, 3, 1)</f>
        <v/>
      </c>
      <c r="G11">
        <f>+G$1-E11</f>
        <v/>
      </c>
    </row>
    <row r="12">
      <c r="A12" s="111" t="inlineStr">
        <is>
          <t>Conductual</t>
        </is>
      </c>
      <c r="B12" s="109">
        <f>+CONCATENATE(LEFT(D12,3),"-",C12)</f>
        <v/>
      </c>
      <c r="C12" s="109" t="inlineStr">
        <is>
          <t>22. Daña el mobiliario o materiales escolares.</t>
        </is>
      </c>
      <c r="D12" s="110" t="inlineStr">
        <is>
          <t>Alerta/Mejora</t>
        </is>
      </c>
      <c r="E12" s="114" t="n">
        <v>0</v>
      </c>
      <c r="F12">
        <f>VLOOKUP(G12, $I$3:$K$7, 3, 1)</f>
        <v/>
      </c>
      <c r="G12">
        <f>+G$1-E12</f>
        <v/>
      </c>
    </row>
    <row r="13">
      <c r="A13" s="111" t="inlineStr">
        <is>
          <t>Conductual</t>
        </is>
      </c>
      <c r="B13" s="109">
        <f>+CONCATENATE(LEFT(D13,3),"-",C13)</f>
        <v/>
      </c>
      <c r="C13" s="109" t="inlineStr">
        <is>
          <t>24. Interrumpe constantemente el flujo de clase.</t>
        </is>
      </c>
      <c r="D13" s="110" t="inlineStr">
        <is>
          <t>Alerta/Mejora</t>
        </is>
      </c>
      <c r="E13" s="114" t="n">
        <v>2</v>
      </c>
      <c r="F13">
        <f>VLOOKUP(G13, $I$3:$K$7, 3, 1)</f>
        <v/>
      </c>
      <c r="G13">
        <f>+G$1-E13</f>
        <v/>
      </c>
    </row>
    <row r="14">
      <c r="A14" s="111" t="inlineStr">
        <is>
          <t>Conductual</t>
        </is>
      </c>
      <c r="B14" s="109">
        <f>+CONCATENATE(LEFT(D14,3),"-",C14)</f>
        <v/>
      </c>
      <c r="C14" s="109" t="inlineStr">
        <is>
          <t>26. Emplea lenguaje soez o despectivo.</t>
        </is>
      </c>
      <c r="D14" s="110" t="inlineStr">
        <is>
          <t>Alerta/Mejora</t>
        </is>
      </c>
      <c r="E14" s="114" t="n">
        <v>0</v>
      </c>
      <c r="F14">
        <f>VLOOKUP(G14, $I$3:$K$7, 3, 1)</f>
        <v/>
      </c>
      <c r="G14">
        <f>+G$1-E14</f>
        <v/>
      </c>
    </row>
    <row r="15">
      <c r="A15" s="111" t="inlineStr">
        <is>
          <t>Conductual</t>
        </is>
      </c>
      <c r="B15" s="109">
        <f>+CONCATENATE(LEFT(D15,3),"-",C15)</f>
        <v/>
      </c>
      <c r="C15" s="109" t="inlineStr">
        <is>
          <t>28. Miente o culpa a otros por sus actos.</t>
        </is>
      </c>
      <c r="D15" s="110" t="inlineStr">
        <is>
          <t>Alerta/Mejora</t>
        </is>
      </c>
      <c r="E15" s="114" t="n">
        <v>0</v>
      </c>
      <c r="F15">
        <f>VLOOKUP(G15, $I$3:$K$7, 3, 1)</f>
        <v/>
      </c>
      <c r="G15">
        <f>+G$1-E15</f>
        <v/>
      </c>
    </row>
    <row r="16">
      <c r="A16" s="111" t="inlineStr">
        <is>
          <t>Conductual</t>
        </is>
      </c>
      <c r="B16" s="109">
        <f>+CONCATENATE(LEFT(D16,3),"-",C16)</f>
        <v/>
      </c>
      <c r="C16" s="109" t="inlineStr">
        <is>
          <t>30. Se distrae con dispositivos electrónicos.</t>
        </is>
      </c>
      <c r="D16" s="110" t="inlineStr">
        <is>
          <t>Alerta/Mejora</t>
        </is>
      </c>
      <c r="E16" s="114" t="n">
        <v>0</v>
      </c>
      <c r="F16">
        <f>VLOOKUP(G16, $I$3:$K$7, 3, 1)</f>
        <v/>
      </c>
      <c r="G16">
        <f>+G$1-E16</f>
        <v/>
      </c>
    </row>
    <row r="17">
      <c r="A17" s="111" t="inlineStr">
        <is>
          <t>Conductual</t>
        </is>
      </c>
      <c r="B17" s="109">
        <f>+CONCATENATE(LEFT(D17,3),"-",C17)</f>
        <v/>
      </c>
      <c r="C17" s="109" t="inlineStr">
        <is>
          <t>32. Fomenta el desorden o el caos en el grupo.</t>
        </is>
      </c>
      <c r="D17" s="110" t="inlineStr">
        <is>
          <t>Alerta/Mejora</t>
        </is>
      </c>
      <c r="E17" s="114" t="n">
        <v>0</v>
      </c>
      <c r="F17">
        <f>VLOOKUP(G17, $I$3:$K$7, 3, 1)</f>
        <v/>
      </c>
      <c r="G17">
        <f>+G$1-E17</f>
        <v/>
      </c>
    </row>
    <row r="18">
      <c r="A18" s="111" t="inlineStr">
        <is>
          <t>Socio-Emocional</t>
        </is>
      </c>
      <c r="B18" s="109">
        <f>+CONCATENATE(LEFT(D18,3),"-",C18)</f>
        <v/>
      </c>
      <c r="C18" s="109" t="inlineStr">
        <is>
          <t>34. Se rinde fácilmente ante la frustración.</t>
        </is>
      </c>
      <c r="D18" s="110" t="inlineStr">
        <is>
          <t>Alerta/Mejora</t>
        </is>
      </c>
      <c r="E18" s="114" t="n">
        <v>2</v>
      </c>
      <c r="F18">
        <f>VLOOKUP(G18, $I$3:$K$7, 3, 1)</f>
        <v/>
      </c>
      <c r="G18">
        <f>+G$1-E18</f>
        <v/>
      </c>
    </row>
    <row r="19">
      <c r="A19" s="111" t="inlineStr">
        <is>
          <t>Socio-Emocional</t>
        </is>
      </c>
      <c r="B19" s="109">
        <f>+CONCATENATE(LEFT(D19,3),"-",C19)</f>
        <v/>
      </c>
      <c r="C19" s="109" t="inlineStr">
        <is>
          <t>36. Trabaja de forma aislada o es individualista.</t>
        </is>
      </c>
      <c r="D19" s="110" t="inlineStr">
        <is>
          <t>Alerta/Mejora</t>
        </is>
      </c>
      <c r="E19" s="114" t="n">
        <v>1</v>
      </c>
      <c r="F19">
        <f>VLOOKUP(G19, $I$3:$K$7, 3, 1)</f>
        <v/>
      </c>
      <c r="G19">
        <f>+G$1-E19</f>
        <v/>
      </c>
    </row>
    <row r="20">
      <c r="A20" s="111" t="inlineStr">
        <is>
          <t>Socio-Emocional</t>
        </is>
      </c>
      <c r="B20" s="109">
        <f>+CONCATENATE(LEFT(D20,3),"-",C20)</f>
        <v/>
      </c>
      <c r="C20" s="109" t="inlineStr">
        <is>
          <t>38. Ignora o se burla de los sentimientos de otros.</t>
        </is>
      </c>
      <c r="D20" s="110" t="inlineStr">
        <is>
          <t>Alerta/Mejora</t>
        </is>
      </c>
      <c r="E20" s="114" t="n">
        <v>3</v>
      </c>
      <c r="F20">
        <f>VLOOKUP(G20, $I$3:$K$7, 3, 1)</f>
        <v/>
      </c>
      <c r="G20">
        <f>+G$1-E20</f>
        <v/>
      </c>
    </row>
    <row r="21">
      <c r="A21" s="111" t="inlineStr">
        <is>
          <t>Socio-Emocional</t>
        </is>
      </c>
      <c r="B21" s="109">
        <f>+CONCATENATE(LEFT(D21,3),"-",C21)</f>
        <v/>
      </c>
      <c r="C21" s="109" t="inlineStr">
        <is>
          <t>40. Ejerce presión negativa o bullying.</t>
        </is>
      </c>
      <c r="D21" s="110" t="inlineStr">
        <is>
          <t>Alerta/Mejora</t>
        </is>
      </c>
      <c r="E21" s="114" t="n">
        <v>1</v>
      </c>
      <c r="F21">
        <f>VLOOKUP(G21, $I$3:$K$7, 3, 1)</f>
        <v/>
      </c>
      <c r="G21">
        <f>+G$1-E21</f>
        <v/>
      </c>
    </row>
    <row r="22">
      <c r="A22" s="111" t="inlineStr">
        <is>
          <t>Socio-Emocional</t>
        </is>
      </c>
      <c r="B22" s="109">
        <f>+CONCATENATE(LEFT(D22,3),"-",C22)</f>
        <v/>
      </c>
      <c r="C22" s="109" t="inlineStr">
        <is>
          <t>42. Reacciona de forma agresiva o impulsiva.</t>
        </is>
      </c>
      <c r="D22" s="110" t="inlineStr">
        <is>
          <t>Alerta/Mejora</t>
        </is>
      </c>
      <c r="E22" s="114" t="n">
        <v>1</v>
      </c>
      <c r="F22">
        <f>VLOOKUP(G22, $I$3:$K$7, 3, 1)</f>
        <v/>
      </c>
      <c r="G22">
        <f>+G$1-E22</f>
        <v/>
      </c>
    </row>
    <row r="23">
      <c r="A23" s="111" t="inlineStr">
        <is>
          <t>Socio-Emocional</t>
        </is>
      </c>
      <c r="B23" s="109">
        <f>+CONCATENATE(LEFT(D23,3),"-",C23)</f>
        <v/>
      </c>
      <c r="C23" s="109" t="inlineStr">
        <is>
          <t>44. Expresa inseguridad constante ("no puedo").</t>
        </is>
      </c>
      <c r="D23" s="110" t="inlineStr">
        <is>
          <t>Alerta/Mejora</t>
        </is>
      </c>
      <c r="E23" s="114" t="n">
        <v>1</v>
      </c>
      <c r="F23">
        <f>VLOOKUP(G23, $I$3:$K$7, 3, 1)</f>
        <v/>
      </c>
      <c r="G23">
        <f>+G$1-E23</f>
        <v/>
      </c>
    </row>
    <row r="24">
      <c r="A24" s="111" t="inlineStr">
        <is>
          <t>Actitudinal</t>
        </is>
      </c>
      <c r="B24" s="109">
        <f>+CONCATENATE(LEFT(D24,3),"-",C24)</f>
        <v/>
      </c>
      <c r="C24" s="109" t="inlineStr">
        <is>
          <t>46. Requiere estímulos externos para trabajar.</t>
        </is>
      </c>
      <c r="D24" s="110" t="inlineStr">
        <is>
          <t>Alerta/Mejora</t>
        </is>
      </c>
      <c r="E24" s="114" t="n">
        <v>2</v>
      </c>
      <c r="F24">
        <f>VLOOKUP(G24, $I$3:$K$7, 3, 1)</f>
        <v/>
      </c>
      <c r="G24">
        <f>+G$1-E24</f>
        <v/>
      </c>
    </row>
    <row r="25">
      <c r="A25" s="111" t="inlineStr">
        <is>
          <t>Actitudinal</t>
        </is>
      </c>
      <c r="B25" s="109">
        <f>+CONCATENATE(LEFT(D25,3),"-",C25)</f>
        <v/>
      </c>
      <c r="C25" s="109" t="inlineStr">
        <is>
          <t>48. Abandona proyectos a mitad de camino.</t>
        </is>
      </c>
      <c r="D25" s="110" t="inlineStr">
        <is>
          <t>Alerta/Mejora</t>
        </is>
      </c>
      <c r="E25" s="114" t="n">
        <v>0</v>
      </c>
      <c r="F25">
        <f>VLOOKUP(G25, $I$3:$K$7, 3, 1)</f>
        <v/>
      </c>
      <c r="G25">
        <f>+G$1-E25</f>
        <v/>
      </c>
    </row>
    <row r="26">
      <c r="A26" s="111" t="inlineStr">
        <is>
          <t>Actitudinal</t>
        </is>
      </c>
      <c r="B26" s="109">
        <f>+CONCATENATE(LEFT(D26,3),"-",C26)</f>
        <v/>
      </c>
      <c r="C26" s="109" t="inlineStr">
        <is>
          <t>50. Se muestra a la defensiva ante críticas.</t>
        </is>
      </c>
      <c r="D26" s="110" t="inlineStr">
        <is>
          <t>Alerta/Mejora</t>
        </is>
      </c>
      <c r="E26" s="114" t="n">
        <v>0</v>
      </c>
      <c r="F26">
        <f>VLOOKUP(G26, $I$3:$K$7, 3, 1)</f>
        <v/>
      </c>
      <c r="G26">
        <f>+G$1-E26</f>
        <v/>
      </c>
    </row>
    <row r="27">
      <c r="A27" s="111" t="n"/>
      <c r="B27" s="109" t="n"/>
      <c r="C27" s="109" t="n"/>
      <c r="D27" s="110" t="n"/>
      <c r="E27" s="114" t="n"/>
    </row>
    <row r="28">
      <c r="A28" s="112" t="inlineStr">
        <is>
          <t>Académica</t>
        </is>
      </c>
      <c r="B28" s="109">
        <f>+CONCATENATE(LEFT(D28,3),"-",C28)</f>
        <v/>
      </c>
      <c r="C28" s="104" t="inlineStr">
        <is>
          <t>01. Domina los conceptos clave del grado.</t>
        </is>
      </c>
      <c r="D28" s="103" t="inlineStr">
        <is>
          <t>Fortaleza/Logro</t>
        </is>
      </c>
      <c r="E28" s="114" t="n">
        <v>12</v>
      </c>
      <c r="F28">
        <f>VLOOKUP(G28, $I$3:$K$7, 3, 1)</f>
        <v/>
      </c>
      <c r="G28">
        <f>+E28</f>
        <v/>
      </c>
    </row>
    <row r="29">
      <c r="A29" s="112" t="inlineStr">
        <is>
          <t>Académica</t>
        </is>
      </c>
      <c r="B29" s="109">
        <f>+CONCATENATE(LEFT(D29,3),"-",C29)</f>
        <v/>
      </c>
      <c r="C29" s="104" t="inlineStr">
        <is>
          <t>03. Posee un pensamiento crítico y analítico.</t>
        </is>
      </c>
      <c r="D29" s="103" t="inlineStr">
        <is>
          <t>Fortaleza/Logro</t>
        </is>
      </c>
      <c r="E29" s="114" t="n">
        <v>14</v>
      </c>
      <c r="F29">
        <f>VLOOKUP(G29, $I$3:$K$7, 3, 1)</f>
        <v/>
      </c>
      <c r="G29">
        <f>+E29</f>
        <v/>
      </c>
    </row>
    <row r="30">
      <c r="A30" s="112" t="inlineStr">
        <is>
          <t>Académica</t>
        </is>
      </c>
      <c r="B30" s="109">
        <f>+CONCATENATE(LEFT(D30,3),"-",C30)</f>
        <v/>
      </c>
      <c r="C30" s="104" t="inlineStr">
        <is>
          <t>05. Entrega trabajos con alta calidad y orden.</t>
        </is>
      </c>
      <c r="D30" s="103" t="inlineStr">
        <is>
          <t>Fortaleza/Logro</t>
        </is>
      </c>
      <c r="E30" s="114" t="n">
        <v>12</v>
      </c>
      <c r="F30">
        <f>VLOOKUP(G30, $I$3:$K$7, 3, 1)</f>
        <v/>
      </c>
      <c r="G30">
        <f>+E30</f>
        <v/>
      </c>
    </row>
    <row r="31">
      <c r="A31" s="112" t="inlineStr">
        <is>
          <t>Académica</t>
        </is>
      </c>
      <c r="B31" s="109">
        <f>+CONCATENATE(LEFT(D31,3),"-",C31)</f>
        <v/>
      </c>
      <c r="C31" s="104" t="inlineStr">
        <is>
          <t>07. Resuelve problemas lógicos con fluidez.</t>
        </is>
      </c>
      <c r="D31" s="103" t="inlineStr">
        <is>
          <t>Fortaleza/Logro</t>
        </is>
      </c>
      <c r="E31" s="114" t="n">
        <v>12</v>
      </c>
      <c r="F31">
        <f>VLOOKUP(G31, $I$3:$K$7, 3, 1)</f>
        <v/>
      </c>
      <c r="G31">
        <f>+E31</f>
        <v/>
      </c>
    </row>
    <row r="32">
      <c r="A32" s="112" t="inlineStr">
        <is>
          <t>Académica</t>
        </is>
      </c>
      <c r="B32" s="109">
        <f>+CONCATENATE(LEFT(D32,3),"-",C32)</f>
        <v/>
      </c>
      <c r="C32" s="104" t="inlineStr">
        <is>
          <t>09. Utiliza vocabulario técnico preciso.</t>
        </is>
      </c>
      <c r="D32" s="103" t="inlineStr">
        <is>
          <t>Fortaleza/Logro</t>
        </is>
      </c>
      <c r="E32" s="114" t="n">
        <v>12</v>
      </c>
      <c r="F32">
        <f>VLOOKUP(G32, $I$3:$K$7, 3, 1)</f>
        <v/>
      </c>
      <c r="G32">
        <f>+E32</f>
        <v/>
      </c>
    </row>
    <row r="33">
      <c r="A33" s="112" t="inlineStr">
        <is>
          <t>Académica</t>
        </is>
      </c>
      <c r="B33" s="109">
        <f>+CONCATENATE(LEFT(D33,3),"-",C33)</f>
        <v/>
      </c>
      <c r="C33" s="104" t="inlineStr">
        <is>
          <t>11. Posee excelentes hábitos de lectura.</t>
        </is>
      </c>
      <c r="D33" s="103" t="inlineStr">
        <is>
          <t>Fortaleza/Logro</t>
        </is>
      </c>
      <c r="E33" s="114" t="n">
        <v>11</v>
      </c>
      <c r="F33">
        <f>VLOOKUP(G33, $I$3:$K$7, 3, 1)</f>
        <v/>
      </c>
      <c r="G33">
        <f>+E33</f>
        <v/>
      </c>
    </row>
    <row r="34">
      <c r="A34" s="112" t="inlineStr">
        <is>
          <t>Académica</t>
        </is>
      </c>
      <c r="B34" s="109">
        <f>+CONCATENATE(LEFT(D34,3),"-",C34)</f>
        <v/>
      </c>
      <c r="C34" s="104" t="inlineStr">
        <is>
          <t>13. Es autónomo en la realización de tareas.</t>
        </is>
      </c>
      <c r="D34" s="103" t="inlineStr">
        <is>
          <t>Fortaleza/Logro</t>
        </is>
      </c>
      <c r="E34" s="114" t="n">
        <v>14</v>
      </c>
      <c r="F34">
        <f>VLOOKUP(G34, $I$3:$K$7, 3, 1)</f>
        <v/>
      </c>
      <c r="G34">
        <f>+E34</f>
        <v/>
      </c>
    </row>
    <row r="35">
      <c r="A35" s="112" t="inlineStr">
        <is>
          <t>Académica</t>
        </is>
      </c>
      <c r="B35" s="109">
        <f>+CONCATENATE(LEFT(D35,3),"-",C35)</f>
        <v/>
      </c>
      <c r="C35" s="104" t="inlineStr">
        <is>
          <t>15. Investiga más allá de lo solicitado.</t>
        </is>
      </c>
      <c r="D35" s="103" t="inlineStr">
        <is>
          <t>Fortaleza/Logro</t>
        </is>
      </c>
      <c r="E35" s="114" t="n">
        <v>12</v>
      </c>
      <c r="F35">
        <f>VLOOKUP(G35, $I$3:$K$7, 3, 1)</f>
        <v/>
      </c>
      <c r="G35">
        <f>+E35</f>
        <v/>
      </c>
    </row>
    <row r="36">
      <c r="A36" s="112" t="inlineStr">
        <is>
          <t>Conductual</t>
        </is>
      </c>
      <c r="B36" s="109">
        <f>+CONCATENATE(LEFT(D36,3),"-",C36)</f>
        <v/>
      </c>
      <c r="C36" s="104" t="inlineStr">
        <is>
          <t>17. Respeta las normas de convivencia.</t>
        </is>
      </c>
      <c r="D36" s="103" t="inlineStr">
        <is>
          <t>Fortaleza/Logro</t>
        </is>
      </c>
      <c r="E36" s="114" t="n">
        <v>14</v>
      </c>
      <c r="F36">
        <f>VLOOKUP(G36, $I$3:$K$7, 3, 1)</f>
        <v/>
      </c>
      <c r="G36">
        <f>+E36</f>
        <v/>
      </c>
    </row>
    <row r="37">
      <c r="A37" s="112" t="inlineStr">
        <is>
          <t>Conductual</t>
        </is>
      </c>
      <c r="B37" s="109">
        <f>+CONCATENATE(LEFT(D37,3),"-",C37)</f>
        <v/>
      </c>
      <c r="C37" s="104" t="inlineStr">
        <is>
          <t>19. Es puntual en todas sus obligaciones.</t>
        </is>
      </c>
      <c r="D37" s="103" t="inlineStr">
        <is>
          <t>Fortaleza/Logro</t>
        </is>
      </c>
      <c r="E37" s="114" t="n">
        <v>12</v>
      </c>
      <c r="F37">
        <f>VLOOKUP(G37, $I$3:$K$7, 3, 1)</f>
        <v/>
      </c>
      <c r="G37">
        <f>+E37</f>
        <v/>
      </c>
    </row>
    <row r="38">
      <c r="A38" s="112" t="inlineStr">
        <is>
          <t>Conductual</t>
        </is>
      </c>
      <c r="B38" s="109">
        <f>+CONCATENATE(LEFT(D38,3),"-",C38)</f>
        <v/>
      </c>
      <c r="C38" s="104" t="inlineStr">
        <is>
          <t>21. Cuida el material propio y ajeno.</t>
        </is>
      </c>
      <c r="D38" s="103" t="inlineStr">
        <is>
          <t>Fortaleza/Logro</t>
        </is>
      </c>
      <c r="E38" s="114" t="n">
        <v>14</v>
      </c>
      <c r="F38">
        <f>VLOOKUP(G38, $I$3:$K$7, 3, 1)</f>
        <v/>
      </c>
      <c r="G38">
        <f>+E38</f>
        <v/>
      </c>
    </row>
    <row r="39">
      <c r="A39" s="112" t="inlineStr">
        <is>
          <t>Conductual</t>
        </is>
      </c>
      <c r="B39" s="109">
        <f>+CONCATENATE(LEFT(D39,3),"-",C39)</f>
        <v/>
      </c>
      <c r="C39" s="104" t="inlineStr">
        <is>
          <t>23. Escucha con atención y no interrumpe.</t>
        </is>
      </c>
      <c r="D39" s="103" t="inlineStr">
        <is>
          <t>Fortaleza/Logro</t>
        </is>
      </c>
      <c r="E39" s="114" t="n">
        <v>14</v>
      </c>
      <c r="F39">
        <f>VLOOKUP(G39, $I$3:$K$7, 3, 1)</f>
        <v/>
      </c>
      <c r="G39">
        <f>+E39</f>
        <v/>
      </c>
    </row>
    <row r="40">
      <c r="A40" s="112" t="inlineStr">
        <is>
          <t>Conductual</t>
        </is>
      </c>
      <c r="B40" s="109">
        <f>+CONCATENATE(LEFT(D40,3),"-",C40)</f>
        <v/>
      </c>
      <c r="C40" s="104" t="inlineStr">
        <is>
          <t>25. Utiliza el lenguaje de forma respetuosa.</t>
        </is>
      </c>
      <c r="D40" s="103" t="inlineStr">
        <is>
          <t>Fortaleza/Logro</t>
        </is>
      </c>
      <c r="E40" s="114" t="n">
        <v>14</v>
      </c>
      <c r="F40">
        <f>VLOOKUP(G40, $I$3:$K$7, 3, 1)</f>
        <v/>
      </c>
      <c r="G40">
        <f>+E40</f>
        <v/>
      </c>
    </row>
    <row r="41">
      <c r="A41" s="112" t="inlineStr">
        <is>
          <t>Conductual</t>
        </is>
      </c>
      <c r="B41" s="109">
        <f>+CONCATENATE(LEFT(D41,3),"-",C41)</f>
        <v/>
      </c>
      <c r="C41" s="104" t="inlineStr">
        <is>
          <t>27. Reconoce sus errores honestamente.</t>
        </is>
      </c>
      <c r="D41" s="103" t="inlineStr">
        <is>
          <t>Fortaleza/Logro</t>
        </is>
      </c>
      <c r="E41" s="114" t="n">
        <v>14</v>
      </c>
      <c r="F41">
        <f>VLOOKUP(G41, $I$3:$K$7, 3, 1)</f>
        <v/>
      </c>
      <c r="G41">
        <f>+E41</f>
        <v/>
      </c>
      <c r="K41" t="inlineStr">
        <is>
          <t>Suma de Cantidad de veces</t>
        </is>
      </c>
      <c r="L41" t="inlineStr">
        <is>
          <t>Etiquetas de columna</t>
        </is>
      </c>
    </row>
    <row r="42">
      <c r="A42" s="112" t="inlineStr">
        <is>
          <t>Conductual</t>
        </is>
      </c>
      <c r="B42" s="109">
        <f>+CONCATENATE(LEFT(D42,3),"-",C42)</f>
        <v/>
      </c>
      <c r="C42" s="104" t="inlineStr">
        <is>
          <t>29. Usa la tecnología con fines educativos.</t>
        </is>
      </c>
      <c r="D42" s="103" t="inlineStr">
        <is>
          <t>Fortaleza/Logro</t>
        </is>
      </c>
      <c r="E42" s="114" t="n">
        <v>12</v>
      </c>
      <c r="F42">
        <f>VLOOKUP(G42, $I$3:$K$7, 3, 1)</f>
        <v/>
      </c>
      <c r="G42">
        <f>+E42</f>
        <v/>
      </c>
      <c r="K42" t="inlineStr">
        <is>
          <t>Etiquetas de fila</t>
        </is>
      </c>
      <c r="L42" t="inlineStr">
        <is>
          <t>Alerta/Mejora</t>
        </is>
      </c>
      <c r="M42" t="inlineStr">
        <is>
          <t>Fortaleza/Logro</t>
        </is>
      </c>
      <c r="N42" t="inlineStr">
        <is>
          <t>Total general</t>
        </is>
      </c>
    </row>
    <row r="43">
      <c r="A43" s="112" t="inlineStr">
        <is>
          <t>Conductual</t>
        </is>
      </c>
      <c r="B43" s="109">
        <f>+CONCATENATE(LEFT(D43,3),"-",C43)</f>
        <v/>
      </c>
      <c r="C43" s="104" t="inlineStr">
        <is>
          <t>31. Mantiene el orden en espacios comunes.</t>
        </is>
      </c>
      <c r="D43" s="103" t="inlineStr">
        <is>
          <t>Fortaleza/Logro</t>
        </is>
      </c>
      <c r="E43" s="114" t="n">
        <v>11</v>
      </c>
      <c r="F43">
        <f>VLOOKUP(G43, $I$3:$K$7, 3, 1)</f>
        <v/>
      </c>
      <c r="G43">
        <f>+E43</f>
        <v/>
      </c>
      <c r="K43" s="87" t="inlineStr">
        <is>
          <t>Académica</t>
        </is>
      </c>
      <c r="L43" t="n">
        <v>28</v>
      </c>
      <c r="M43" t="n">
        <v>90</v>
      </c>
      <c r="N43" t="n">
        <v>118</v>
      </c>
    </row>
    <row r="44">
      <c r="A44" s="112" t="inlineStr">
        <is>
          <t>Socio-Emocional</t>
        </is>
      </c>
      <c r="B44" s="109">
        <f>+CONCATENATE(LEFT(D44,3),"-",C44)</f>
        <v/>
      </c>
      <c r="C44" s="104" t="inlineStr">
        <is>
          <t>33. Muestra resiliencia ante el fracaso.</t>
        </is>
      </c>
      <c r="D44" s="103" t="inlineStr">
        <is>
          <t>Fortaleza/Logro</t>
        </is>
      </c>
      <c r="E44" s="114" t="n">
        <v>12</v>
      </c>
      <c r="F44">
        <f>VLOOKUP(G44, $I$3:$K$7, 3, 1)</f>
        <v/>
      </c>
      <c r="G44">
        <f>+E44</f>
        <v/>
      </c>
      <c r="K44" s="87" t="inlineStr">
        <is>
          <t>Actitudinal</t>
        </is>
      </c>
      <c r="L44" t="n">
        <v>8</v>
      </c>
      <c r="M44" t="n">
        <v>97</v>
      </c>
      <c r="N44" t="n">
        <v>105</v>
      </c>
    </row>
    <row r="45">
      <c r="A45" s="112" t="inlineStr">
        <is>
          <t>Socio-Emocional</t>
        </is>
      </c>
      <c r="B45" s="109">
        <f>+CONCATENATE(LEFT(D45,3),"-",C45)</f>
        <v/>
      </c>
      <c r="C45" s="104" t="inlineStr">
        <is>
          <t>35. Trabaja de forma colaborativa y equitativa.</t>
        </is>
      </c>
      <c r="D45" s="103" t="inlineStr">
        <is>
          <t>Fortaleza/Logro</t>
        </is>
      </c>
      <c r="E45" s="114" t="n">
        <v>12</v>
      </c>
      <c r="F45">
        <f>VLOOKUP(G45, $I$3:$K$7, 3, 1)</f>
        <v/>
      </c>
      <c r="G45">
        <f>+E45</f>
        <v/>
      </c>
      <c r="K45" s="87" t="inlineStr">
        <is>
          <t>Conductual</t>
        </is>
      </c>
      <c r="L45" t="n">
        <v>33</v>
      </c>
      <c r="M45" t="n">
        <v>239</v>
      </c>
      <c r="N45" t="n">
        <v>272</v>
      </c>
    </row>
    <row r="46">
      <c r="A46" s="112" t="inlineStr">
        <is>
          <t>Socio-Emocional</t>
        </is>
      </c>
      <c r="B46" s="109">
        <f>+CONCATENATE(LEFT(D46,3),"-",C46)</f>
        <v/>
      </c>
      <c r="C46" s="104" t="inlineStr">
        <is>
          <t>37. Es empático con las necesidades ajenas.</t>
        </is>
      </c>
      <c r="D46" s="103" t="inlineStr">
        <is>
          <t>Fortaleza/Logro</t>
        </is>
      </c>
      <c r="E46" s="114" t="n">
        <v>12</v>
      </c>
      <c r="F46">
        <f>VLOOKUP(G46, $I$3:$K$7, 3, 1)</f>
        <v/>
      </c>
      <c r="G46">
        <f>+E46</f>
        <v/>
      </c>
      <c r="K46" s="87" t="inlineStr">
        <is>
          <t>Socio-Emocional</t>
        </is>
      </c>
      <c r="L46" t="n">
        <v>20</v>
      </c>
      <c r="M46" t="n">
        <v>162</v>
      </c>
      <c r="N46" t="n">
        <v>182</v>
      </c>
    </row>
    <row r="47">
      <c r="A47" s="112" t="inlineStr">
        <is>
          <t>Socio-Emocional</t>
        </is>
      </c>
      <c r="B47" s="109">
        <f>+CONCATENATE(LEFT(D47,3),"-",C47)</f>
        <v/>
      </c>
      <c r="C47" s="104" t="inlineStr">
        <is>
          <t>39. Posee un liderazgo positivo y ético.</t>
        </is>
      </c>
      <c r="D47" s="103" t="inlineStr">
        <is>
          <t>Fortaleza/Logro</t>
        </is>
      </c>
      <c r="E47" s="114" t="n">
        <v>12</v>
      </c>
      <c r="F47">
        <f>VLOOKUP(G47, $I$3:$K$7, 3, 1)</f>
        <v/>
      </c>
      <c r="G47">
        <f>+E47</f>
        <v/>
      </c>
      <c r="K47" s="87" t="inlineStr">
        <is>
          <t>Total general</t>
        </is>
      </c>
      <c r="L47" t="n">
        <v>89</v>
      </c>
      <c r="M47" t="n">
        <v>588</v>
      </c>
      <c r="N47" t="n">
        <v>677</v>
      </c>
    </row>
    <row r="48">
      <c r="A48" s="112" t="inlineStr">
        <is>
          <t>Socio-Emocional</t>
        </is>
      </c>
      <c r="B48" s="109">
        <f>+CONCATENATE(LEFT(D48,3),"-",C48)</f>
        <v/>
      </c>
      <c r="C48" s="104" t="inlineStr">
        <is>
          <t>41. Se comunica de manera asertiva.</t>
        </is>
      </c>
      <c r="D48" s="103" t="inlineStr">
        <is>
          <t>Fortaleza/Logro</t>
        </is>
      </c>
      <c r="E48" s="114" t="n">
        <v>12</v>
      </c>
      <c r="F48">
        <f>VLOOKUP(G48, $I$3:$K$7, 3, 1)</f>
        <v/>
      </c>
      <c r="G48">
        <f>+E48</f>
        <v/>
      </c>
    </row>
    <row r="49">
      <c r="A49" s="112" t="inlineStr">
        <is>
          <t>Socio-Emocional</t>
        </is>
      </c>
      <c r="B49" s="109">
        <f>+CONCATENATE(LEFT(D49,3),"-",C49)</f>
        <v/>
      </c>
      <c r="C49" s="104" t="inlineStr">
        <is>
          <t>43. Tiene una autoestima académica sólida.</t>
        </is>
      </c>
      <c r="D49" s="103" t="inlineStr">
        <is>
          <t>Fortaleza/Logro</t>
        </is>
      </c>
      <c r="E49" s="114" t="n">
        <v>12</v>
      </c>
      <c r="F49">
        <f>VLOOKUP(G49, $I$3:$K$7, 3, 1)</f>
        <v/>
      </c>
      <c r="G49">
        <f>+E49</f>
        <v/>
      </c>
      <c r="L49" t="inlineStr">
        <is>
          <t>Etiquetas de columna</t>
        </is>
      </c>
    </row>
    <row r="50">
      <c r="A50" s="112" t="inlineStr">
        <is>
          <t>Actitudinal</t>
        </is>
      </c>
      <c r="B50" s="109">
        <f>+CONCATENATE(LEFT(D50,3),"-",C50)</f>
        <v/>
      </c>
      <c r="C50" s="104" t="inlineStr">
        <is>
          <t>45. Muestra curiosidad e iniciativa propia.</t>
        </is>
      </c>
      <c r="D50" s="103" t="inlineStr">
        <is>
          <t>Fortaleza/Logro</t>
        </is>
      </c>
      <c r="E50" s="114" t="n">
        <v>12</v>
      </c>
      <c r="F50">
        <f>VLOOKUP(G50, $I$3:$K$7, 3, 1)</f>
        <v/>
      </c>
      <c r="G50">
        <f>+E50</f>
        <v/>
      </c>
      <c r="L50" t="inlineStr">
        <is>
          <t>Alerta/Mejora</t>
        </is>
      </c>
      <c r="M50" t="inlineStr">
        <is>
          <t>Fortaleza/Logro</t>
        </is>
      </c>
      <c r="N50" t="inlineStr">
        <is>
          <t>(en blanco)</t>
        </is>
      </c>
      <c r="O50" t="inlineStr">
        <is>
          <t>Total general</t>
        </is>
      </c>
    </row>
    <row r="51">
      <c r="A51" s="112" t="inlineStr">
        <is>
          <t>Actitudinal</t>
        </is>
      </c>
      <c r="B51" s="109">
        <f>+CONCATENATE(LEFT(D51,3),"-",C51)</f>
        <v/>
      </c>
      <c r="C51" s="104" t="inlineStr">
        <is>
          <t>47. Es persistente en tareas complejas.</t>
        </is>
      </c>
      <c r="D51" s="103" t="inlineStr">
        <is>
          <t>Fortaleza/Logro</t>
        </is>
      </c>
      <c r="E51" s="114" t="n">
        <v>10</v>
      </c>
      <c r="F51">
        <f>VLOOKUP(G51, $I$3:$K$7, 3, 1)</f>
        <v/>
      </c>
      <c r="G51">
        <f>+E51</f>
        <v/>
      </c>
      <c r="K51" t="inlineStr">
        <is>
          <t>Suma de Cantidad de veces</t>
        </is>
      </c>
      <c r="L51" t="n">
        <v>89</v>
      </c>
      <c r="M51" t="n">
        <v>588</v>
      </c>
      <c r="O51" t="n">
        <v>677</v>
      </c>
    </row>
    <row r="52">
      <c r="A52" s="112" t="inlineStr">
        <is>
          <t>Actitudinal</t>
        </is>
      </c>
      <c r="B52" s="109">
        <f>+CONCATENATE(LEFT(D52,3),"-",C52)</f>
        <v/>
      </c>
      <c r="C52" s="104" t="inlineStr">
        <is>
          <t>49. Acepta retroalimentación constructiva.</t>
        </is>
      </c>
      <c r="D52" s="103" t="inlineStr">
        <is>
          <t>Fortaleza/Logro</t>
        </is>
      </c>
      <c r="E52" s="114" t="n">
        <v>12</v>
      </c>
      <c r="F52">
        <f>VLOOKUP(G52, $I$3:$K$7, 3, 1)</f>
        <v/>
      </c>
      <c r="G52">
        <f>+E52</f>
        <v/>
      </c>
    </row>
    <row r="53"/>
    <row r="54"/>
    <row r="55">
      <c r="K55" t="inlineStr">
        <is>
          <t xml:space="preserve">Nota </t>
        </is>
      </c>
      <c r="L55" t="inlineStr">
        <is>
          <t>Cantidad de alumnos</t>
        </is>
      </c>
      <c r="N55" t="inlineStr">
        <is>
          <t>% de Alumnos</t>
        </is>
      </c>
    </row>
    <row r="56">
      <c r="K56" t="n">
        <v>1</v>
      </c>
      <c r="L56">
        <f>ROUND((COUNTIF($F$2:$F$52, K56) / 50) * 37, 0)</f>
        <v/>
      </c>
      <c r="N56" s="117">
        <f>+L56/L$61</f>
        <v/>
      </c>
      <c r="P56" t="inlineStr">
        <is>
          <t xml:space="preserve">Muy bueno </t>
        </is>
      </c>
      <c r="Q56">
        <f>+L60+L59</f>
        <v/>
      </c>
      <c r="R56" s="117">
        <f>+Q56/L$61</f>
        <v/>
      </c>
    </row>
    <row r="57">
      <c r="K57" t="n">
        <v>2</v>
      </c>
      <c r="L57">
        <f>ROUND((COUNTIF($F$2:$F$52, K57) / 50) * 37, 0)</f>
        <v/>
      </c>
      <c r="N57" s="117">
        <f>+L57/L$61</f>
        <v/>
      </c>
      <c r="P57" t="inlineStr">
        <is>
          <t>Bueno</t>
        </is>
      </c>
      <c r="Q57">
        <f>+L58</f>
        <v/>
      </c>
      <c r="R57" s="117">
        <f>+Q57/L$61</f>
        <v/>
      </c>
    </row>
    <row r="58">
      <c r="K58" t="n">
        <v>3</v>
      </c>
      <c r="L58">
        <f>ROUND((COUNTIF($F$2:$F$52, K58) / 50) * 37, 0)</f>
        <v/>
      </c>
      <c r="N58" s="117">
        <f>+L58/L$61</f>
        <v/>
      </c>
      <c r="P58" t="inlineStr">
        <is>
          <t>A mejorar</t>
        </is>
      </c>
      <c r="Q58">
        <f>+L56+L57</f>
        <v/>
      </c>
      <c r="R58" s="117">
        <f>+Q58/L$61</f>
        <v/>
      </c>
    </row>
    <row r="59">
      <c r="K59" t="n">
        <v>4</v>
      </c>
      <c r="L59">
        <f>ROUND((COUNTIF($F$2:$F$52, K59) / 50) * 37, 0)</f>
        <v/>
      </c>
      <c r="N59" s="117">
        <f>+L59/L$61</f>
        <v/>
      </c>
    </row>
    <row r="60">
      <c r="K60" t="n">
        <v>5</v>
      </c>
      <c r="L60">
        <f>ROUND((COUNTIF($F$2:$F$52, K60) / 50) * 37, 0)</f>
        <v/>
      </c>
      <c r="N60" s="117">
        <f>+L60/L$61</f>
        <v/>
      </c>
    </row>
    <row r="61">
      <c r="L61">
        <f>SUM(L56:L60)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8" t="inlineStr">
        <is>
          <t>COLEGIO SAGRADA FAMILIA</t>
        </is>
      </c>
      <c r="B1" s="119" t="n"/>
      <c r="C1" s="119" t="n"/>
      <c r="D1" s="119" t="n"/>
      <c r="E1" s="119" t="n"/>
      <c r="F1" s="119" t="n"/>
      <c r="G1" s="119" t="n"/>
      <c r="H1" s="120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15.75" customHeight="1">
      <c r="A2" s="118" t="inlineStr">
        <is>
          <t>ESCALA DE CALIFICACIONES - 60%</t>
        </is>
      </c>
      <c r="B2" s="119" t="n"/>
      <c r="C2" s="119" t="n"/>
      <c r="D2" s="119" t="n"/>
      <c r="E2" s="119" t="n"/>
      <c r="F2" s="119" t="n"/>
      <c r="G2" s="119" t="n"/>
      <c r="H2" s="120" t="n"/>
      <c r="I2" s="121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15.75" customHeight="1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15.75" customHeight="1">
      <c r="A4" s="123" t="inlineStr">
        <is>
          <t>15 Puntos</t>
        </is>
      </c>
      <c r="B4" s="124" t="inlineStr">
        <is>
          <t>16 Puntos</t>
        </is>
      </c>
      <c r="C4" s="124" t="inlineStr">
        <is>
          <t>17 Puntos</t>
        </is>
      </c>
      <c r="D4" s="124" t="inlineStr">
        <is>
          <t>18 Puntos</t>
        </is>
      </c>
      <c r="E4" s="124" t="inlineStr">
        <is>
          <t>19 Puntos</t>
        </is>
      </c>
      <c r="F4" s="124" t="inlineStr">
        <is>
          <t>20 Puntos</t>
        </is>
      </c>
      <c r="G4" s="124" t="inlineStr">
        <is>
          <t>21 Puntos</t>
        </is>
      </c>
      <c r="H4" s="124" t="inlineStr">
        <is>
          <t>22 Puntos</t>
        </is>
      </c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15.75" customHeight="1">
      <c r="A5" s="125" t="inlineStr">
        <is>
          <t>0 - 9 = 1</t>
        </is>
      </c>
      <c r="B5" s="126" t="inlineStr">
        <is>
          <t>0 - 9 = 1</t>
        </is>
      </c>
      <c r="C5" s="126" t="inlineStr">
        <is>
          <t>0 - 10 = 1</t>
        </is>
      </c>
      <c r="D5" s="126" t="inlineStr">
        <is>
          <t>0 - 10 = 1</t>
        </is>
      </c>
      <c r="E5" s="126" t="inlineStr">
        <is>
          <t>0 - 10 = 1</t>
        </is>
      </c>
      <c r="F5" s="126" t="inlineStr">
        <is>
          <t>0 - 11 = 1</t>
        </is>
      </c>
      <c r="G5" s="126" t="inlineStr">
        <is>
          <t>0 - 12 = 1</t>
        </is>
      </c>
      <c r="H5" s="126" t="inlineStr">
        <is>
          <t>0 - 13 = 1</t>
        </is>
      </c>
      <c r="I5" s="121" t="n"/>
      <c r="J5" s="121" t="n"/>
      <c r="K5" s="121" t="n"/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15.75" customHeight="1">
      <c r="A6" s="125" t="inlineStr">
        <is>
          <t>9 - 10 = 2</t>
        </is>
      </c>
      <c r="B6" s="126" t="inlineStr">
        <is>
          <t>9 - 10 = 2</t>
        </is>
      </c>
      <c r="C6" s="126" t="inlineStr">
        <is>
          <t>11 - 12 = 2</t>
        </is>
      </c>
      <c r="D6" s="126" t="inlineStr">
        <is>
          <t>11 - 12 = 2</t>
        </is>
      </c>
      <c r="E6" s="126" t="inlineStr">
        <is>
          <t>11 - 12 = 2</t>
        </is>
      </c>
      <c r="F6" s="126" t="inlineStr">
        <is>
          <t>12 - 13 = 2</t>
        </is>
      </c>
      <c r="G6" s="126" t="inlineStr">
        <is>
          <t>13 - 14 = 2</t>
        </is>
      </c>
      <c r="H6" s="126" t="inlineStr">
        <is>
          <t>14 - 15 = 2</t>
        </is>
      </c>
      <c r="I6" s="121" t="n"/>
      <c r="J6" s="121" t="n"/>
      <c r="K6" s="121" t="n"/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15.75" customHeight="1">
      <c r="A7" s="125" t="inlineStr">
        <is>
          <t>11 - 12 = 3</t>
        </is>
      </c>
      <c r="B7" s="126" t="inlineStr">
        <is>
          <t>11 - 12 = 3</t>
        </is>
      </c>
      <c r="C7" s="126" t="inlineStr">
        <is>
          <t>13 - 14 = 3</t>
        </is>
      </c>
      <c r="D7" s="126" t="inlineStr">
        <is>
          <t>13 - 14 = 3</t>
        </is>
      </c>
      <c r="E7" s="126" t="inlineStr">
        <is>
          <t>13 - 15 = 3</t>
        </is>
      </c>
      <c r="F7" s="126" t="inlineStr">
        <is>
          <t>14 - 16 = 3</t>
        </is>
      </c>
      <c r="G7" s="126" t="inlineStr">
        <is>
          <t>15 - 17 = 3</t>
        </is>
      </c>
      <c r="H7" s="126" t="inlineStr">
        <is>
          <t>16 - 18 = 3</t>
        </is>
      </c>
      <c r="I7" s="121" t="n"/>
      <c r="J7" s="121" t="n"/>
      <c r="K7" s="121" t="n"/>
      <c r="L7" s="121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15.75" customHeight="1">
      <c r="A8" s="125" t="inlineStr">
        <is>
          <t>13 - 14 = 4</t>
        </is>
      </c>
      <c r="B8" s="126" t="inlineStr">
        <is>
          <t>13 - 14 = 4</t>
        </is>
      </c>
      <c r="C8" s="126" t="inlineStr">
        <is>
          <t>15 - 16 = 4</t>
        </is>
      </c>
      <c r="D8" s="126" t="inlineStr">
        <is>
          <t>15 - 16 = 4</t>
        </is>
      </c>
      <c r="E8" s="126" t="inlineStr">
        <is>
          <t>16 - 17 = 4</t>
        </is>
      </c>
      <c r="F8" s="126" t="inlineStr">
        <is>
          <t>17 - 18 = 4</t>
        </is>
      </c>
      <c r="G8" s="126" t="inlineStr">
        <is>
          <t>18 - 19 = 4</t>
        </is>
      </c>
      <c r="H8" s="126" t="inlineStr">
        <is>
          <t>19 - 20 = 4</t>
        </is>
      </c>
      <c r="I8" s="121" t="n"/>
      <c r="J8" s="121" t="n"/>
      <c r="K8" s="121" t="n"/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15.75" customHeight="1">
      <c r="A9" s="125" t="inlineStr">
        <is>
          <t>15 = 5</t>
        </is>
      </c>
      <c r="B9" s="126" t="inlineStr">
        <is>
          <t>15 - 16 = 5</t>
        </is>
      </c>
      <c r="C9" s="126" t="inlineStr">
        <is>
          <t>17 = 5</t>
        </is>
      </c>
      <c r="D9" s="126" t="inlineStr">
        <is>
          <t>17 - 18 = 5</t>
        </is>
      </c>
      <c r="E9" s="126" t="inlineStr">
        <is>
          <t>18 - 19 = 5</t>
        </is>
      </c>
      <c r="F9" s="126" t="inlineStr">
        <is>
          <t>19 - 20 = 5</t>
        </is>
      </c>
      <c r="G9" s="126" t="inlineStr">
        <is>
          <t>20 - 21 = 5</t>
        </is>
      </c>
      <c r="H9" s="126" t="inlineStr">
        <is>
          <t>21 - 22 = 5</t>
        </is>
      </c>
      <c r="I9" s="121" t="n"/>
      <c r="J9" s="121" t="n"/>
      <c r="K9" s="121" t="n"/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15.75" customHeight="1">
      <c r="A10" s="122" t="n"/>
      <c r="B10" s="122" t="n"/>
      <c r="C10" s="122" t="n"/>
      <c r="D10" s="122" t="n"/>
      <c r="E10" s="122" t="n"/>
      <c r="F10" s="122" t="n"/>
      <c r="G10" s="122" t="n"/>
      <c r="H10" s="122" t="n"/>
      <c r="I10" s="121" t="n"/>
      <c r="J10" s="121" t="n"/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15.75" customHeight="1">
      <c r="A11" s="123" t="inlineStr">
        <is>
          <t>23 Puntos</t>
        </is>
      </c>
      <c r="B11" s="124" t="inlineStr">
        <is>
          <t>24 Puntos</t>
        </is>
      </c>
      <c r="C11" s="124" t="inlineStr">
        <is>
          <t>25 Puntos</t>
        </is>
      </c>
      <c r="D11" s="124" t="inlineStr">
        <is>
          <t>26 Puntos</t>
        </is>
      </c>
      <c r="E11" s="124" t="inlineStr">
        <is>
          <t>27 Puntos</t>
        </is>
      </c>
      <c r="F11" s="124" t="inlineStr">
        <is>
          <t>28 Puntos</t>
        </is>
      </c>
      <c r="G11" s="124" t="inlineStr">
        <is>
          <t>29 Puntos</t>
        </is>
      </c>
      <c r="H11" s="124" t="inlineStr">
        <is>
          <t>30 Puntos</t>
        </is>
      </c>
      <c r="I11" s="121" t="n"/>
      <c r="J11" s="121" t="n"/>
      <c r="K11" s="121" t="n"/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15.75" customHeight="1">
      <c r="A12" s="125" t="inlineStr">
        <is>
          <t>0 - 13 = 1</t>
        </is>
      </c>
      <c r="B12" s="126" t="inlineStr">
        <is>
          <t>0 - 13 = 1</t>
        </is>
      </c>
      <c r="C12" s="126" t="inlineStr">
        <is>
          <t>0 - 14 = 1</t>
        </is>
      </c>
      <c r="D12" s="126" t="inlineStr">
        <is>
          <t>0 - 15 = 1</t>
        </is>
      </c>
      <c r="E12" s="126" t="inlineStr">
        <is>
          <t>0 - 15 = 1</t>
        </is>
      </c>
      <c r="F12" s="126" t="inlineStr">
        <is>
          <t>0 - 16 = 1</t>
        </is>
      </c>
      <c r="G12" s="126" t="inlineStr">
        <is>
          <t>0 - 17 = 1</t>
        </is>
      </c>
      <c r="H12" s="126" t="inlineStr">
        <is>
          <t>0 - 17 = 1</t>
        </is>
      </c>
      <c r="I12" s="121" t="n"/>
      <c r="J12" s="121" t="n"/>
      <c r="K12" s="121" t="n"/>
      <c r="L12" s="121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15.75" customHeight="1">
      <c r="A13" s="125" t="inlineStr">
        <is>
          <t>14 - 15 = 2</t>
        </is>
      </c>
      <c r="B13" s="126" t="inlineStr">
        <is>
          <t>14 - 16 = 2</t>
        </is>
      </c>
      <c r="C13" s="126" t="inlineStr">
        <is>
          <t>15 - 17 = 2</t>
        </is>
      </c>
      <c r="D13" s="126" t="inlineStr">
        <is>
          <t>16 - 18 = 2</t>
        </is>
      </c>
      <c r="E13" s="126" t="inlineStr">
        <is>
          <t>16 - 18 = 2</t>
        </is>
      </c>
      <c r="F13" s="126" t="inlineStr">
        <is>
          <t>17 - 19 = 2</t>
        </is>
      </c>
      <c r="G13" s="126" t="inlineStr">
        <is>
          <t>18 - 20 = 2</t>
        </is>
      </c>
      <c r="H13" s="126" t="inlineStr">
        <is>
          <t>18 - 20 = 2</t>
        </is>
      </c>
      <c r="I13" s="121" t="n"/>
      <c r="J13" s="121" t="n"/>
      <c r="K13" s="121" t="n"/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15.75" customHeight="1">
      <c r="A14" s="125" t="inlineStr">
        <is>
          <t>16 - 18 = 3</t>
        </is>
      </c>
      <c r="B14" s="126" t="inlineStr">
        <is>
          <t>17 - 19 = 3</t>
        </is>
      </c>
      <c r="C14" s="126" t="inlineStr">
        <is>
          <t>18 - 20 = 3</t>
        </is>
      </c>
      <c r="D14" s="126" t="inlineStr">
        <is>
          <t>19 - 21 = 3</t>
        </is>
      </c>
      <c r="E14" s="126" t="inlineStr">
        <is>
          <t>19 - 21 = 3</t>
        </is>
      </c>
      <c r="F14" s="126" t="inlineStr">
        <is>
          <t>20 - 22 = 3</t>
        </is>
      </c>
      <c r="G14" s="126" t="inlineStr">
        <is>
          <t>21 - 23 = 3</t>
        </is>
      </c>
      <c r="H14" s="126" t="inlineStr">
        <is>
          <t>21 - 24 = 3</t>
        </is>
      </c>
      <c r="I14" s="121" t="n"/>
      <c r="J14" s="121" t="n"/>
      <c r="K14" s="121" t="n"/>
      <c r="L14" s="121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15.75" customHeight="1">
      <c r="A15" s="125" t="inlineStr">
        <is>
          <t>19 - 21 = 4</t>
        </is>
      </c>
      <c r="B15" s="126" t="inlineStr">
        <is>
          <t>20 - 22 = 4</t>
        </is>
      </c>
      <c r="C15" s="126" t="inlineStr">
        <is>
          <t>21 - 23 = 4</t>
        </is>
      </c>
      <c r="D15" s="126" t="inlineStr">
        <is>
          <t>22 - 24 = 4</t>
        </is>
      </c>
      <c r="E15" s="126" t="inlineStr">
        <is>
          <t>22 - 24 = 4</t>
        </is>
      </c>
      <c r="F15" s="126" t="inlineStr">
        <is>
          <t>23 - 25 = 4</t>
        </is>
      </c>
      <c r="G15" s="126" t="inlineStr">
        <is>
          <t>24 - 26 = 4</t>
        </is>
      </c>
      <c r="H15" s="126" t="inlineStr">
        <is>
          <t>25 - 27 = 4</t>
        </is>
      </c>
      <c r="I15" s="121" t="n"/>
      <c r="J15" s="121" t="n"/>
      <c r="K15" s="121" t="n"/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15.75" customHeight="1">
      <c r="A16" s="125" t="inlineStr">
        <is>
          <t>22 - 23 = 5</t>
        </is>
      </c>
      <c r="B16" s="126" t="inlineStr">
        <is>
          <t>23 - 24 = 5</t>
        </is>
      </c>
      <c r="C16" s="126" t="inlineStr">
        <is>
          <t>24 - 25 = 5</t>
        </is>
      </c>
      <c r="D16" s="126" t="inlineStr">
        <is>
          <t>25 - 26 = 5</t>
        </is>
      </c>
      <c r="E16" s="126" t="inlineStr">
        <is>
          <t>25 - 27 = 5</t>
        </is>
      </c>
      <c r="F16" s="126" t="inlineStr">
        <is>
          <t>26 - 28 = 5</t>
        </is>
      </c>
      <c r="G16" s="126" t="inlineStr">
        <is>
          <t>27 - 29 = 5</t>
        </is>
      </c>
      <c r="H16" s="126" t="inlineStr">
        <is>
          <t>28 - 30 = 5</t>
        </is>
      </c>
      <c r="I16" s="121" t="n"/>
      <c r="J16" s="121" t="n"/>
      <c r="K16" s="121" t="n"/>
      <c r="L16" s="121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15.75" customHeight="1">
      <c r="A17" s="127" t="n"/>
      <c r="B17" s="122" t="n"/>
      <c r="C17" s="122" t="n"/>
      <c r="D17" s="122" t="n"/>
      <c r="E17" s="122" t="n"/>
      <c r="F17" s="122" t="n"/>
      <c r="G17" s="122" t="n"/>
      <c r="H17" s="122" t="n"/>
      <c r="I17" s="121" t="n"/>
      <c r="J17" s="121" t="n"/>
      <c r="K17" s="121" t="n"/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15.75" customHeight="1">
      <c r="A18" s="123" t="inlineStr">
        <is>
          <t>31 Puntos</t>
        </is>
      </c>
      <c r="B18" s="124" t="inlineStr">
        <is>
          <t>32 Puntos</t>
        </is>
      </c>
      <c r="C18" s="124" t="inlineStr">
        <is>
          <t>33 Puntos</t>
        </is>
      </c>
      <c r="D18" s="124" t="inlineStr">
        <is>
          <t>34 Puntos</t>
        </is>
      </c>
      <c r="E18" s="124" t="inlineStr">
        <is>
          <t>35 Puntos</t>
        </is>
      </c>
      <c r="F18" s="124" t="inlineStr">
        <is>
          <t>36 Puntos</t>
        </is>
      </c>
      <c r="G18" s="124" t="inlineStr">
        <is>
          <t>37 Puntos</t>
        </is>
      </c>
      <c r="H18" s="124" t="inlineStr">
        <is>
          <t>38 Puntos</t>
        </is>
      </c>
      <c r="I18" s="121" t="n"/>
      <c r="J18" s="121" t="n"/>
      <c r="K18" s="121" t="n"/>
      <c r="L18" s="121" t="n"/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15.75" customHeight="1">
      <c r="A19" s="125" t="inlineStr">
        <is>
          <t>0 - 18 = 1</t>
        </is>
      </c>
      <c r="B19" s="126" t="inlineStr">
        <is>
          <t>0 - 18 = 1</t>
        </is>
      </c>
      <c r="C19" s="126" t="inlineStr">
        <is>
          <t>0 - 19 = 1</t>
        </is>
      </c>
      <c r="D19" s="126" t="inlineStr">
        <is>
          <t>0 - 19 = 1</t>
        </is>
      </c>
      <c r="E19" s="126" t="inlineStr">
        <is>
          <t>0 - 20 = 1</t>
        </is>
      </c>
      <c r="F19" s="126" t="inlineStr">
        <is>
          <t>0 - 21 = 1</t>
        </is>
      </c>
      <c r="G19" s="126" t="inlineStr">
        <is>
          <t>0 - 21 = 1</t>
        </is>
      </c>
      <c r="H19" s="126" t="inlineStr">
        <is>
          <t>0 - 22 = 1</t>
        </is>
      </c>
      <c r="I19" s="121" t="n"/>
      <c r="J19" s="121" t="n"/>
      <c r="K19" s="121" t="n"/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15.75" customHeight="1">
      <c r="A20" s="125" t="inlineStr">
        <is>
          <t>19 - 21 = 2</t>
        </is>
      </c>
      <c r="B20" s="126" t="inlineStr">
        <is>
          <t>19 - 21 = 2</t>
        </is>
      </c>
      <c r="C20" s="126" t="inlineStr">
        <is>
          <t>20 - 22 = 2</t>
        </is>
      </c>
      <c r="D20" s="126" t="inlineStr">
        <is>
          <t>20 - 23 = 2</t>
        </is>
      </c>
      <c r="E20" s="126" t="inlineStr">
        <is>
          <t>21 - 24 = 2</t>
        </is>
      </c>
      <c r="F20" s="126" t="inlineStr">
        <is>
          <t>22 - 25 = 2</t>
        </is>
      </c>
      <c r="G20" s="126" t="inlineStr">
        <is>
          <t>22 - 25 = 2</t>
        </is>
      </c>
      <c r="H20" s="126" t="inlineStr">
        <is>
          <t>23 - 26 = 2</t>
        </is>
      </c>
      <c r="I20" s="121" t="n"/>
      <c r="J20" s="121" t="n"/>
      <c r="K20" s="121" t="n"/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5.75" customHeight="1">
      <c r="A21" s="125" t="inlineStr">
        <is>
          <t>22 - 25 = 3</t>
        </is>
      </c>
      <c r="B21" s="126" t="inlineStr">
        <is>
          <t>22 - 25 = 3</t>
        </is>
      </c>
      <c r="C21" s="126" t="inlineStr">
        <is>
          <t>23 - 26 = 3</t>
        </is>
      </c>
      <c r="D21" s="126" t="inlineStr">
        <is>
          <t>24 - 27 = 3</t>
        </is>
      </c>
      <c r="E21" s="126" t="inlineStr">
        <is>
          <t>25 - 28 = 3</t>
        </is>
      </c>
      <c r="F21" s="126" t="inlineStr">
        <is>
          <t>26 - 29 = 3</t>
        </is>
      </c>
      <c r="G21" s="126" t="inlineStr">
        <is>
          <t>26 - 29 = 3</t>
        </is>
      </c>
      <c r="H21" s="126" t="inlineStr">
        <is>
          <t>27 - 30 = 3</t>
        </is>
      </c>
      <c r="I21" s="121" t="n"/>
      <c r="J21" s="121" t="n"/>
      <c r="K21" s="121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5.75" customHeight="1">
      <c r="A22" s="125" t="inlineStr">
        <is>
          <t>26 - 28 = 4</t>
        </is>
      </c>
      <c r="B22" s="126" t="inlineStr">
        <is>
          <t>26 - 29 = 4</t>
        </is>
      </c>
      <c r="C22" s="126" t="inlineStr">
        <is>
          <t>27 - 30 = 4</t>
        </is>
      </c>
      <c r="D22" s="126" t="inlineStr">
        <is>
          <t>28 - 31 = 4</t>
        </is>
      </c>
      <c r="E22" s="126" t="inlineStr">
        <is>
          <t>29 - 32 = 4</t>
        </is>
      </c>
      <c r="F22" s="126" t="inlineStr">
        <is>
          <t>30 - 33 = 4</t>
        </is>
      </c>
      <c r="G22" s="126" t="inlineStr">
        <is>
          <t>30 - 33 = 4</t>
        </is>
      </c>
      <c r="H22" s="126" t="inlineStr">
        <is>
          <t>31 - 34 = 4</t>
        </is>
      </c>
      <c r="I22" s="121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5.75" customHeight="1">
      <c r="A23" s="125" t="inlineStr">
        <is>
          <t>29 - 31 = 5</t>
        </is>
      </c>
      <c r="B23" s="126" t="inlineStr">
        <is>
          <t>30 - 32 = 5</t>
        </is>
      </c>
      <c r="C23" s="126" t="inlineStr">
        <is>
          <t>31 - 33 = 5</t>
        </is>
      </c>
      <c r="D23" s="126" t="inlineStr">
        <is>
          <t>32 - 34 = 5</t>
        </is>
      </c>
      <c r="E23" s="126" t="inlineStr">
        <is>
          <t>33 - 35 = 5</t>
        </is>
      </c>
      <c r="F23" s="126" t="inlineStr">
        <is>
          <t>34 - 36 = 5</t>
        </is>
      </c>
      <c r="G23" s="126" t="inlineStr">
        <is>
          <t>34 - 37 = 5</t>
        </is>
      </c>
      <c r="H23" s="126" t="inlineStr">
        <is>
          <t>35 - 38 = 5</t>
        </is>
      </c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15.75" customHeight="1">
      <c r="A24" s="122" t="n"/>
      <c r="B24" s="122" t="n"/>
      <c r="C24" s="122" t="n"/>
      <c r="D24" s="122" t="n"/>
      <c r="E24" s="122" t="n"/>
      <c r="F24" s="122" t="n"/>
      <c r="G24" s="122" t="n"/>
      <c r="H24" s="122" t="n"/>
      <c r="I24" s="121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15.75" customHeight="1">
      <c r="A25" s="123" t="inlineStr">
        <is>
          <t>39 Puntos</t>
        </is>
      </c>
      <c r="B25" s="124" t="inlineStr">
        <is>
          <t>40 Puntos</t>
        </is>
      </c>
      <c r="C25" s="124" t="inlineStr">
        <is>
          <t>41 Puntos</t>
        </is>
      </c>
      <c r="D25" s="124" t="inlineStr">
        <is>
          <t>42 Puntos</t>
        </is>
      </c>
      <c r="E25" s="124" t="inlineStr">
        <is>
          <t>43 Puntos</t>
        </is>
      </c>
      <c r="F25" s="124" t="inlineStr">
        <is>
          <t>44 Puntos</t>
        </is>
      </c>
      <c r="G25" s="124" t="inlineStr">
        <is>
          <t>45 Puntos</t>
        </is>
      </c>
      <c r="H25" s="124" t="inlineStr">
        <is>
          <t>46 Puntos</t>
        </is>
      </c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15.75" customHeight="1">
      <c r="A26" s="125" t="inlineStr">
        <is>
          <t>0 - 22 = 1</t>
        </is>
      </c>
      <c r="B26" s="126" t="inlineStr">
        <is>
          <t>0 - 23 = 1</t>
        </is>
      </c>
      <c r="C26" s="126" t="inlineStr">
        <is>
          <t>0 - 24 = 1</t>
        </is>
      </c>
      <c r="D26" s="126" t="inlineStr">
        <is>
          <t>0 - 24 = 1</t>
        </is>
      </c>
      <c r="E26" s="126" t="inlineStr">
        <is>
          <t>0 - 25 = 1</t>
        </is>
      </c>
      <c r="F26" s="126" t="inlineStr">
        <is>
          <t>0 - 25 = 1</t>
        </is>
      </c>
      <c r="G26" s="126" t="inlineStr">
        <is>
          <t>0 - 26 = 1</t>
        </is>
      </c>
      <c r="H26" s="126" t="inlineStr">
        <is>
          <t>0 - 27 = 1</t>
        </is>
      </c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5.75" customHeight="1">
      <c r="A27" s="125" t="inlineStr">
        <is>
          <t>23 - 26 = 2</t>
        </is>
      </c>
      <c r="B27" s="126" t="inlineStr">
        <is>
          <t>24 - 27 = 2</t>
        </is>
      </c>
      <c r="C27" s="126" t="inlineStr">
        <is>
          <t>25 - 28 = 2</t>
        </is>
      </c>
      <c r="D27" s="126" t="inlineStr">
        <is>
          <t>25 - 28 = 2</t>
        </is>
      </c>
      <c r="E27" s="126" t="inlineStr">
        <is>
          <t>26 - 29 = 2</t>
        </is>
      </c>
      <c r="F27" s="126" t="inlineStr">
        <is>
          <t>26 - 30 = 2</t>
        </is>
      </c>
      <c r="G27" s="126" t="inlineStr">
        <is>
          <t>27 - 31 = 2</t>
        </is>
      </c>
      <c r="H27" s="126" t="inlineStr">
        <is>
          <t>28 - 32 = 2</t>
        </is>
      </c>
      <c r="I27" s="121" t="n"/>
      <c r="J27" s="121" t="n"/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5.75" customHeight="1">
      <c r="A28" s="125" t="inlineStr">
        <is>
          <t>27 - 31 = 3</t>
        </is>
      </c>
      <c r="B28" s="126" t="inlineStr">
        <is>
          <t>28 - 32 = 3</t>
        </is>
      </c>
      <c r="C28" s="126" t="inlineStr">
        <is>
          <t>29 - 33 = 3</t>
        </is>
      </c>
      <c r="D28" s="126" t="inlineStr">
        <is>
          <t>29 - 33 = 3</t>
        </is>
      </c>
      <c r="E28" s="126" t="inlineStr">
        <is>
          <t>30 - 34 = 3</t>
        </is>
      </c>
      <c r="F28" s="126" t="inlineStr">
        <is>
          <t>31 - 35 = 3</t>
        </is>
      </c>
      <c r="G28" s="126" t="inlineStr">
        <is>
          <t>32 - 36 = 3</t>
        </is>
      </c>
      <c r="H28" s="126" t="inlineStr">
        <is>
          <t>33 - 37 = 3</t>
        </is>
      </c>
      <c r="I28" s="121" t="n"/>
      <c r="J28" s="121" t="n"/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5.75" customHeight="1">
      <c r="A29" s="125" t="inlineStr">
        <is>
          <t>32 - 35 = 4</t>
        </is>
      </c>
      <c r="B29" s="126" t="inlineStr">
        <is>
          <t>33 - 36 = 4</t>
        </is>
      </c>
      <c r="C29" s="126" t="inlineStr">
        <is>
          <t>34 - 37 = 4</t>
        </is>
      </c>
      <c r="D29" s="126" t="inlineStr">
        <is>
          <t>34 - 38 = 4</t>
        </is>
      </c>
      <c r="E29" s="126" t="inlineStr">
        <is>
          <t>35 - 39 = 4</t>
        </is>
      </c>
      <c r="F29" s="126" t="inlineStr">
        <is>
          <t>36 - 40 = 4</t>
        </is>
      </c>
      <c r="G29" s="126" t="inlineStr">
        <is>
          <t>37 - 41 = 4</t>
        </is>
      </c>
      <c r="H29" s="126" t="inlineStr">
        <is>
          <t>38 - 42 = 4</t>
        </is>
      </c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5.75" customHeight="1">
      <c r="A30" s="125" t="inlineStr">
        <is>
          <t>36 - 39 = 5</t>
        </is>
      </c>
      <c r="B30" s="126" t="inlineStr">
        <is>
          <t>37 - 40 = 5</t>
        </is>
      </c>
      <c r="C30" s="126" t="inlineStr">
        <is>
          <t>38 - 41 = 5</t>
        </is>
      </c>
      <c r="D30" s="126" t="inlineStr">
        <is>
          <t>39 - 42 = 5</t>
        </is>
      </c>
      <c r="E30" s="126" t="inlineStr">
        <is>
          <t>40 - 43 = 5</t>
        </is>
      </c>
      <c r="F30" s="126" t="inlineStr">
        <is>
          <t>41 - 44 = 5</t>
        </is>
      </c>
      <c r="G30" s="126" t="inlineStr">
        <is>
          <t>42 - 45 = 5</t>
        </is>
      </c>
      <c r="H30" s="126" t="inlineStr">
        <is>
          <t>43 - 46 = 5</t>
        </is>
      </c>
      <c r="I30" s="121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5.75" customHeight="1">
      <c r="A31" s="122" t="n"/>
      <c r="B31" s="122" t="n"/>
      <c r="C31" s="122" t="n"/>
      <c r="D31" s="122" t="n"/>
      <c r="E31" s="122" t="n"/>
      <c r="F31" s="122" t="n"/>
      <c r="G31" s="122" t="n"/>
      <c r="H31" s="122" t="n"/>
      <c r="I31" s="121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5.75" customHeight="1">
      <c r="A32" s="123" t="inlineStr">
        <is>
          <t>47 Puntos</t>
        </is>
      </c>
      <c r="B32" s="124" t="inlineStr">
        <is>
          <t>48 Puntos</t>
        </is>
      </c>
      <c r="C32" s="124" t="inlineStr">
        <is>
          <t>49 Puntos</t>
        </is>
      </c>
      <c r="D32" s="124" t="inlineStr">
        <is>
          <t>50 Puntos</t>
        </is>
      </c>
      <c r="E32" s="124" t="inlineStr">
        <is>
          <t>51 Puntos</t>
        </is>
      </c>
      <c r="F32" s="124" t="inlineStr">
        <is>
          <t>52 Puntos</t>
        </is>
      </c>
      <c r="G32" s="124" t="inlineStr">
        <is>
          <t>53 Puntos</t>
        </is>
      </c>
      <c r="H32" s="124" t="inlineStr">
        <is>
          <t>54 Puntos</t>
        </is>
      </c>
      <c r="I32" s="121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5.75" customHeight="1">
      <c r="A33" s="125" t="inlineStr">
        <is>
          <t>0 - 27 = 1</t>
        </is>
      </c>
      <c r="B33" s="126" t="inlineStr">
        <is>
          <t>0 - 28 = 1</t>
        </is>
      </c>
      <c r="C33" s="126" t="inlineStr">
        <is>
          <t>0 - 28 = 1</t>
        </is>
      </c>
      <c r="D33" s="126" t="inlineStr">
        <is>
          <t>0 - 29 = 1</t>
        </is>
      </c>
      <c r="E33" s="126" t="inlineStr">
        <is>
          <t>0 - 30 = 1</t>
        </is>
      </c>
      <c r="F33" s="126" t="inlineStr">
        <is>
          <t>0 - 30 = 1</t>
        </is>
      </c>
      <c r="G33" s="126" t="inlineStr">
        <is>
          <t>0 - 31 = 1</t>
        </is>
      </c>
      <c r="H33" s="126" t="inlineStr">
        <is>
          <t>0 - 31 = 1</t>
        </is>
      </c>
      <c r="I33" s="121" t="n"/>
      <c r="J33" s="121" t="n"/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5.75" customHeight="1">
      <c r="A34" s="125" t="inlineStr">
        <is>
          <t>28 - 32 = 2</t>
        </is>
      </c>
      <c r="B34" s="126" t="inlineStr">
        <is>
          <t>29 - 33 = 2</t>
        </is>
      </c>
      <c r="C34" s="126" t="inlineStr">
        <is>
          <t>29 - 33 = 2</t>
        </is>
      </c>
      <c r="D34" s="126" t="inlineStr">
        <is>
          <t>30 - 34 = 2</t>
        </is>
      </c>
      <c r="E34" s="126" t="inlineStr">
        <is>
          <t>31 - 35 = 2</t>
        </is>
      </c>
      <c r="F34" s="126" t="inlineStr">
        <is>
          <t>31 - 35 = 2</t>
        </is>
      </c>
      <c r="G34" s="126" t="inlineStr">
        <is>
          <t>32 - 36 = 2</t>
        </is>
      </c>
      <c r="H34" s="126" t="inlineStr">
        <is>
          <t>32 - 37 = 2</t>
        </is>
      </c>
      <c r="I34" s="121" t="n"/>
      <c r="J34" s="121" t="n"/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5.75" customHeight="1">
      <c r="A35" s="125" t="inlineStr">
        <is>
          <t>33 - 37 = 3</t>
        </is>
      </c>
      <c r="B35" s="126" t="inlineStr">
        <is>
          <t>34 - 38 = 3</t>
        </is>
      </c>
      <c r="C35" s="126" t="inlineStr">
        <is>
          <t>34 - 39 = 3</t>
        </is>
      </c>
      <c r="D35" s="126" t="inlineStr">
        <is>
          <t>35 - 40 = 3</t>
        </is>
      </c>
      <c r="E35" s="126" t="inlineStr">
        <is>
          <t>36 - 41 = 3</t>
        </is>
      </c>
      <c r="F35" s="126" t="inlineStr">
        <is>
          <t>36 - 41 = 3</t>
        </is>
      </c>
      <c r="G35" s="126" t="inlineStr">
        <is>
          <t>37 - 42 = 3</t>
        </is>
      </c>
      <c r="H35" s="126" t="inlineStr">
        <is>
          <t>38 - 43 = 3</t>
        </is>
      </c>
      <c r="I35" s="121" t="n"/>
      <c r="J35" s="121" t="n"/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15.75" customHeight="1">
      <c r="A36" s="125" t="inlineStr">
        <is>
          <t>38 - 42 = 4</t>
        </is>
      </c>
      <c r="B36" s="126" t="inlineStr">
        <is>
          <t>39 - 43 = 4</t>
        </is>
      </c>
      <c r="C36" s="126" t="inlineStr">
        <is>
          <t>40 - 44 = 4</t>
        </is>
      </c>
      <c r="D36" s="126" t="inlineStr">
        <is>
          <t>41 - 45 = 4</t>
        </is>
      </c>
      <c r="E36" s="126" t="inlineStr">
        <is>
          <t>42 - 46 = 4</t>
        </is>
      </c>
      <c r="F36" s="126" t="inlineStr">
        <is>
          <t>42 - 47 = 4</t>
        </is>
      </c>
      <c r="G36" s="126" t="inlineStr">
        <is>
          <t>43 - 48 = 4</t>
        </is>
      </c>
      <c r="H36" s="126" t="inlineStr">
        <is>
          <t>44 - 49 = 4</t>
        </is>
      </c>
      <c r="I36" s="121" t="n"/>
      <c r="J36" s="121" t="n"/>
      <c r="K36" s="121" t="n"/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5.75" customHeight="1">
      <c r="A37" s="125" t="inlineStr">
        <is>
          <t>43 - 47 = 5</t>
        </is>
      </c>
      <c r="B37" s="126" t="inlineStr">
        <is>
          <t>44 - 48 = 5</t>
        </is>
      </c>
      <c r="C37" s="126" t="inlineStr">
        <is>
          <t>45 - 49 = 5</t>
        </is>
      </c>
      <c r="D37" s="126" t="inlineStr">
        <is>
          <t>46 - 50 = 5</t>
        </is>
      </c>
      <c r="E37" s="126" t="inlineStr">
        <is>
          <t>47 - 51 = 5</t>
        </is>
      </c>
      <c r="F37" s="126" t="inlineStr">
        <is>
          <t>48 - 52 = 5</t>
        </is>
      </c>
      <c r="G37" s="126" t="inlineStr">
        <is>
          <t>49 - 53 = 5</t>
        </is>
      </c>
      <c r="H37" s="126" t="inlineStr">
        <is>
          <t>50 - 54 = 5</t>
        </is>
      </c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15.75" customHeight="1">
      <c r="A38" s="122" t="n"/>
      <c r="B38" s="122" t="n"/>
      <c r="C38" s="122" t="n"/>
      <c r="D38" s="122" t="n"/>
      <c r="E38" s="122" t="n"/>
      <c r="F38" s="122" t="n"/>
      <c r="G38" s="122" t="n"/>
      <c r="H38" s="122" t="n"/>
      <c r="I38" s="121" t="n"/>
      <c r="J38" s="121" t="n"/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15.75" customHeight="1">
      <c r="A39" s="123" t="inlineStr">
        <is>
          <t>55 Puntos</t>
        </is>
      </c>
      <c r="B39" s="124" t="inlineStr">
        <is>
          <t>56 Puntos</t>
        </is>
      </c>
      <c r="C39" s="124" t="inlineStr">
        <is>
          <t>57 Puntos</t>
        </is>
      </c>
      <c r="D39" s="124" t="inlineStr">
        <is>
          <t>58 Puntos</t>
        </is>
      </c>
      <c r="E39" s="124" t="inlineStr">
        <is>
          <t>59 Puntos</t>
        </is>
      </c>
      <c r="F39" s="124" t="inlineStr">
        <is>
          <t>60 Puntos</t>
        </is>
      </c>
      <c r="G39" s="124" t="inlineStr">
        <is>
          <t>61 Puntos</t>
        </is>
      </c>
      <c r="H39" s="124" t="inlineStr">
        <is>
          <t>62 Puntos</t>
        </is>
      </c>
      <c r="I39" s="121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5.75" customHeight="1">
      <c r="A40" s="125" t="inlineStr">
        <is>
          <t>0 - 32 = 1</t>
        </is>
      </c>
      <c r="B40" s="126" t="inlineStr">
        <is>
          <t>0 - 33 = 1</t>
        </is>
      </c>
      <c r="C40" s="126" t="inlineStr">
        <is>
          <t>0 - 33 = 1</t>
        </is>
      </c>
      <c r="D40" s="126" t="inlineStr">
        <is>
          <t>0 - 34 = 1</t>
        </is>
      </c>
      <c r="E40" s="126" t="inlineStr">
        <is>
          <t>0 - 34 = 1</t>
        </is>
      </c>
      <c r="F40" s="126" t="inlineStr">
        <is>
          <t>0 - 35 = 1</t>
        </is>
      </c>
      <c r="G40" s="126" t="inlineStr">
        <is>
          <t>0 - 36 = 1</t>
        </is>
      </c>
      <c r="H40" s="126" t="inlineStr">
        <is>
          <t>0 - 36 = 1</t>
        </is>
      </c>
      <c r="I40" s="121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5.75" customHeight="1">
      <c r="A41" s="125" t="inlineStr">
        <is>
          <t>33 - 38 = 2</t>
        </is>
      </c>
      <c r="B41" s="126" t="inlineStr">
        <is>
          <t>34 - 39 = 2</t>
        </is>
      </c>
      <c r="C41" s="126" t="inlineStr">
        <is>
          <t>34 - 39 = 2</t>
        </is>
      </c>
      <c r="D41" s="126" t="inlineStr">
        <is>
          <t>35 - 40 = 2</t>
        </is>
      </c>
      <c r="E41" s="126" t="inlineStr">
        <is>
          <t>35 - 40 = 2</t>
        </is>
      </c>
      <c r="F41" s="126" t="inlineStr">
        <is>
          <t>36 - 41 = 2</t>
        </is>
      </c>
      <c r="G41" s="126" t="inlineStr">
        <is>
          <t>37 - 42 = 2</t>
        </is>
      </c>
      <c r="H41" s="126" t="inlineStr">
        <is>
          <t>37 - 42 = 2</t>
        </is>
      </c>
      <c r="I41" s="121" t="n"/>
      <c r="J41" s="121" t="n"/>
      <c r="K41" s="121" t="n"/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5.75" customHeight="1">
      <c r="A42" s="125" t="inlineStr">
        <is>
          <t>39 - 44 = 3</t>
        </is>
      </c>
      <c r="B42" s="126" t="inlineStr">
        <is>
          <t>40 - 45 = 3</t>
        </is>
      </c>
      <c r="C42" s="126" t="inlineStr">
        <is>
          <t>40 - 45 = 3</t>
        </is>
      </c>
      <c r="D42" s="126" t="inlineStr">
        <is>
          <t>41 - 46 = 3</t>
        </is>
      </c>
      <c r="E42" s="126" t="inlineStr">
        <is>
          <t>41 - 47 = 3</t>
        </is>
      </c>
      <c r="F42" s="126" t="inlineStr">
        <is>
          <t>42 - 48 = 3</t>
        </is>
      </c>
      <c r="G42" s="126" t="inlineStr">
        <is>
          <t>43 - 49 = 3</t>
        </is>
      </c>
      <c r="H42" s="126" t="inlineStr">
        <is>
          <t>43 - 49 = 3</t>
        </is>
      </c>
      <c r="I42" s="121" t="n"/>
      <c r="J42" s="121" t="n"/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5.75" customHeight="1">
      <c r="A43" s="125" t="inlineStr">
        <is>
          <t>45 - 50 = 4</t>
        </is>
      </c>
      <c r="B43" s="126" t="inlineStr">
        <is>
          <t>46 - 51 = 4</t>
        </is>
      </c>
      <c r="C43" s="126" t="inlineStr">
        <is>
          <t>46 - 51 = 4</t>
        </is>
      </c>
      <c r="D43" s="126" t="inlineStr">
        <is>
          <t>47 - 52 = 4</t>
        </is>
      </c>
      <c r="E43" s="126" t="inlineStr">
        <is>
          <t>48 - 53 = 4</t>
        </is>
      </c>
      <c r="F43" s="126" t="inlineStr">
        <is>
          <t>49 - 54 = 4</t>
        </is>
      </c>
      <c r="G43" s="126" t="inlineStr">
        <is>
          <t>50 - 55 = 4</t>
        </is>
      </c>
      <c r="H43" s="126" t="inlineStr">
        <is>
          <t>50 - 56 = 4</t>
        </is>
      </c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5.75" customHeight="1">
      <c r="A44" s="125" t="inlineStr">
        <is>
          <t>51 - 55 = 5</t>
        </is>
      </c>
      <c r="B44" s="126" t="inlineStr">
        <is>
          <t>52 - 56 = 5</t>
        </is>
      </c>
      <c r="C44" s="126" t="inlineStr">
        <is>
          <t>52 - 57 = 5</t>
        </is>
      </c>
      <c r="D44" s="126" t="inlineStr">
        <is>
          <t>53 - 58 = 5</t>
        </is>
      </c>
      <c r="E44" s="126" t="inlineStr">
        <is>
          <t>54 - 59 = 5</t>
        </is>
      </c>
      <c r="F44" s="126" t="inlineStr">
        <is>
          <t>55 - 60 = 5</t>
        </is>
      </c>
      <c r="G44" s="126" t="inlineStr">
        <is>
          <t>56 - 61 = 5</t>
        </is>
      </c>
      <c r="H44" s="126" t="inlineStr">
        <is>
          <t>57 - 62 = 5</t>
        </is>
      </c>
      <c r="I44" s="121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5.75" customHeight="1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5.75" customHeight="1">
      <c r="A46" s="123" t="inlineStr">
        <is>
          <t>63 Puntos</t>
        </is>
      </c>
      <c r="B46" s="124" t="inlineStr">
        <is>
          <t>64 Puntos</t>
        </is>
      </c>
      <c r="C46" s="124" t="inlineStr">
        <is>
          <t>65 Puntos</t>
        </is>
      </c>
      <c r="D46" s="124" t="inlineStr">
        <is>
          <t>66 Puntos</t>
        </is>
      </c>
      <c r="E46" s="124" t="inlineStr">
        <is>
          <t>67 Puntos</t>
        </is>
      </c>
      <c r="F46" s="124" t="inlineStr">
        <is>
          <t>68 Puntos</t>
        </is>
      </c>
      <c r="G46" s="124" t="inlineStr">
        <is>
          <t>69 Puntos</t>
        </is>
      </c>
      <c r="H46" s="124" t="inlineStr">
        <is>
          <t>70 Puntos</t>
        </is>
      </c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5.75" customHeight="1">
      <c r="A47" s="125" t="inlineStr">
        <is>
          <t>0 - 37 = 1</t>
        </is>
      </c>
      <c r="B47" s="126" t="inlineStr">
        <is>
          <t>0 - 37 = 1</t>
        </is>
      </c>
      <c r="C47" s="126" t="inlineStr">
        <is>
          <t>0 - 38 = 1</t>
        </is>
      </c>
      <c r="D47" s="126" t="inlineStr">
        <is>
          <t>0 - 39 = 1</t>
        </is>
      </c>
      <c r="E47" s="126" t="inlineStr">
        <is>
          <t>0 - 39 = 1</t>
        </is>
      </c>
      <c r="F47" s="126" t="inlineStr">
        <is>
          <t>0 - 40 = 1</t>
        </is>
      </c>
      <c r="G47" s="126" t="inlineStr">
        <is>
          <t>0 - 40 = 1</t>
        </is>
      </c>
      <c r="H47" s="126" t="inlineStr">
        <is>
          <t>0 - 41 = 1</t>
        </is>
      </c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5.75" customHeight="1">
      <c r="A48" s="125" t="inlineStr">
        <is>
          <t>38 - 43 = 2</t>
        </is>
      </c>
      <c r="B48" s="126" t="inlineStr">
        <is>
          <t>38 - 44 = 2</t>
        </is>
      </c>
      <c r="C48" s="126" t="inlineStr">
        <is>
          <t>39 - 45 = 2</t>
        </is>
      </c>
      <c r="D48" s="126" t="inlineStr">
        <is>
          <t>40 - 46 = 2</t>
        </is>
      </c>
      <c r="E48" s="126" t="inlineStr">
        <is>
          <t>40 - 46 = 2</t>
        </is>
      </c>
      <c r="F48" s="126" t="inlineStr">
        <is>
          <t>41 - 47 = 2</t>
        </is>
      </c>
      <c r="G48" s="126" t="inlineStr">
        <is>
          <t>41 - 47 = 2</t>
        </is>
      </c>
      <c r="H48" s="126" t="inlineStr">
        <is>
          <t>42 - 48 = 2</t>
        </is>
      </c>
      <c r="I48" s="121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5.75" customHeight="1">
      <c r="A49" s="125" t="inlineStr">
        <is>
          <t>44 - 50 = 3</t>
        </is>
      </c>
      <c r="B49" s="126" t="inlineStr">
        <is>
          <t>45 - 51 = 3</t>
        </is>
      </c>
      <c r="C49" s="126" t="inlineStr">
        <is>
          <t>46 - 52 = 3</t>
        </is>
      </c>
      <c r="D49" s="126" t="inlineStr">
        <is>
          <t>47 - 53 = 3</t>
        </is>
      </c>
      <c r="E49" s="126" t="inlineStr">
        <is>
          <t>47 - 53 = 3</t>
        </is>
      </c>
      <c r="F49" s="126" t="inlineStr">
        <is>
          <t>48 - 54 = 3</t>
        </is>
      </c>
      <c r="G49" s="126" t="inlineStr">
        <is>
          <t>48 - 55 = 3</t>
        </is>
      </c>
      <c r="H49" s="126" t="inlineStr">
        <is>
          <t>49 - 56 = 3</t>
        </is>
      </c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5.75" customHeight="1">
      <c r="A50" s="125" t="inlineStr">
        <is>
          <t>51 - 57 = 4</t>
        </is>
      </c>
      <c r="B50" s="126" t="inlineStr">
        <is>
          <t>52 - 58 = 4</t>
        </is>
      </c>
      <c r="C50" s="126" t="inlineStr">
        <is>
          <t>53 - 59 = 4</t>
        </is>
      </c>
      <c r="D50" s="126" t="inlineStr">
        <is>
          <t>54 - 60 = 4</t>
        </is>
      </c>
      <c r="E50" s="126" t="inlineStr">
        <is>
          <t>54 - 60 = 4</t>
        </is>
      </c>
      <c r="F50" s="126" t="inlineStr">
        <is>
          <t>55 - 61 = 4</t>
        </is>
      </c>
      <c r="G50" s="126" t="inlineStr">
        <is>
          <t>56 - 62 = 4</t>
        </is>
      </c>
      <c r="H50" s="126" t="inlineStr">
        <is>
          <t>57 - 63 = 4</t>
        </is>
      </c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5.75" customHeight="1">
      <c r="A51" s="125" t="inlineStr">
        <is>
          <t>58 - 63 = 5</t>
        </is>
      </c>
      <c r="B51" s="126" t="inlineStr">
        <is>
          <t>59 - 64 = 5</t>
        </is>
      </c>
      <c r="C51" s="126" t="inlineStr">
        <is>
          <t>60 - 65 = 5</t>
        </is>
      </c>
      <c r="D51" s="126" t="inlineStr">
        <is>
          <t>61 - 66 = 5</t>
        </is>
      </c>
      <c r="E51" s="126" t="inlineStr">
        <is>
          <t>61 - 67 = 5</t>
        </is>
      </c>
      <c r="F51" s="126" t="inlineStr">
        <is>
          <t>62 - 68 = 5</t>
        </is>
      </c>
      <c r="G51" s="126" t="inlineStr">
        <is>
          <t>63 - 69 = 5</t>
        </is>
      </c>
      <c r="H51" s="126" t="inlineStr">
        <is>
          <t>64 - 70 = 5</t>
        </is>
      </c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5.75" customHeight="1">
      <c r="A52" s="121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5.75" customHeight="1">
      <c r="A53" s="121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5.75" customHeight="1">
      <c r="A54" s="121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5.75" customHeight="1">
      <c r="A55" s="121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5.75" customHeight="1">
      <c r="A56" s="118" t="inlineStr">
        <is>
          <t>COLEGIO SAGRADA FAMILIA</t>
        </is>
      </c>
      <c r="B56" s="119" t="n"/>
      <c r="C56" s="119" t="n"/>
      <c r="D56" s="119" t="n"/>
      <c r="E56" s="119" t="n"/>
      <c r="F56" s="119" t="n"/>
      <c r="G56" s="119" t="n"/>
      <c r="H56" s="120" t="n"/>
      <c r="I56" s="121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5.75" customHeight="1">
      <c r="A57" s="118" t="inlineStr">
        <is>
          <t>ESCALA DE CALIFICACIONES - 60%</t>
        </is>
      </c>
      <c r="B57" s="119" t="n"/>
      <c r="C57" s="119" t="n"/>
      <c r="D57" s="119" t="n"/>
      <c r="E57" s="119" t="n"/>
      <c r="F57" s="119" t="n"/>
      <c r="G57" s="119" t="n"/>
      <c r="H57" s="120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5.75" customHeight="1">
      <c r="A58" s="122" t="n"/>
      <c r="B58" s="122" t="n"/>
      <c r="C58" s="122" t="n"/>
      <c r="D58" s="122" t="n"/>
      <c r="E58" s="122" t="n"/>
      <c r="F58" s="122" t="n"/>
      <c r="G58" s="122" t="n"/>
      <c r="H58" s="122" t="n"/>
      <c r="I58" s="121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5.75" customHeight="1">
      <c r="A59" s="123" t="inlineStr">
        <is>
          <t>71 Puntos</t>
        </is>
      </c>
      <c r="B59" s="124" t="inlineStr">
        <is>
          <t>72 Puntos</t>
        </is>
      </c>
      <c r="C59" s="124" t="inlineStr">
        <is>
          <t>73 Puntos</t>
        </is>
      </c>
      <c r="D59" s="124" t="inlineStr">
        <is>
          <t>74 Puntos</t>
        </is>
      </c>
      <c r="E59" s="124" t="inlineStr">
        <is>
          <t>75 Puntos</t>
        </is>
      </c>
      <c r="F59" s="124" t="inlineStr">
        <is>
          <t>76 Puntos</t>
        </is>
      </c>
      <c r="G59" s="124" t="inlineStr">
        <is>
          <t>77 Puntos</t>
        </is>
      </c>
      <c r="H59" s="124" t="inlineStr">
        <is>
          <t>78 Puntos</t>
        </is>
      </c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5.75" customHeight="1">
      <c r="A60" s="125" t="inlineStr">
        <is>
          <t>0 - 42 = 1</t>
        </is>
      </c>
      <c r="B60" s="126" t="inlineStr">
        <is>
          <t>0 - 42 = 1</t>
        </is>
      </c>
      <c r="C60" s="126" t="inlineStr">
        <is>
          <t>0 - 43 = 1</t>
        </is>
      </c>
      <c r="D60" s="126" t="inlineStr">
        <is>
          <t>0 - 43 = 1</t>
        </is>
      </c>
      <c r="E60" s="126" t="inlineStr">
        <is>
          <t>0 - 44 = 1</t>
        </is>
      </c>
      <c r="F60" s="126" t="inlineStr">
        <is>
          <t>0 - 45 = 1</t>
        </is>
      </c>
      <c r="G60" s="126" t="inlineStr">
        <is>
          <t>0 - 45 = 1</t>
        </is>
      </c>
      <c r="H60" s="126" t="inlineStr">
        <is>
          <t>0 - 46 = 1</t>
        </is>
      </c>
      <c r="I60" s="121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5.75" customHeight="1">
      <c r="A61" s="125" t="inlineStr">
        <is>
          <t>43 - 49 = 2</t>
        </is>
      </c>
      <c r="B61" s="126" t="inlineStr">
        <is>
          <t>43 - 49 = 2</t>
        </is>
      </c>
      <c r="C61" s="126" t="inlineStr">
        <is>
          <t>44 - 50 = 2</t>
        </is>
      </c>
      <c r="D61" s="126" t="inlineStr">
        <is>
          <t>44 - 51 = 2</t>
        </is>
      </c>
      <c r="E61" s="126" t="inlineStr">
        <is>
          <t>45 - 52 = 2</t>
        </is>
      </c>
      <c r="F61" s="126" t="inlineStr">
        <is>
          <t>46 - 53 = 2</t>
        </is>
      </c>
      <c r="G61" s="126" t="inlineStr">
        <is>
          <t>46 - 53 = 2</t>
        </is>
      </c>
      <c r="H61" s="126" t="inlineStr">
        <is>
          <t>47 - 54 = 2</t>
        </is>
      </c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5.75" customHeight="1">
      <c r="A62" s="125" t="inlineStr">
        <is>
          <t>50 - 57 = 3</t>
        </is>
      </c>
      <c r="B62" s="126" t="inlineStr">
        <is>
          <t>50 - 57 = 3</t>
        </is>
      </c>
      <c r="C62" s="126" t="inlineStr">
        <is>
          <t>51 - 58 = 3</t>
        </is>
      </c>
      <c r="D62" s="126" t="inlineStr">
        <is>
          <t>52 - 59 = 3</t>
        </is>
      </c>
      <c r="E62" s="126" t="inlineStr">
        <is>
          <t>53 - 60 = 3</t>
        </is>
      </c>
      <c r="F62" s="126" t="inlineStr">
        <is>
          <t>54 - 61 = 3</t>
        </is>
      </c>
      <c r="G62" s="126" t="inlineStr">
        <is>
          <t>54 - 61 = 3</t>
        </is>
      </c>
      <c r="H62" s="126" t="inlineStr">
        <is>
          <t>55 - 62 = 3</t>
        </is>
      </c>
      <c r="I62" s="121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5.75" customHeight="1">
      <c r="A63" s="125" t="inlineStr">
        <is>
          <t>58 - 64 = 4</t>
        </is>
      </c>
      <c r="B63" s="126" t="inlineStr">
        <is>
          <t>58 - 65 = 4</t>
        </is>
      </c>
      <c r="C63" s="126" t="inlineStr">
        <is>
          <t>59 - 66 = 4</t>
        </is>
      </c>
      <c r="D63" s="126" t="inlineStr">
        <is>
          <t>60 - 67 = 4</t>
        </is>
      </c>
      <c r="E63" s="126" t="inlineStr">
        <is>
          <t>61 - 68 = 4</t>
        </is>
      </c>
      <c r="F63" s="126" t="inlineStr">
        <is>
          <t>62 - 69 = 4</t>
        </is>
      </c>
      <c r="G63" s="126" t="inlineStr">
        <is>
          <t>62 - 69 = 4</t>
        </is>
      </c>
      <c r="H63" s="126" t="inlineStr">
        <is>
          <t>63 - 70 = 4</t>
        </is>
      </c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5.75" customHeight="1">
      <c r="A64" s="125" t="inlineStr">
        <is>
          <t>65 - 71 = 5</t>
        </is>
      </c>
      <c r="B64" s="126" t="inlineStr">
        <is>
          <t>66 - 72 = 5</t>
        </is>
      </c>
      <c r="C64" s="126" t="inlineStr">
        <is>
          <t>67 - 73 = 5</t>
        </is>
      </c>
      <c r="D64" s="126" t="inlineStr">
        <is>
          <t>68 - 74 = 5</t>
        </is>
      </c>
      <c r="E64" s="126" t="inlineStr">
        <is>
          <t>69 - 75 = 5</t>
        </is>
      </c>
      <c r="F64" s="126" t="inlineStr">
        <is>
          <t>70 - 76 = 5</t>
        </is>
      </c>
      <c r="G64" s="126" t="inlineStr">
        <is>
          <t>70 - 77 = 5</t>
        </is>
      </c>
      <c r="H64" s="126" t="inlineStr">
        <is>
          <t>71 - 78 = 5</t>
        </is>
      </c>
      <c r="I64" s="121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5.75" customHeight="1">
      <c r="A65" s="122" t="n"/>
      <c r="B65" s="122" t="n"/>
      <c r="C65" s="122" t="n"/>
      <c r="D65" s="122" t="n"/>
      <c r="E65" s="122" t="n"/>
      <c r="F65" s="122" t="n"/>
      <c r="G65" s="122" t="n"/>
      <c r="H65" s="122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5.75" customHeight="1">
      <c r="A66" s="123" t="inlineStr">
        <is>
          <t>79 Puntos</t>
        </is>
      </c>
      <c r="B66" s="124" t="inlineStr">
        <is>
          <t>80 Puntos</t>
        </is>
      </c>
      <c r="C66" s="124" t="inlineStr">
        <is>
          <t>81 Puntos</t>
        </is>
      </c>
      <c r="D66" s="124" t="inlineStr">
        <is>
          <t>82 Puntos</t>
        </is>
      </c>
      <c r="E66" s="124" t="inlineStr">
        <is>
          <t>83 Puntos</t>
        </is>
      </c>
      <c r="F66" s="124" t="inlineStr">
        <is>
          <t>84 Puntos</t>
        </is>
      </c>
      <c r="G66" s="124" t="inlineStr">
        <is>
          <t>85 Puntos</t>
        </is>
      </c>
      <c r="H66" s="124" t="inlineStr">
        <is>
          <t>86 Puntos</t>
        </is>
      </c>
      <c r="I66" s="121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5.75" customHeight="1">
      <c r="A67" s="125" t="inlineStr">
        <is>
          <t>0 - 46 = 1</t>
        </is>
      </c>
      <c r="B67" s="126" t="inlineStr">
        <is>
          <t>0 - 47 = 1</t>
        </is>
      </c>
      <c r="C67" s="126" t="inlineStr">
        <is>
          <t>0 - 48 = 1</t>
        </is>
      </c>
      <c r="D67" s="126" t="inlineStr">
        <is>
          <t>0 - 48 = 1</t>
        </is>
      </c>
      <c r="E67" s="126" t="inlineStr">
        <is>
          <t>0 - 48 = 1</t>
        </is>
      </c>
      <c r="F67" s="126" t="inlineStr">
        <is>
          <t>0 - 49 = 1</t>
        </is>
      </c>
      <c r="G67" s="126" t="inlineStr">
        <is>
          <t>0 - 50 = 1</t>
        </is>
      </c>
      <c r="H67" s="126" t="inlineStr">
        <is>
          <t>0 - 51 = 1</t>
        </is>
      </c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5.75" customHeight="1">
      <c r="A68" s="125" t="inlineStr">
        <is>
          <t>47 - 54 = 2</t>
        </is>
      </c>
      <c r="B68" s="126" t="inlineStr">
        <is>
          <t>48 - 55 = 2</t>
        </is>
      </c>
      <c r="C68" s="126" t="inlineStr">
        <is>
          <t>49 - 56 = 2</t>
        </is>
      </c>
      <c r="D68" s="126" t="inlineStr">
        <is>
          <t>49 - 56 = 2</t>
        </is>
      </c>
      <c r="E68" s="126" t="inlineStr">
        <is>
          <t>49 - 57 = 2</t>
        </is>
      </c>
      <c r="F68" s="126" t="inlineStr">
        <is>
          <t>50 - 58 = 2</t>
        </is>
      </c>
      <c r="G68" s="126" t="inlineStr">
        <is>
          <t>51 - 59 = 2</t>
        </is>
      </c>
      <c r="H68" s="126" t="inlineStr">
        <is>
          <t>52 - 60 = 2</t>
        </is>
      </c>
      <c r="I68" s="121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5.75" customHeight="1">
      <c r="A69" s="125" t="inlineStr">
        <is>
          <t>55 - 63 = 3</t>
        </is>
      </c>
      <c r="B69" s="126" t="inlineStr">
        <is>
          <t>56 - 64 = 3</t>
        </is>
      </c>
      <c r="C69" s="126" t="inlineStr">
        <is>
          <t>57 - 65 = 3</t>
        </is>
      </c>
      <c r="D69" s="126" t="inlineStr">
        <is>
          <t>57 - 65 = 3</t>
        </is>
      </c>
      <c r="E69" s="126" t="inlineStr">
        <is>
          <t>58 - 66 = 3</t>
        </is>
      </c>
      <c r="F69" s="126" t="inlineStr">
        <is>
          <t>59 - 67 = 3</t>
        </is>
      </c>
      <c r="G69" s="126" t="inlineStr">
        <is>
          <t>60 - 68 = 3</t>
        </is>
      </c>
      <c r="H69" s="126" t="inlineStr">
        <is>
          <t>61 - 69 = 3</t>
        </is>
      </c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5.75" customHeight="1">
      <c r="A70" s="125" t="inlineStr">
        <is>
          <t>64 - 71 = 4</t>
        </is>
      </c>
      <c r="B70" s="126" t="inlineStr">
        <is>
          <t>65 - 72 = 4</t>
        </is>
      </c>
      <c r="C70" s="126" t="inlineStr">
        <is>
          <t>66 - 73 = 4</t>
        </is>
      </c>
      <c r="D70" s="126" t="inlineStr">
        <is>
          <t>66 - 74 = 4</t>
        </is>
      </c>
      <c r="E70" s="126" t="inlineStr">
        <is>
          <t>67 - 75 = 4</t>
        </is>
      </c>
      <c r="F70" s="126" t="inlineStr">
        <is>
          <t>68 - 76 = 4</t>
        </is>
      </c>
      <c r="G70" s="126" t="inlineStr">
        <is>
          <t>69 - 77 = 4</t>
        </is>
      </c>
      <c r="H70" s="126" t="inlineStr">
        <is>
          <t>70 - 78 = 4</t>
        </is>
      </c>
      <c r="I70" s="121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5.75" customHeight="1">
      <c r="A71" s="125" t="inlineStr">
        <is>
          <t>72 - 79 = 5</t>
        </is>
      </c>
      <c r="B71" s="126" t="inlineStr">
        <is>
          <t>73 - 80 = 5</t>
        </is>
      </c>
      <c r="C71" s="126" t="inlineStr">
        <is>
          <t>74 - 81 = 5</t>
        </is>
      </c>
      <c r="D71" s="126" t="inlineStr">
        <is>
          <t>75 - 82 = 5</t>
        </is>
      </c>
      <c r="E71" s="126" t="inlineStr">
        <is>
          <t>76 - 83 = 5</t>
        </is>
      </c>
      <c r="F71" s="126" t="inlineStr">
        <is>
          <t>77 - 84 = 5</t>
        </is>
      </c>
      <c r="G71" s="126" t="inlineStr">
        <is>
          <t>78 - 85 = 5</t>
        </is>
      </c>
      <c r="H71" s="126" t="inlineStr">
        <is>
          <t>79 - 86 = 5</t>
        </is>
      </c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>
      <c r="A72" s="122" t="n"/>
      <c r="B72" s="122" t="n"/>
      <c r="C72" s="122" t="n"/>
      <c r="D72" s="122" t="n"/>
      <c r="E72" s="122" t="n"/>
      <c r="F72" s="122" t="n"/>
      <c r="G72" s="122" t="n"/>
      <c r="H72" s="122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>
      <c r="A73" s="123" t="inlineStr">
        <is>
          <t>87 Puntos</t>
        </is>
      </c>
      <c r="B73" s="124" t="inlineStr">
        <is>
          <t>88 Puntos</t>
        </is>
      </c>
      <c r="C73" s="124" t="inlineStr">
        <is>
          <t>89 Puntos</t>
        </is>
      </c>
      <c r="D73" s="124" t="inlineStr">
        <is>
          <t>90 Puntos</t>
        </is>
      </c>
      <c r="E73" s="124" t="inlineStr">
        <is>
          <t>91 Puntos</t>
        </is>
      </c>
      <c r="F73" s="124" t="inlineStr">
        <is>
          <t>92 Puntos</t>
        </is>
      </c>
      <c r="G73" s="124" t="inlineStr">
        <is>
          <t>93 Puntos</t>
        </is>
      </c>
      <c r="H73" s="124" t="inlineStr">
        <is>
          <t>94 Puntos</t>
        </is>
      </c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>
      <c r="A74" s="125" t="inlineStr">
        <is>
          <t>0 - 51 = 1</t>
        </is>
      </c>
      <c r="B74" s="126" t="inlineStr">
        <is>
          <t>0 - 52 = 1</t>
        </is>
      </c>
      <c r="C74" s="126" t="inlineStr">
        <is>
          <t>0 - 52 = 1</t>
        </is>
      </c>
      <c r="D74" s="126" t="inlineStr">
        <is>
          <t>0 - 53 = 1</t>
        </is>
      </c>
      <c r="E74" s="126" t="inlineStr">
        <is>
          <t>0 - 54 = 1</t>
        </is>
      </c>
      <c r="F74" s="126" t="inlineStr">
        <is>
          <t>0 - 54 = 1</t>
        </is>
      </c>
      <c r="G74" s="126" t="inlineStr">
        <is>
          <t>0 - 55 = 1</t>
        </is>
      </c>
      <c r="H74" s="126" t="inlineStr">
        <is>
          <t>0 - 55 = 1</t>
        </is>
      </c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>
      <c r="A75" s="125" t="inlineStr">
        <is>
          <t>52 - 60 = 2</t>
        </is>
      </c>
      <c r="B75" s="126" t="inlineStr">
        <is>
          <t>53 - 61 = 2</t>
        </is>
      </c>
      <c r="C75" s="126" t="inlineStr">
        <is>
          <t>53 - 61 = 2</t>
        </is>
      </c>
      <c r="D75" s="126" t="inlineStr">
        <is>
          <t>54 - 62 = 2</t>
        </is>
      </c>
      <c r="E75" s="126" t="inlineStr">
        <is>
          <t>55 - 63 = 2</t>
        </is>
      </c>
      <c r="F75" s="126" t="inlineStr">
        <is>
          <t>55 - 63 = 2</t>
        </is>
      </c>
      <c r="G75" s="126" t="inlineStr">
        <is>
          <t>56 - 64 = 2</t>
        </is>
      </c>
      <c r="H75" s="126" t="inlineStr">
        <is>
          <t>56 - 65 = 2</t>
        </is>
      </c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>
      <c r="A76" s="125" t="inlineStr">
        <is>
          <t>61 - 69 = 3</t>
        </is>
      </c>
      <c r="B76" s="126" t="inlineStr">
        <is>
          <t>62 - 70 = 3</t>
        </is>
      </c>
      <c r="C76" s="126" t="inlineStr">
        <is>
          <t>62 - 71 = 3</t>
        </is>
      </c>
      <c r="D76" s="126" t="inlineStr">
        <is>
          <t>63 - 72 = 3</t>
        </is>
      </c>
      <c r="E76" s="126" t="inlineStr">
        <is>
          <t>64 - 73 = 3</t>
        </is>
      </c>
      <c r="F76" s="126" t="inlineStr">
        <is>
          <t>64 - 73 = 3</t>
        </is>
      </c>
      <c r="G76" s="126" t="inlineStr">
        <is>
          <t>65 - 74 = 3</t>
        </is>
      </c>
      <c r="H76" s="126" t="inlineStr">
        <is>
          <t>66 - 75 = 3</t>
        </is>
      </c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>
      <c r="A77" s="125" t="inlineStr">
        <is>
          <t>70 - 78 = 4</t>
        </is>
      </c>
      <c r="B77" s="126" t="inlineStr">
        <is>
          <t>71 - 79 = 4</t>
        </is>
      </c>
      <c r="C77" s="126" t="inlineStr">
        <is>
          <t>72 - 80 = 4</t>
        </is>
      </c>
      <c r="D77" s="126" t="inlineStr">
        <is>
          <t>73 - 81 = 4</t>
        </is>
      </c>
      <c r="E77" s="126" t="inlineStr">
        <is>
          <t>74 - 82 = 4</t>
        </is>
      </c>
      <c r="F77" s="126" t="inlineStr">
        <is>
          <t>74 - 83 = 4</t>
        </is>
      </c>
      <c r="G77" s="126" t="inlineStr">
        <is>
          <t>75 - 84 = 4</t>
        </is>
      </c>
      <c r="H77" s="126" t="inlineStr">
        <is>
          <t>76 - 85 = 4</t>
        </is>
      </c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>
      <c r="A78" s="125" t="inlineStr">
        <is>
          <t>79 - 87 = 5</t>
        </is>
      </c>
      <c r="B78" s="126" t="inlineStr">
        <is>
          <t>80 - 88 = 5</t>
        </is>
      </c>
      <c r="C78" s="126" t="inlineStr">
        <is>
          <t>81 - 89 = 5</t>
        </is>
      </c>
      <c r="D78" s="126" t="inlineStr">
        <is>
          <t>82 - 90 = 5</t>
        </is>
      </c>
      <c r="E78" s="126" t="inlineStr">
        <is>
          <t>83 - 91 = 5</t>
        </is>
      </c>
      <c r="F78" s="126" t="inlineStr">
        <is>
          <t>84 - 92 = 5</t>
        </is>
      </c>
      <c r="G78" s="126" t="inlineStr">
        <is>
          <t>85 - 93 = 5</t>
        </is>
      </c>
      <c r="H78" s="126" t="inlineStr">
        <is>
          <t>86 - 94= 5</t>
        </is>
      </c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>
      <c r="A79" s="122" t="n"/>
      <c r="B79" s="122" t="n"/>
      <c r="C79" s="122" t="n"/>
      <c r="D79" s="122" t="n"/>
      <c r="E79" s="122" t="n"/>
      <c r="F79" s="122" t="n"/>
      <c r="G79" s="122" t="n"/>
      <c r="H79" s="122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>
      <c r="A80" s="123" t="inlineStr">
        <is>
          <t>95 Puntos</t>
        </is>
      </c>
      <c r="B80" s="124" t="inlineStr">
        <is>
          <t>96 Puntos</t>
        </is>
      </c>
      <c r="C80" s="124" t="inlineStr">
        <is>
          <t>97 Puntos</t>
        </is>
      </c>
      <c r="D80" s="124" t="inlineStr">
        <is>
          <t>98 Puntos</t>
        </is>
      </c>
      <c r="E80" s="124" t="inlineStr">
        <is>
          <t>99 Puntos</t>
        </is>
      </c>
      <c r="F80" s="124" t="inlineStr">
        <is>
          <t>100 Puntos</t>
        </is>
      </c>
      <c r="G80" s="124" t="inlineStr">
        <is>
          <t>101 Puntos</t>
        </is>
      </c>
      <c r="H80" s="124" t="inlineStr">
        <is>
          <t>102 Puntos</t>
        </is>
      </c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>
      <c r="A81" s="125" t="inlineStr">
        <is>
          <t>0 - 56 = 1</t>
        </is>
      </c>
      <c r="B81" s="126" t="inlineStr">
        <is>
          <t>0 - 57 = 1</t>
        </is>
      </c>
      <c r="C81" s="126" t="inlineStr">
        <is>
          <t>0 - 57 = 1</t>
        </is>
      </c>
      <c r="D81" s="126" t="inlineStr">
        <is>
          <t>0 - 58 = 1</t>
        </is>
      </c>
      <c r="E81" s="126" t="inlineStr">
        <is>
          <t>0 - 58 = 1</t>
        </is>
      </c>
      <c r="F81" s="126" t="inlineStr">
        <is>
          <t>0 - 59 = 1</t>
        </is>
      </c>
      <c r="G81" s="126" t="inlineStr">
        <is>
          <t>0 - 60 = 1</t>
        </is>
      </c>
      <c r="H81" s="126" t="inlineStr">
        <is>
          <t>0 - 60 = 1</t>
        </is>
      </c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>
      <c r="A82" s="125" t="inlineStr">
        <is>
          <t>57 - 66 = 2</t>
        </is>
      </c>
      <c r="B82" s="126" t="inlineStr">
        <is>
          <t>58 - 67 = 2</t>
        </is>
      </c>
      <c r="C82" s="126" t="inlineStr">
        <is>
          <t>58 - 67 = 2</t>
        </is>
      </c>
      <c r="D82" s="126" t="inlineStr">
        <is>
          <t>59 - 68 = 2</t>
        </is>
      </c>
      <c r="E82" s="126" t="inlineStr">
        <is>
          <t>59- 68 = 2</t>
        </is>
      </c>
      <c r="F82" s="126" t="inlineStr">
        <is>
          <t>60- 69 = 2</t>
        </is>
      </c>
      <c r="G82" s="126" t="inlineStr">
        <is>
          <t>61- 70 = 2</t>
        </is>
      </c>
      <c r="H82" s="126" t="inlineStr">
        <is>
          <t>61- 70 = 2</t>
        </is>
      </c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>
      <c r="A83" s="125" t="inlineStr">
        <is>
          <t>67 - 76 = 3</t>
        </is>
      </c>
      <c r="B83" s="126" t="inlineStr">
        <is>
          <t>68 - 77 = 3</t>
        </is>
      </c>
      <c r="C83" s="126" t="inlineStr">
        <is>
          <t>68 - 77 = 3</t>
        </is>
      </c>
      <c r="D83" s="126" t="inlineStr">
        <is>
          <t>69 - 78 = 3</t>
        </is>
      </c>
      <c r="E83" s="126" t="inlineStr">
        <is>
          <t>69 - 79 = 3</t>
        </is>
      </c>
      <c r="F83" s="126" t="inlineStr">
        <is>
          <t>70 - 80 = 3</t>
        </is>
      </c>
      <c r="G83" s="126" t="inlineStr">
        <is>
          <t>71 - 81 = 3</t>
        </is>
      </c>
      <c r="H83" s="126" t="inlineStr">
        <is>
          <t>71 - 81 = 3</t>
        </is>
      </c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>
      <c r="A84" s="125" t="inlineStr">
        <is>
          <t>77 - 86 = 4</t>
        </is>
      </c>
      <c r="B84" s="126" t="inlineStr">
        <is>
          <t>78 - 87 = 4</t>
        </is>
      </c>
      <c r="C84" s="126" t="inlineStr">
        <is>
          <t>78 - 87 = 4</t>
        </is>
      </c>
      <c r="D84" s="126" t="inlineStr">
        <is>
          <t>79 - 88 = 4</t>
        </is>
      </c>
      <c r="E84" s="126" t="inlineStr">
        <is>
          <t>80 - 89 = 4</t>
        </is>
      </c>
      <c r="F84" s="126" t="inlineStr">
        <is>
          <t>81 - 90 = 4</t>
        </is>
      </c>
      <c r="G84" s="126" t="inlineStr">
        <is>
          <t>82 - 91 = 4</t>
        </is>
      </c>
      <c r="H84" s="126" t="inlineStr">
        <is>
          <t>82 - 92 = 4</t>
        </is>
      </c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>
      <c r="A85" s="125" t="inlineStr">
        <is>
          <t>87 - 95= 5</t>
        </is>
      </c>
      <c r="B85" s="126" t="inlineStr">
        <is>
          <t>88 - 96= 5</t>
        </is>
      </c>
      <c r="C85" s="126" t="inlineStr">
        <is>
          <t>88 - 97= 5</t>
        </is>
      </c>
      <c r="D85" s="126" t="inlineStr">
        <is>
          <t>89 - 98= 5</t>
        </is>
      </c>
      <c r="E85" s="126" t="inlineStr">
        <is>
          <t>90 - 99= 5</t>
        </is>
      </c>
      <c r="F85" s="126" t="inlineStr">
        <is>
          <t>91 -100= 5</t>
        </is>
      </c>
      <c r="G85" s="126" t="inlineStr">
        <is>
          <t>92 -101= 5</t>
        </is>
      </c>
      <c r="H85" s="126" t="inlineStr">
        <is>
          <t>93 -102= 5</t>
        </is>
      </c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>
      <c r="A86" s="122" t="n"/>
      <c r="B86" s="122" t="n"/>
      <c r="C86" s="122" t="n"/>
      <c r="D86" s="122" t="n"/>
      <c r="E86" s="122" t="n"/>
      <c r="F86" s="122" t="n"/>
      <c r="G86" s="122" t="n"/>
      <c r="H86" s="122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>
      <c r="A87" s="123" t="inlineStr">
        <is>
          <t>103 Puntos</t>
        </is>
      </c>
      <c r="B87" s="124" t="inlineStr">
        <is>
          <t>104 Puntos</t>
        </is>
      </c>
      <c r="C87" s="124" t="inlineStr">
        <is>
          <t>105 Puntos</t>
        </is>
      </c>
      <c r="D87" s="124" t="inlineStr">
        <is>
          <t>106 Puntos</t>
        </is>
      </c>
      <c r="E87" s="124" t="inlineStr">
        <is>
          <t>107 Puntos</t>
        </is>
      </c>
      <c r="F87" s="124" t="inlineStr">
        <is>
          <t>108 Puntos</t>
        </is>
      </c>
      <c r="G87" s="124" t="inlineStr">
        <is>
          <t>109 Puntos</t>
        </is>
      </c>
      <c r="H87" s="124" t="inlineStr">
        <is>
          <t>110 Puntos</t>
        </is>
      </c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>
      <c r="A88" s="125" t="inlineStr">
        <is>
          <t>0 - 61 = 1</t>
        </is>
      </c>
      <c r="B88" s="126" t="inlineStr">
        <is>
          <t>0 - 61 = 1</t>
        </is>
      </c>
      <c r="C88" s="126" t="inlineStr">
        <is>
          <t>0 - 62 = 1</t>
        </is>
      </c>
      <c r="D88" s="126" t="inlineStr">
        <is>
          <t>0 - 63 = 1</t>
        </is>
      </c>
      <c r="E88" s="126" t="inlineStr">
        <is>
          <t>0 - 63 = 1</t>
        </is>
      </c>
      <c r="F88" s="126" t="inlineStr">
        <is>
          <t>0 - 64 = 1</t>
        </is>
      </c>
      <c r="G88" s="126" t="inlineStr">
        <is>
          <t>0 - 64 = 1</t>
        </is>
      </c>
      <c r="H88" s="126" t="inlineStr">
        <is>
          <t>0 - 65 = 1</t>
        </is>
      </c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>
      <c r="A89" s="125" t="inlineStr">
        <is>
          <t>62 - 71 = 2</t>
        </is>
      </c>
      <c r="B89" s="126" t="inlineStr">
        <is>
          <t>62 - 72 = 2</t>
        </is>
      </c>
      <c r="C89" s="126" t="inlineStr">
        <is>
          <t>63 - 73 = 2</t>
        </is>
      </c>
      <c r="D89" s="126" t="inlineStr">
        <is>
          <t>64 - 74 = 2</t>
        </is>
      </c>
      <c r="E89" s="126" t="inlineStr">
        <is>
          <t>64 - 74 = 2</t>
        </is>
      </c>
      <c r="F89" s="126" t="inlineStr">
        <is>
          <t>65 - 75 = 2</t>
        </is>
      </c>
      <c r="G89" s="126" t="inlineStr">
        <is>
          <t>65 - 75 = 2</t>
        </is>
      </c>
      <c r="H89" s="126" t="inlineStr">
        <is>
          <t>66 - 76 = 2</t>
        </is>
      </c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>
      <c r="A90" s="125" t="inlineStr">
        <is>
          <t>72 - 82 = 3</t>
        </is>
      </c>
      <c r="B90" s="126" t="inlineStr">
        <is>
          <t>73 - 83 = 3</t>
        </is>
      </c>
      <c r="C90" s="126" t="inlineStr">
        <is>
          <t>74 - 84 = 3</t>
        </is>
      </c>
      <c r="D90" s="126" t="inlineStr">
        <is>
          <t>75 - 85 = 3</t>
        </is>
      </c>
      <c r="E90" s="126" t="inlineStr">
        <is>
          <t>75 - 85 = 3</t>
        </is>
      </c>
      <c r="F90" s="126" t="inlineStr">
        <is>
          <t>76 - 86 = 3</t>
        </is>
      </c>
      <c r="G90" s="126" t="inlineStr">
        <is>
          <t>76 - 87 = 3</t>
        </is>
      </c>
      <c r="H90" s="126" t="inlineStr">
        <is>
          <t>77 - 88 = 3</t>
        </is>
      </c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>
      <c r="A91" s="125" t="inlineStr">
        <is>
          <t>83 - 93 = 4</t>
        </is>
      </c>
      <c r="B91" s="126" t="inlineStr">
        <is>
          <t>84 - 94 = 4</t>
        </is>
      </c>
      <c r="C91" s="126" t="inlineStr">
        <is>
          <t>85 - 95 = 4</t>
        </is>
      </c>
      <c r="D91" s="126" t="inlineStr">
        <is>
          <t>86 - 96 = 4</t>
        </is>
      </c>
      <c r="E91" s="126" t="inlineStr">
        <is>
          <t>86 - 96 = 4</t>
        </is>
      </c>
      <c r="F91" s="126" t="inlineStr">
        <is>
          <t>87 - 97 = 4</t>
        </is>
      </c>
      <c r="G91" s="126" t="inlineStr">
        <is>
          <t>88 - 98 = 4</t>
        </is>
      </c>
      <c r="H91" s="126" t="inlineStr">
        <is>
          <t>89 - 99 = 4</t>
        </is>
      </c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>
      <c r="A92" s="125" t="inlineStr">
        <is>
          <t>94 -103= 5</t>
        </is>
      </c>
      <c r="B92" s="126" t="inlineStr">
        <is>
          <t>95 -104= 5</t>
        </is>
      </c>
      <c r="C92" s="126" t="inlineStr">
        <is>
          <t>96 -105= 5</t>
        </is>
      </c>
      <c r="D92" s="126" t="inlineStr">
        <is>
          <t>97 -106= 5</t>
        </is>
      </c>
      <c r="E92" s="126" t="inlineStr">
        <is>
          <t>97 -107= 5</t>
        </is>
      </c>
      <c r="F92" s="126" t="inlineStr">
        <is>
          <t>98 -108= 5</t>
        </is>
      </c>
      <c r="G92" s="126" t="inlineStr">
        <is>
          <t>99 -109= 5</t>
        </is>
      </c>
      <c r="H92" s="126" t="inlineStr">
        <is>
          <t>100-110= 5</t>
        </is>
      </c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>
      <c r="A93" s="122" t="n"/>
      <c r="B93" s="122" t="n"/>
      <c r="C93" s="122" t="n"/>
      <c r="D93" s="122" t="n"/>
      <c r="E93" s="122" t="n"/>
      <c r="F93" s="122" t="n"/>
      <c r="G93" s="122" t="n"/>
      <c r="H93" s="122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>
      <c r="A94" s="123" t="inlineStr">
        <is>
          <t>111 Puntos</t>
        </is>
      </c>
      <c r="B94" s="124" t="inlineStr">
        <is>
          <t>112 Puntos</t>
        </is>
      </c>
      <c r="C94" s="124" t="inlineStr">
        <is>
          <t>113 Puntos</t>
        </is>
      </c>
      <c r="D94" s="124" t="inlineStr">
        <is>
          <t>114 Puntos</t>
        </is>
      </c>
      <c r="E94" s="124" t="inlineStr">
        <is>
          <t>115 Puntos</t>
        </is>
      </c>
      <c r="F94" s="124" t="inlineStr">
        <is>
          <t>116 Puntos</t>
        </is>
      </c>
      <c r="G94" s="124" t="inlineStr">
        <is>
          <t>117 Puntos</t>
        </is>
      </c>
      <c r="H94" s="124" t="inlineStr">
        <is>
          <t>118 Puntos</t>
        </is>
      </c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>
      <c r="A95" s="125" t="inlineStr">
        <is>
          <t>0 - 66 = 1</t>
        </is>
      </c>
      <c r="B95" s="126" t="inlineStr">
        <is>
          <t>0 - 66 = 1</t>
        </is>
      </c>
      <c r="C95" s="126" t="inlineStr">
        <is>
          <t>0 - 67 = 1</t>
        </is>
      </c>
      <c r="D95" s="126" t="inlineStr">
        <is>
          <t>0 - 67 = 1</t>
        </is>
      </c>
      <c r="E95" s="126" t="inlineStr">
        <is>
          <t>0 - 68 = 1</t>
        </is>
      </c>
      <c r="F95" s="126" t="inlineStr">
        <is>
          <t>0 - 69 = 1</t>
        </is>
      </c>
      <c r="G95" s="126" t="inlineStr">
        <is>
          <t>0 - 69 = 1</t>
        </is>
      </c>
      <c r="H95" s="126" t="inlineStr">
        <is>
          <t>0 - 70 = 1</t>
        </is>
      </c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>
      <c r="A96" s="125" t="inlineStr">
        <is>
          <t>67 - 77 = 2</t>
        </is>
      </c>
      <c r="B96" s="126" t="inlineStr">
        <is>
          <t>67 - 77 = 2</t>
        </is>
      </c>
      <c r="C96" s="126" t="inlineStr">
        <is>
          <t>68 - 78 = 2</t>
        </is>
      </c>
      <c r="D96" s="126" t="inlineStr">
        <is>
          <t>68 - 79 = 2</t>
        </is>
      </c>
      <c r="E96" s="126" t="inlineStr">
        <is>
          <t>69 - 80 = 2</t>
        </is>
      </c>
      <c r="F96" s="126" t="inlineStr">
        <is>
          <t>70 - 81 = 2</t>
        </is>
      </c>
      <c r="G96" s="126" t="inlineStr">
        <is>
          <t>70 - 81 = 2</t>
        </is>
      </c>
      <c r="H96" s="126" t="inlineStr">
        <is>
          <t>71 - 82 = 2</t>
        </is>
      </c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>
      <c r="A97" s="125" t="inlineStr">
        <is>
          <t>78 - 89 = 3</t>
        </is>
      </c>
      <c r="B97" s="126" t="inlineStr">
        <is>
          <t>78 - 89 = 3</t>
        </is>
      </c>
      <c r="C97" s="126" t="inlineStr">
        <is>
          <t>79 - 90 = 3</t>
        </is>
      </c>
      <c r="D97" s="126" t="inlineStr">
        <is>
          <t>80 - 91 = 3</t>
        </is>
      </c>
      <c r="E97" s="126" t="inlineStr">
        <is>
          <t>81 - 92 = 3</t>
        </is>
      </c>
      <c r="F97" s="126" t="inlineStr">
        <is>
          <t>82 - 93 = 3</t>
        </is>
      </c>
      <c r="G97" s="126" t="inlineStr">
        <is>
          <t>82 - 93 = 3</t>
        </is>
      </c>
      <c r="H97" s="126" t="inlineStr">
        <is>
          <t>83 - 94 = 3</t>
        </is>
      </c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>
      <c r="A98" s="125" t="inlineStr">
        <is>
          <t>90 - 100= 4</t>
        </is>
      </c>
      <c r="B98" s="126" t="inlineStr">
        <is>
          <t>90 - 101= 4</t>
        </is>
      </c>
      <c r="C98" s="126" t="inlineStr">
        <is>
          <t>91 - 102= 4</t>
        </is>
      </c>
      <c r="D98" s="126" t="inlineStr">
        <is>
          <t>92 - 103= 4</t>
        </is>
      </c>
      <c r="E98" s="126" t="inlineStr">
        <is>
          <t>93 - 104= 4</t>
        </is>
      </c>
      <c r="F98" s="126" t="inlineStr">
        <is>
          <t>94 - 105= 4</t>
        </is>
      </c>
      <c r="G98" s="126" t="inlineStr">
        <is>
          <t>94 - 105= 4</t>
        </is>
      </c>
      <c r="H98" s="126" t="inlineStr">
        <is>
          <t>95 - 106= 4</t>
        </is>
      </c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>
      <c r="A99" s="125" t="inlineStr">
        <is>
          <t>101-111= 5</t>
        </is>
      </c>
      <c r="B99" s="126" t="inlineStr">
        <is>
          <t>102-112= 5</t>
        </is>
      </c>
      <c r="C99" s="126" t="inlineStr">
        <is>
          <t>103-113= 5</t>
        </is>
      </c>
      <c r="D99" s="126" t="inlineStr">
        <is>
          <t>104-114= 5</t>
        </is>
      </c>
      <c r="E99" s="126" t="inlineStr">
        <is>
          <t>105-115= 5</t>
        </is>
      </c>
      <c r="F99" s="126" t="inlineStr">
        <is>
          <t>106-116= 5</t>
        </is>
      </c>
      <c r="G99" s="126" t="inlineStr">
        <is>
          <t>106-117= 5</t>
        </is>
      </c>
      <c r="H99" s="126" t="inlineStr">
        <is>
          <t>107-118= 5</t>
        </is>
      </c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>
      <c r="A100" s="122" t="n"/>
      <c r="B100" s="122" t="n"/>
      <c r="C100" s="122" t="n"/>
      <c r="D100" s="122" t="n"/>
      <c r="E100" s="122" t="n"/>
      <c r="F100" s="122" t="n"/>
      <c r="G100" s="122" t="n"/>
      <c r="H100" s="122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>
      <c r="A101" s="123" t="inlineStr">
        <is>
          <t>119 Puntos</t>
        </is>
      </c>
      <c r="B101" s="124" t="inlineStr">
        <is>
          <t>120 Puntos</t>
        </is>
      </c>
      <c r="C101" s="124" t="inlineStr">
        <is>
          <t>121 Puntos</t>
        </is>
      </c>
      <c r="D101" s="124" t="inlineStr">
        <is>
          <t>122 Puntos</t>
        </is>
      </c>
      <c r="E101" s="124" t="inlineStr">
        <is>
          <t>123 Puntos</t>
        </is>
      </c>
      <c r="F101" s="124" t="inlineStr">
        <is>
          <t>124 Puntos</t>
        </is>
      </c>
      <c r="G101" s="124" t="inlineStr">
        <is>
          <t>125 Puntos</t>
        </is>
      </c>
      <c r="H101" s="124" t="inlineStr">
        <is>
          <t>126 Puntos</t>
        </is>
      </c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>
      <c r="A102" s="125" t="inlineStr">
        <is>
          <t>0 - 70 = 1</t>
        </is>
      </c>
      <c r="B102" s="126" t="inlineStr">
        <is>
          <t>0 - 71 = 1</t>
        </is>
      </c>
      <c r="C102" s="126" t="inlineStr">
        <is>
          <t>0 - 72 = 1</t>
        </is>
      </c>
      <c r="D102" s="126" t="inlineStr">
        <is>
          <t>0 - 72 = 1</t>
        </is>
      </c>
      <c r="E102" s="126" t="inlineStr">
        <is>
          <t>0 - 73 = 1</t>
        </is>
      </c>
      <c r="F102" s="126" t="inlineStr">
        <is>
          <t>0 - 73 = 1</t>
        </is>
      </c>
      <c r="G102" s="126" t="inlineStr">
        <is>
          <t>0 - 74 = 1</t>
        </is>
      </c>
      <c r="H102" s="126" t="inlineStr">
        <is>
          <t>0 - 75 = 1</t>
        </is>
      </c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>
      <c r="A103" s="125" t="inlineStr">
        <is>
          <t>71 - 82 = 2</t>
        </is>
      </c>
      <c r="B103" s="126" t="inlineStr">
        <is>
          <t>72 - 83 = 2</t>
        </is>
      </c>
      <c r="C103" s="126" t="inlineStr">
        <is>
          <t>73 - 84 = 2</t>
        </is>
      </c>
      <c r="D103" s="126" t="inlineStr">
        <is>
          <t>73 - 84 = 2</t>
        </is>
      </c>
      <c r="E103" s="126" t="inlineStr">
        <is>
          <t>74 - 85 = 2</t>
        </is>
      </c>
      <c r="F103" s="126" t="inlineStr">
        <is>
          <t>74 - 86 = 2</t>
        </is>
      </c>
      <c r="G103" s="126" t="inlineStr">
        <is>
          <t>75 - 87 = 2</t>
        </is>
      </c>
      <c r="H103" s="126" t="inlineStr">
        <is>
          <t>76 - 88 = 2</t>
        </is>
      </c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>
      <c r="A104" s="125" t="inlineStr">
        <is>
          <t>83 - 95 = 3</t>
        </is>
      </c>
      <c r="B104" s="126" t="inlineStr">
        <is>
          <t>84 - 96 = 3</t>
        </is>
      </c>
      <c r="C104" s="126" t="inlineStr">
        <is>
          <t>85 - 97 = 3</t>
        </is>
      </c>
      <c r="D104" s="126" t="inlineStr">
        <is>
          <t>85 - 97 = 3</t>
        </is>
      </c>
      <c r="E104" s="126" t="inlineStr">
        <is>
          <t>86 - 98 = 3</t>
        </is>
      </c>
      <c r="F104" s="126" t="inlineStr">
        <is>
          <t>87 - 99 = 3</t>
        </is>
      </c>
      <c r="G104" s="126" t="inlineStr">
        <is>
          <t>88 - 100 = 3</t>
        </is>
      </c>
      <c r="H104" s="126" t="inlineStr">
        <is>
          <t>89 - 101 = 3</t>
        </is>
      </c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>
      <c r="A105" s="125" t="inlineStr">
        <is>
          <t>96 - 107= 4</t>
        </is>
      </c>
      <c r="B105" s="126" t="inlineStr">
        <is>
          <t>97 - 108= 4</t>
        </is>
      </c>
      <c r="C105" s="126" t="inlineStr">
        <is>
          <t>98 - 109= 4</t>
        </is>
      </c>
      <c r="D105" s="126" t="inlineStr">
        <is>
          <t>98 - 110= 4</t>
        </is>
      </c>
      <c r="E105" s="126" t="inlineStr">
        <is>
          <t>99 - 111= 4</t>
        </is>
      </c>
      <c r="F105" s="126" t="inlineStr">
        <is>
          <t>100 - 112= 4</t>
        </is>
      </c>
      <c r="G105" s="126" t="inlineStr">
        <is>
          <t>101 - 113= 4</t>
        </is>
      </c>
      <c r="H105" s="126" t="inlineStr">
        <is>
          <t>102 - 114= 4</t>
        </is>
      </c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>
      <c r="A106" s="125" t="inlineStr">
        <is>
          <t>108-119= 5</t>
        </is>
      </c>
      <c r="B106" s="126" t="inlineStr">
        <is>
          <t>109-120= 5</t>
        </is>
      </c>
      <c r="C106" s="126" t="inlineStr">
        <is>
          <t>110-121= 5</t>
        </is>
      </c>
      <c r="D106" s="126" t="inlineStr">
        <is>
          <t>111-122= 5</t>
        </is>
      </c>
      <c r="E106" s="126" t="inlineStr">
        <is>
          <t>112-123= 5</t>
        </is>
      </c>
      <c r="F106" s="126" t="inlineStr">
        <is>
          <t>113-124= 5</t>
        </is>
      </c>
      <c r="G106" s="126" t="inlineStr">
        <is>
          <t>114-125= 5</t>
        </is>
      </c>
      <c r="H106" s="126" t="inlineStr">
        <is>
          <t>115-126= 5</t>
        </is>
      </c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  <c r="G1" t="n">
        <v>1</v>
      </c>
      <c r="H1" t="inlineStr">
        <is>
          <t>ACOSTA FERREIRA, FRANCO JESUS</t>
        </is>
      </c>
    </row>
    <row r="2">
      <c r="A2">
        <f>+H1</f>
        <v/>
      </c>
      <c r="B2">
        <f>TRIM(LEFT(MID(A2, FIND(",", A2) + 1, LEN(A2)), FIND(" ", TRIM(MID(A2, FIND(",", A2) + 1, LEN(A2)))))) &amp; " " &amp; LEFT(A2, FIND(" ", A2) - 1)</f>
        <v/>
      </c>
      <c r="G2" t="n">
        <v>2</v>
      </c>
      <c r="H2" t="inlineStr">
        <is>
          <t>ARCE GAONA, NAOMI JOSELIN</t>
        </is>
      </c>
    </row>
    <row r="3">
      <c r="A3">
        <f>+H2</f>
        <v/>
      </c>
      <c r="B3">
        <f>TRIM(LEFT(MID(A3, FIND(",", A3) + 1, LEN(A3)), FIND(" ", TRIM(MID(A3, FIND(",", A3) + 1, LEN(A3)))))) &amp; " " &amp; LEFT(A3, FIND(" ", A3) - 1)</f>
        <v/>
      </c>
      <c r="G3" t="n">
        <v>3</v>
      </c>
      <c r="H3" t="inlineStr">
        <is>
          <t>ARZAMENDIA GONZALEZ, GUSTAVO ASAEL DEJESUS</t>
        </is>
      </c>
    </row>
    <row r="4">
      <c r="A4">
        <f>+H3</f>
        <v/>
      </c>
      <c r="B4">
        <f>TRIM(LEFT(MID(A4, FIND(",", A4) + 1, LEN(A4)), FIND(" ", TRIM(MID(A4, FIND(",", A4) + 1, LEN(A4)))))) &amp; " " &amp; LEFT(A4, FIND(" ", A4) - 1)</f>
        <v/>
      </c>
      <c r="G4" t="n">
        <v>4</v>
      </c>
      <c r="H4" t="inlineStr">
        <is>
          <t>AYALA MALDONADO, MIGUEL PETROVIC</t>
        </is>
      </c>
    </row>
    <row r="5">
      <c r="A5">
        <f>+H4</f>
        <v/>
      </c>
      <c r="B5">
        <f>TRIM(LEFT(MID(A5, FIND(",", A5) + 1, LEN(A5)), FIND(" ", TRIM(MID(A5, FIND(",", A5) + 1, LEN(A5)))))) &amp; " " &amp; LEFT(A5, FIND(" ", A5) - 1)</f>
        <v/>
      </c>
      <c r="G5" t="n">
        <v>5</v>
      </c>
      <c r="H5" t="inlineStr">
        <is>
          <t>BENITEZ OVELAR, LUNA ARAMI</t>
        </is>
      </c>
    </row>
    <row r="6">
      <c r="A6">
        <f>+H5</f>
        <v/>
      </c>
      <c r="B6">
        <f>TRIM(LEFT(MID(A6, FIND(",", A6) + 1, LEN(A6)), FIND(" ", TRIM(MID(A6, FIND(",", A6) + 1, LEN(A6)))))) &amp; " " &amp; LEFT(A6, FIND(" ", A6) - 1)</f>
        <v/>
      </c>
      <c r="G6" t="n">
        <v>6</v>
      </c>
      <c r="H6" t="inlineStr">
        <is>
          <t>BENITEZ, LURDES ESMERALDA</t>
        </is>
      </c>
    </row>
    <row r="7">
      <c r="A7">
        <f>+H6</f>
        <v/>
      </c>
      <c r="B7">
        <f>TRIM(LEFT(MID(A7, FIND(",", A7) + 1, LEN(A7)), FIND(" ", TRIM(MID(A7, FIND(",", A7) + 1, LEN(A7)))))) &amp; " " &amp; LEFT(A7, FIND(" ", A7) - 1)</f>
        <v/>
      </c>
      <c r="G7" t="n">
        <v>7</v>
      </c>
      <c r="H7" t="inlineStr">
        <is>
          <t>DURE OVIEDO, MYLAN DANILO</t>
        </is>
      </c>
    </row>
    <row r="8">
      <c r="A8">
        <f>+H7</f>
        <v/>
      </c>
      <c r="B8">
        <f>TRIM(LEFT(MID(A8, FIND(",", A8) + 1, LEN(A8)), FIND(" ", TRIM(MID(A8, FIND(",", A8) + 1, LEN(A8)))))) &amp; " " &amp; LEFT(A8, FIND(" ", A8) - 1)</f>
        <v/>
      </c>
      <c r="G8" t="n">
        <v>8</v>
      </c>
      <c r="H8" t="inlineStr">
        <is>
          <t>FERREIRA CACERES, PAULA JAZMIN</t>
        </is>
      </c>
    </row>
    <row r="9">
      <c r="A9">
        <f>+H8</f>
        <v/>
      </c>
      <c r="B9">
        <f>TRIM(LEFT(MID(A9, FIND(",", A9) + 1, LEN(A9)), FIND(" ", TRIM(MID(A9, FIND(",", A9) + 1, LEN(A9)))))) &amp; " " &amp; LEFT(A9, FIND(" ", A9) - 1)</f>
        <v/>
      </c>
      <c r="G9" t="n">
        <v>9</v>
      </c>
      <c r="H9" t="inlineStr">
        <is>
          <t>GIMENEZ AMARILLA, JOSE MARIA</t>
        </is>
      </c>
    </row>
    <row r="10">
      <c r="A10">
        <f>+H9</f>
        <v/>
      </c>
      <c r="B10">
        <f>TRIM(LEFT(MID(A10, FIND(",", A10) + 1, LEN(A10)), FIND(" ", TRIM(MID(A10, FIND(",", A10) + 1, LEN(A10)))))) &amp; " " &amp; LEFT(A10, FIND(" ", A10) - 1)</f>
        <v/>
      </c>
      <c r="G10" t="n">
        <v>10</v>
      </c>
      <c r="H10" t="inlineStr">
        <is>
          <t xml:space="preserve">LEGUIZAMON INSAURRALDE, ANGEL NAHUEL </t>
        </is>
      </c>
    </row>
    <row r="11">
      <c r="A11">
        <f>+H10</f>
        <v/>
      </c>
      <c r="B11">
        <f>TRIM(LEFT(MID(A11, FIND(",", A11) + 1, LEN(A11)), FIND(" ", TRIM(MID(A11, FIND(",", A11) + 1, LEN(A11)))))) &amp; " " &amp; LEFT(A11, FIND(" ", A11) - 1)</f>
        <v/>
      </c>
      <c r="G11" t="n">
        <v>11</v>
      </c>
      <c r="H11" t="inlineStr">
        <is>
          <t>MILLAN BAEZ, GIOVANNA MAILEN</t>
        </is>
      </c>
    </row>
    <row r="12">
      <c r="A12">
        <f>+H11</f>
        <v/>
      </c>
      <c r="B12">
        <f>TRIM(LEFT(MID(A12, FIND(",", A12) + 1, LEN(A12)), FIND(" ", TRIM(MID(A12, FIND(",", A12) + 1, LEN(A12)))))) &amp; " " &amp; LEFT(A12, FIND(" ", A12) - 1)</f>
        <v/>
      </c>
      <c r="G12" t="n">
        <v>12</v>
      </c>
      <c r="H12" t="inlineStr">
        <is>
          <t>RAMIREZ ALFONSO, NELSON DANIEL</t>
        </is>
      </c>
    </row>
    <row r="13">
      <c r="A13">
        <f>+H12</f>
        <v/>
      </c>
      <c r="B13">
        <f>TRIM(LEFT(MID(A13, FIND(",", A13) + 1, LEN(A13)), FIND(" ", TRIM(MID(A13, FIND(",", A13) + 1, LEN(A13)))))) &amp; " " &amp; LEFT(A13, FIND(" ", A13) - 1)</f>
        <v/>
      </c>
      <c r="G13" t="n">
        <v>13</v>
      </c>
      <c r="H13" t="inlineStr">
        <is>
          <t>SILVA SERVIN, EMMANUEL EZEKIEL</t>
        </is>
      </c>
    </row>
    <row r="14">
      <c r="A14">
        <f>+H13</f>
        <v/>
      </c>
      <c r="B14">
        <f>TRIM(LEFT(MID(A14, FIND(",", A14) + 1, LEN(A14)), FIND(" ", TRIM(MID(A14, FIND(",", A14) + 1, LEN(A14)))))) &amp; " " &amp; LEFT(A14, FIND(" ", A14) - 1)</f>
        <v/>
      </c>
      <c r="G14" t="n">
        <v>14</v>
      </c>
      <c r="H14" t="inlineStr">
        <is>
          <t>VILLASANTI SALDIVAR ,GENESIS ABIGAIL</t>
        </is>
      </c>
    </row>
    <row r="15">
      <c r="A15">
        <f>+H14</f>
        <v/>
      </c>
      <c r="B15">
        <f>TRIM(LEFT(MID(A15, FIND(",", A15) + 1, LEN(A15)), FIND(" ", TRIM(MID(A15, FIND(",", A15) + 1, LEN(A15)))))) &amp; " " &amp; LEFT(A15, FIND(" ", A15) - 1)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2026-06-05T13:25:18Z</dcterms:created>
  <dcterms:modified xmlns:dcterms="http://purl.org/dc/terms/" xmlns:xsi="http://www.w3.org/2001/XMLSchema-instance" xsi:type="dcterms:W3CDTF">2026-06-05T13:26:29Z</dcterms:modified>
</cp:coreProperties>
</file>