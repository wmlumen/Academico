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 250 G10\Documents\CK-2026\MEC\VH ESC EXC MANUAL MOLINA ETICA 8vo TM\"/>
    </mc:Choice>
  </mc:AlternateContent>
  <xr:revisionPtr revIDLastSave="0" documentId="13_ncr:1_{A68509C8-1B73-4FD4-80F0-9311C0DD1F86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Prinicipal" sheetId="5" r:id="rId1"/>
    <sheet name="01-PLAN ANUAL " sheetId="3" r:id="rId2"/>
    <sheet name="02-REGISTRO DE TEMAS" sheetId="2" r:id="rId3"/>
    <sheet name="03-ASISTENCIA" sheetId="1" r:id="rId4"/>
    <sheet name="04-RSA" sheetId="6" r:id="rId5"/>
    <sheet name="05-BD- CUADRO ANECDOTICO" sheetId="7" r:id="rId6"/>
    <sheet name="05-RESUMEN -CUADRO ANECDOTICO" sheetId="14" r:id="rId7"/>
    <sheet name="06-PROCESO" sheetId="8" r:id="rId8"/>
    <sheet name="07-CALENDARIO MEC" sheetId="10" r:id="rId9"/>
    <sheet name="08- INDICADORES AC" sheetId="12" r:id="rId10"/>
    <sheet name="09.Diagnostico" sheetId="15" r:id="rId11"/>
    <sheet name="Escala " sheetId="9" r:id="rId12"/>
    <sheet name="Datos " sheetId="13" r:id="rId13"/>
  </sheets>
  <definedNames>
    <definedName name="_xlnm._FilterDatabase" localSheetId="3" hidden="1">'03-ASISTENCIA'!$A$1:$O$55</definedName>
    <definedName name="alumnos">'Datos '!$B$2:$B$21</definedName>
    <definedName name="diagnostico">'09.Diagnostico'!$A$1:$F$52</definedName>
    <definedName name="fechaMEC">'07-CALENDARIO MEC'!$A$1:$C$52</definedName>
    <definedName name="indicadores">'08- INDICADORES AC'!$B$2:$E$52</definedName>
    <definedName name="tabla_registro">'05-BD- CUADRO ANECDOTICO'!$B$2:$F$633</definedName>
  </definedNames>
  <calcPr calcId="191029"/>
  <pivotCaches>
    <pivotCache cacheId="6" r:id="rId14"/>
    <pivotCache cacheId="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3" l="1"/>
  <c r="C47" i="1" s="1"/>
  <c r="D47" i="1"/>
  <c r="E47" i="1"/>
  <c r="G3" i="1"/>
  <c r="H3" i="1"/>
  <c r="I3" i="1"/>
  <c r="J3" i="1"/>
  <c r="K3" i="1"/>
  <c r="L3" i="1"/>
  <c r="M3" i="1"/>
  <c r="N3" i="1"/>
  <c r="O3" i="1"/>
  <c r="P3" i="1"/>
  <c r="Q3" i="1"/>
  <c r="R3" i="1"/>
  <c r="S3" i="1"/>
  <c r="F3" i="1"/>
  <c r="C46" i="1"/>
  <c r="D46" i="1"/>
  <c r="E46" i="1"/>
  <c r="C42" i="1"/>
  <c r="D42" i="1"/>
  <c r="E42" i="1"/>
  <c r="C43" i="1"/>
  <c r="D43" i="1"/>
  <c r="E43" i="1"/>
  <c r="C44" i="1"/>
  <c r="D44" i="1"/>
  <c r="E44" i="1"/>
  <c r="C45" i="1"/>
  <c r="D45" i="1"/>
  <c r="E45" i="1"/>
  <c r="D39" i="1"/>
  <c r="D31" i="1"/>
  <c r="A8" i="2"/>
  <c r="A6" i="2"/>
  <c r="A4" i="2"/>
  <c r="A3" i="2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2" i="13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E39" i="1"/>
  <c r="D40" i="1"/>
  <c r="E40" i="1"/>
  <c r="D41" i="1"/>
  <c r="E41" i="1"/>
  <c r="C5" i="2"/>
  <c r="D5" i="2"/>
  <c r="L60" i="15"/>
  <c r="L59" i="15"/>
  <c r="Q56" i="15" s="1"/>
  <c r="L58" i="15"/>
  <c r="Q57" i="15"/>
  <c r="L57" i="15"/>
  <c r="Q58" i="15" s="1"/>
  <c r="L56" i="15"/>
  <c r="E8" i="15"/>
  <c r="F8" i="15" s="1"/>
  <c r="E3" i="15"/>
  <c r="F3" i="15" s="1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28" i="15"/>
  <c r="F4" i="15"/>
  <c r="F5" i="15"/>
  <c r="F6" i="15"/>
  <c r="F7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28" i="15"/>
  <c r="G13" i="15"/>
  <c r="G14" i="15"/>
  <c r="G15" i="15"/>
  <c r="G17" i="15"/>
  <c r="G1" i="15"/>
  <c r="G4" i="15" s="1"/>
  <c r="L61" i="15" l="1"/>
  <c r="N56" i="15" s="1"/>
  <c r="G12" i="15"/>
  <c r="G26" i="15"/>
  <c r="G11" i="15"/>
  <c r="G25" i="15"/>
  <c r="G10" i="15"/>
  <c r="G24" i="15"/>
  <c r="G9" i="15"/>
  <c r="G23" i="15"/>
  <c r="G6" i="15"/>
  <c r="G22" i="15"/>
  <c r="G21" i="15"/>
  <c r="G18" i="15"/>
  <c r="G3" i="15"/>
  <c r="G20" i="15"/>
  <c r="G8" i="15"/>
  <c r="G19" i="15"/>
  <c r="G7" i="15"/>
  <c r="G5" i="15"/>
  <c r="G2" i="15"/>
  <c r="G16" i="15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F3" i="7"/>
  <c r="F4" i="7"/>
  <c r="F5" i="7"/>
  <c r="F6" i="7"/>
  <c r="F7" i="7"/>
  <c r="F8" i="7"/>
  <c r="F9" i="7"/>
  <c r="F10" i="7"/>
  <c r="F11" i="7"/>
  <c r="F12" i="7"/>
  <c r="B3" i="12"/>
  <c r="E3" i="7" s="1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2" i="12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F5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4" i="8"/>
  <c r="EL4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5" i="8"/>
  <c r="E5" i="8"/>
  <c r="E6" i="5"/>
  <c r="D15" i="2"/>
  <c r="D17" i="2"/>
  <c r="D21" i="2"/>
  <c r="D22" i="2"/>
  <c r="D26" i="2"/>
  <c r="D27" i="2"/>
  <c r="D30" i="2"/>
  <c r="D40" i="2"/>
  <c r="D6" i="2"/>
  <c r="D7" i="2"/>
  <c r="D9" i="2"/>
  <c r="D10" i="2"/>
  <c r="D11" i="2"/>
  <c r="D12" i="2"/>
  <c r="D13" i="2"/>
  <c r="C6" i="2"/>
  <c r="C42" i="2"/>
  <c r="C43" i="2"/>
  <c r="C44" i="2"/>
  <c r="C45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7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EM4" i="1"/>
  <c r="B3" i="6"/>
  <c r="C15" i="8" l="1"/>
  <c r="C15" i="1"/>
  <c r="B14" i="6" s="1"/>
  <c r="C11" i="8"/>
  <c r="C11" i="1"/>
  <c r="B10" i="6" s="1"/>
  <c r="C22" i="8"/>
  <c r="C22" i="1"/>
  <c r="B21" i="6" s="1"/>
  <c r="C10" i="8"/>
  <c r="C10" i="1"/>
  <c r="B9" i="6" s="1"/>
  <c r="C5" i="8"/>
  <c r="C5" i="1"/>
  <c r="B4" i="6" s="1"/>
  <c r="C12" i="8"/>
  <c r="C12" i="1"/>
  <c r="B11" i="6" s="1"/>
  <c r="C9" i="8"/>
  <c r="C9" i="1"/>
  <c r="B8" i="6" s="1"/>
  <c r="C7" i="8"/>
  <c r="C7" i="1"/>
  <c r="B6" i="6" s="1"/>
  <c r="C18" i="8"/>
  <c r="C18" i="1"/>
  <c r="B17" i="6" s="1"/>
  <c r="C6" i="8"/>
  <c r="C6" i="1"/>
  <c r="B5" i="6" s="1"/>
  <c r="C14" i="8"/>
  <c r="C14" i="1"/>
  <c r="B13" i="6" s="1"/>
  <c r="C13" i="8"/>
  <c r="C13" i="1"/>
  <c r="B12" i="6" s="1"/>
  <c r="C24" i="8"/>
  <c r="C24" i="1"/>
  <c r="B23" i="6" s="1"/>
  <c r="C21" i="8"/>
  <c r="C21" i="1"/>
  <c r="B20" i="6" s="1"/>
  <c r="C8" i="8"/>
  <c r="C8" i="1"/>
  <c r="B7" i="6" s="1"/>
  <c r="C19" i="8"/>
  <c r="C19" i="1"/>
  <c r="B18" i="6" s="1"/>
  <c r="C17" i="8"/>
  <c r="C17" i="1"/>
  <c r="B16" i="6" s="1"/>
  <c r="C23" i="8"/>
  <c r="C23" i="1"/>
  <c r="B22" i="6" s="1"/>
  <c r="C20" i="8"/>
  <c r="C20" i="1"/>
  <c r="B19" i="6" s="1"/>
  <c r="C16" i="8"/>
  <c r="C16" i="1"/>
  <c r="B15" i="6" s="1"/>
  <c r="N59" i="15"/>
  <c r="N57" i="15"/>
  <c r="R58" i="15"/>
  <c r="N60" i="15"/>
  <c r="R56" i="15"/>
  <c r="N58" i="15"/>
  <c r="R57" i="15"/>
  <c r="D2" i="8"/>
  <c r="D2" i="1"/>
  <c r="G2" i="5" s="1"/>
</calcChain>
</file>

<file path=xl/sharedStrings.xml><?xml version="1.0" encoding="utf-8"?>
<sst xmlns="http://schemas.openxmlformats.org/spreadsheetml/2006/main" count="1997" uniqueCount="999">
  <si>
    <t>Unidad Temática</t>
  </si>
  <si>
    <t>Capacidades</t>
  </si>
  <si>
    <t>Indicadores</t>
  </si>
  <si>
    <t>Recursos Didácticos</t>
  </si>
  <si>
    <t>PLANILLA DE EJECUCIÓN DE CLASES</t>
  </si>
  <si>
    <t>Plan de Clases</t>
  </si>
  <si>
    <t>ESTADO</t>
  </si>
  <si>
    <t>Dias de clase</t>
  </si>
  <si>
    <t>Horas cátedras</t>
  </si>
  <si>
    <t>Plan Unidad 1</t>
  </si>
  <si>
    <t>Plan Unidad 2</t>
  </si>
  <si>
    <t>Plan Unidad 3</t>
  </si>
  <si>
    <t>Plan Unidad 4</t>
  </si>
  <si>
    <t>Plan Unidad 5</t>
  </si>
  <si>
    <t>Plan Unidad 6</t>
  </si>
  <si>
    <t>Plan Unidad 7</t>
  </si>
  <si>
    <t>Plan Unidad 8</t>
  </si>
  <si>
    <t>Plan Unidad 9</t>
  </si>
  <si>
    <t>Plan Unidad 10</t>
  </si>
  <si>
    <t>RSA</t>
  </si>
  <si>
    <t>ID</t>
  </si>
  <si>
    <t>Nombre del Alumno</t>
  </si>
  <si>
    <t>COLEGIO SAGRADA FAMILIA</t>
  </si>
  <si>
    <t>ESCALA DE CALIFICACIONES - 60%</t>
  </si>
  <si>
    <t>15 Puntos</t>
  </si>
  <si>
    <t>16 Puntos</t>
  </si>
  <si>
    <t>17 Puntos</t>
  </si>
  <si>
    <t>18 Puntos</t>
  </si>
  <si>
    <t>19 Puntos</t>
  </si>
  <si>
    <t>20 Puntos</t>
  </si>
  <si>
    <t>21 Puntos</t>
  </si>
  <si>
    <t>22 Puntos</t>
  </si>
  <si>
    <t>0 - 9 = 1</t>
  </si>
  <si>
    <t>0 - 10 = 1</t>
  </si>
  <si>
    <t>0 - 11 = 1</t>
  </si>
  <si>
    <t>0 - 12 = 1</t>
  </si>
  <si>
    <t>0 - 13 = 1</t>
  </si>
  <si>
    <t>9 - 10 = 2</t>
  </si>
  <si>
    <t>11 - 12 = 2</t>
  </si>
  <si>
    <t>12 - 13 = 2</t>
  </si>
  <si>
    <t>13 - 14 = 2</t>
  </si>
  <si>
    <t>14 - 15 = 2</t>
  </si>
  <si>
    <t>11 - 12 = 3</t>
  </si>
  <si>
    <t>13 - 14 = 3</t>
  </si>
  <si>
    <t>13 - 15 = 3</t>
  </si>
  <si>
    <t>14 - 16 = 3</t>
  </si>
  <si>
    <t>15 - 17 = 3</t>
  </si>
  <si>
    <t>16 - 18 = 3</t>
  </si>
  <si>
    <t>13 - 14 = 4</t>
  </si>
  <si>
    <t>15 - 16 = 4</t>
  </si>
  <si>
    <t>16 - 17 = 4</t>
  </si>
  <si>
    <t>17 - 18 = 4</t>
  </si>
  <si>
    <t>18 - 19 = 4</t>
  </si>
  <si>
    <t>19 - 20 = 4</t>
  </si>
  <si>
    <t>15 = 5</t>
  </si>
  <si>
    <t>15 - 16 = 5</t>
  </si>
  <si>
    <t>17 = 5</t>
  </si>
  <si>
    <t>17 - 18 = 5</t>
  </si>
  <si>
    <t>18 - 19 = 5</t>
  </si>
  <si>
    <t>19 - 20 = 5</t>
  </si>
  <si>
    <t>20 - 21 = 5</t>
  </si>
  <si>
    <t>21 - 22 = 5</t>
  </si>
  <si>
    <t>23 Puntos</t>
  </si>
  <si>
    <t>24 Puntos</t>
  </si>
  <si>
    <t>25 Puntos</t>
  </si>
  <si>
    <t>26 Puntos</t>
  </si>
  <si>
    <t>27 Puntos</t>
  </si>
  <si>
    <t>28 Puntos</t>
  </si>
  <si>
    <t>29 Puntos</t>
  </si>
  <si>
    <t>30 Puntos</t>
  </si>
  <si>
    <t>0 - 14 = 1</t>
  </si>
  <si>
    <t>0 - 15 = 1</t>
  </si>
  <si>
    <t>0 - 16 = 1</t>
  </si>
  <si>
    <t>0 - 17 = 1</t>
  </si>
  <si>
    <t>14 - 16 = 2</t>
  </si>
  <si>
    <t>15 - 17 = 2</t>
  </si>
  <si>
    <t>16 - 18 = 2</t>
  </si>
  <si>
    <t>17 - 19 = 2</t>
  </si>
  <si>
    <t>18 - 20 = 2</t>
  </si>
  <si>
    <t>17 - 19 = 3</t>
  </si>
  <si>
    <t>18 - 20 = 3</t>
  </si>
  <si>
    <t>19 - 21 = 3</t>
  </si>
  <si>
    <t>20 - 22 = 3</t>
  </si>
  <si>
    <t>21 - 23 = 3</t>
  </si>
  <si>
    <t>21 - 24 = 3</t>
  </si>
  <si>
    <t>19 - 21 = 4</t>
  </si>
  <si>
    <t>20 - 22 = 4</t>
  </si>
  <si>
    <t>21 - 23 = 4</t>
  </si>
  <si>
    <t>22 - 24 = 4</t>
  </si>
  <si>
    <t>23 - 25 = 4</t>
  </si>
  <si>
    <t>24 - 26 = 4</t>
  </si>
  <si>
    <t>25 - 27 = 4</t>
  </si>
  <si>
    <t>22 - 23 = 5</t>
  </si>
  <si>
    <t>23 - 24 = 5</t>
  </si>
  <si>
    <t>24 - 25 = 5</t>
  </si>
  <si>
    <t>25 - 26 = 5</t>
  </si>
  <si>
    <t>25 - 27 = 5</t>
  </si>
  <si>
    <t>26 - 28 = 5</t>
  </si>
  <si>
    <t>27 - 29 = 5</t>
  </si>
  <si>
    <t>28 - 30 = 5</t>
  </si>
  <si>
    <t>31 Puntos</t>
  </si>
  <si>
    <t>32 Puntos</t>
  </si>
  <si>
    <t>33 Puntos</t>
  </si>
  <si>
    <t>34 Puntos</t>
  </si>
  <si>
    <t>35 Puntos</t>
  </si>
  <si>
    <t>36 Puntos</t>
  </si>
  <si>
    <t>37 Puntos</t>
  </si>
  <si>
    <t>38 Puntos</t>
  </si>
  <si>
    <t>0 - 18 = 1</t>
  </si>
  <si>
    <t>0 - 19 = 1</t>
  </si>
  <si>
    <t>0 - 20 = 1</t>
  </si>
  <si>
    <t>0 - 21 = 1</t>
  </si>
  <si>
    <t>0 - 22 = 1</t>
  </si>
  <si>
    <t>19 - 21 = 2</t>
  </si>
  <si>
    <t>20 - 22 = 2</t>
  </si>
  <si>
    <t>20 - 23 = 2</t>
  </si>
  <si>
    <t>21 - 24 = 2</t>
  </si>
  <si>
    <t>22 - 25 = 2</t>
  </si>
  <si>
    <t>23 - 26 = 2</t>
  </si>
  <si>
    <t>22 - 25 = 3</t>
  </si>
  <si>
    <t>23 - 26 = 3</t>
  </si>
  <si>
    <t>24 - 27 = 3</t>
  </si>
  <si>
    <t>25 - 28 = 3</t>
  </si>
  <si>
    <t>26 - 29 = 3</t>
  </si>
  <si>
    <t>27 - 30 = 3</t>
  </si>
  <si>
    <t>26 - 28 = 4</t>
  </si>
  <si>
    <t>26 - 29 = 4</t>
  </si>
  <si>
    <t>27 - 30 = 4</t>
  </si>
  <si>
    <t>28 - 31 = 4</t>
  </si>
  <si>
    <t>29 - 32 = 4</t>
  </si>
  <si>
    <t>30 - 33 = 4</t>
  </si>
  <si>
    <t>31 - 34 = 4</t>
  </si>
  <si>
    <t>29 - 31 = 5</t>
  </si>
  <si>
    <t>30 - 32 = 5</t>
  </si>
  <si>
    <t>31 - 33 = 5</t>
  </si>
  <si>
    <t>32 - 34 = 5</t>
  </si>
  <si>
    <t>33 - 35 = 5</t>
  </si>
  <si>
    <t>34 - 36 = 5</t>
  </si>
  <si>
    <t>34 - 37 = 5</t>
  </si>
  <si>
    <t>35 - 38 = 5</t>
  </si>
  <si>
    <t>39 Puntos</t>
  </si>
  <si>
    <t>40 Puntos</t>
  </si>
  <si>
    <t>41 Puntos</t>
  </si>
  <si>
    <t>42 Puntos</t>
  </si>
  <si>
    <t>43 Puntos</t>
  </si>
  <si>
    <t>44 Puntos</t>
  </si>
  <si>
    <t>45 Puntos</t>
  </si>
  <si>
    <t>46 Puntos</t>
  </si>
  <si>
    <t>0 - 23 = 1</t>
  </si>
  <si>
    <t>0 - 24 = 1</t>
  </si>
  <si>
    <t>0 - 25 = 1</t>
  </si>
  <si>
    <t>0 - 26 = 1</t>
  </si>
  <si>
    <t>0 - 27 = 1</t>
  </si>
  <si>
    <t>24 - 27 = 2</t>
  </si>
  <si>
    <t>25 - 28 = 2</t>
  </si>
  <si>
    <t>26 - 29 = 2</t>
  </si>
  <si>
    <t>26 - 30 = 2</t>
  </si>
  <si>
    <t>27 - 31 = 2</t>
  </si>
  <si>
    <t>28 - 32 = 2</t>
  </si>
  <si>
    <t>27 - 31 = 3</t>
  </si>
  <si>
    <t>28 - 32 = 3</t>
  </si>
  <si>
    <t>29 - 33 = 3</t>
  </si>
  <si>
    <t>30 - 34 = 3</t>
  </si>
  <si>
    <t>31 - 35 = 3</t>
  </si>
  <si>
    <t>32 - 36 = 3</t>
  </si>
  <si>
    <t>33 - 37 = 3</t>
  </si>
  <si>
    <t>32 - 35 = 4</t>
  </si>
  <si>
    <t>33 - 36 = 4</t>
  </si>
  <si>
    <t>34 - 37 = 4</t>
  </si>
  <si>
    <t>34 - 38 = 4</t>
  </si>
  <si>
    <t>35 - 39 = 4</t>
  </si>
  <si>
    <t>36 - 40 = 4</t>
  </si>
  <si>
    <t>37 - 41 = 4</t>
  </si>
  <si>
    <t>38 - 42 = 4</t>
  </si>
  <si>
    <t>36 - 39 = 5</t>
  </si>
  <si>
    <t>37 - 40 = 5</t>
  </si>
  <si>
    <t>38 - 41 = 5</t>
  </si>
  <si>
    <t>39 - 42 = 5</t>
  </si>
  <si>
    <t>40 - 43 = 5</t>
  </si>
  <si>
    <t>41 - 44 = 5</t>
  </si>
  <si>
    <t>42 - 45 = 5</t>
  </si>
  <si>
    <t>43 - 46 = 5</t>
  </si>
  <si>
    <t>47 Puntos</t>
  </si>
  <si>
    <t>48 Puntos</t>
  </si>
  <si>
    <t>49 Puntos</t>
  </si>
  <si>
    <t>50 Puntos</t>
  </si>
  <si>
    <t>51 Puntos</t>
  </si>
  <si>
    <t>52 Puntos</t>
  </si>
  <si>
    <t>53 Puntos</t>
  </si>
  <si>
    <t>54 Puntos</t>
  </si>
  <si>
    <t>0 - 28 = 1</t>
  </si>
  <si>
    <t>0 - 29 = 1</t>
  </si>
  <si>
    <t>0 - 30 = 1</t>
  </si>
  <si>
    <t>0 - 31 = 1</t>
  </si>
  <si>
    <t>29 - 33 = 2</t>
  </si>
  <si>
    <t>30 - 34 = 2</t>
  </si>
  <si>
    <t>31 - 35 = 2</t>
  </si>
  <si>
    <t>32 - 36 = 2</t>
  </si>
  <si>
    <t>32 - 37 = 2</t>
  </si>
  <si>
    <t>34 - 38 = 3</t>
  </si>
  <si>
    <t>34 - 39 = 3</t>
  </si>
  <si>
    <t>35 - 40 = 3</t>
  </si>
  <si>
    <t>36 - 41 = 3</t>
  </si>
  <si>
    <t>37 - 42 = 3</t>
  </si>
  <si>
    <t>38 - 43 = 3</t>
  </si>
  <si>
    <t>39 - 43 = 4</t>
  </si>
  <si>
    <t>40 - 44 = 4</t>
  </si>
  <si>
    <t>41 - 45 = 4</t>
  </si>
  <si>
    <t>42 - 46 = 4</t>
  </si>
  <si>
    <t>42 - 47 = 4</t>
  </si>
  <si>
    <t>43 - 48 = 4</t>
  </si>
  <si>
    <t>44 - 49 = 4</t>
  </si>
  <si>
    <t>43 - 47 = 5</t>
  </si>
  <si>
    <t>44 - 48 = 5</t>
  </si>
  <si>
    <t>45 - 49 = 5</t>
  </si>
  <si>
    <t>46 - 50 = 5</t>
  </si>
  <si>
    <t>47 - 51 = 5</t>
  </si>
  <si>
    <t>48 - 52 = 5</t>
  </si>
  <si>
    <t>49 - 53 = 5</t>
  </si>
  <si>
    <t>50 - 54 = 5</t>
  </si>
  <si>
    <t>55 Puntos</t>
  </si>
  <si>
    <t>56 Puntos</t>
  </si>
  <si>
    <t>57 Puntos</t>
  </si>
  <si>
    <t>58 Puntos</t>
  </si>
  <si>
    <t>59 Puntos</t>
  </si>
  <si>
    <t>60 Puntos</t>
  </si>
  <si>
    <t>61 Puntos</t>
  </si>
  <si>
    <t>62 Puntos</t>
  </si>
  <si>
    <t>0 - 32 = 1</t>
  </si>
  <si>
    <t>0 - 33 = 1</t>
  </si>
  <si>
    <t>0 - 34 = 1</t>
  </si>
  <si>
    <t>0 - 35 = 1</t>
  </si>
  <si>
    <t>0 - 36 = 1</t>
  </si>
  <si>
    <t>33 - 38 = 2</t>
  </si>
  <si>
    <t>34 - 39 = 2</t>
  </si>
  <si>
    <t>35 - 40 = 2</t>
  </si>
  <si>
    <t>36 - 41 = 2</t>
  </si>
  <si>
    <t>37 - 42 = 2</t>
  </si>
  <si>
    <t>39 - 44 = 3</t>
  </si>
  <si>
    <t>40 - 45 = 3</t>
  </si>
  <si>
    <t>41 - 46 = 3</t>
  </si>
  <si>
    <t>41 - 47 = 3</t>
  </si>
  <si>
    <t>42 - 48 = 3</t>
  </si>
  <si>
    <t>43 - 49 = 3</t>
  </si>
  <si>
    <t>45 - 50 = 4</t>
  </si>
  <si>
    <t>46 - 51 = 4</t>
  </si>
  <si>
    <t>47 - 52 = 4</t>
  </si>
  <si>
    <t>48 - 53 = 4</t>
  </si>
  <si>
    <t>49 - 54 = 4</t>
  </si>
  <si>
    <t>50 - 55 = 4</t>
  </si>
  <si>
    <t>50 - 56 = 4</t>
  </si>
  <si>
    <t>51 - 55 = 5</t>
  </si>
  <si>
    <t>52 - 56 = 5</t>
  </si>
  <si>
    <t>52 - 57 = 5</t>
  </si>
  <si>
    <t>53 - 58 = 5</t>
  </si>
  <si>
    <t>54 - 59 = 5</t>
  </si>
  <si>
    <t>55 - 60 = 5</t>
  </si>
  <si>
    <t>56 - 61 = 5</t>
  </si>
  <si>
    <t>57 - 62 = 5</t>
  </si>
  <si>
    <t>63 Puntos</t>
  </si>
  <si>
    <t>64 Puntos</t>
  </si>
  <si>
    <t>65 Puntos</t>
  </si>
  <si>
    <t>66 Puntos</t>
  </si>
  <si>
    <t>67 Puntos</t>
  </si>
  <si>
    <t>68 Puntos</t>
  </si>
  <si>
    <t>69 Puntos</t>
  </si>
  <si>
    <t>70 Puntos</t>
  </si>
  <si>
    <t>0 - 37 = 1</t>
  </si>
  <si>
    <t>0 - 38 = 1</t>
  </si>
  <si>
    <t>0 - 39 = 1</t>
  </si>
  <si>
    <t>0 - 40 = 1</t>
  </si>
  <si>
    <t>0 - 41 = 1</t>
  </si>
  <si>
    <t>38 - 43 = 2</t>
  </si>
  <si>
    <t>38 - 44 = 2</t>
  </si>
  <si>
    <t>39 - 45 = 2</t>
  </si>
  <si>
    <t>40 - 46 = 2</t>
  </si>
  <si>
    <t>41 - 47 = 2</t>
  </si>
  <si>
    <t>42 - 48 = 2</t>
  </si>
  <si>
    <t>44 - 50 = 3</t>
  </si>
  <si>
    <t>45 - 51 = 3</t>
  </si>
  <si>
    <t>46 - 52 = 3</t>
  </si>
  <si>
    <t>47 - 53 = 3</t>
  </si>
  <si>
    <t>48 - 54 = 3</t>
  </si>
  <si>
    <t>48 - 55 = 3</t>
  </si>
  <si>
    <t>49 - 56 = 3</t>
  </si>
  <si>
    <t>51 - 57 = 4</t>
  </si>
  <si>
    <t>52 - 58 = 4</t>
  </si>
  <si>
    <t>53 - 59 = 4</t>
  </si>
  <si>
    <t>54 - 60 = 4</t>
  </si>
  <si>
    <t>55 - 61 = 4</t>
  </si>
  <si>
    <t>56 - 62 = 4</t>
  </si>
  <si>
    <t>57 - 63 = 4</t>
  </si>
  <si>
    <t>58 - 63 = 5</t>
  </si>
  <si>
    <t>59 - 64 = 5</t>
  </si>
  <si>
    <t>60 - 65 = 5</t>
  </si>
  <si>
    <t>61 - 66 = 5</t>
  </si>
  <si>
    <t>61 - 67 = 5</t>
  </si>
  <si>
    <t>62 - 68 = 5</t>
  </si>
  <si>
    <t>63 - 69 = 5</t>
  </si>
  <si>
    <t>64 - 70 = 5</t>
  </si>
  <si>
    <t>71 Puntos</t>
  </si>
  <si>
    <t>72 Puntos</t>
  </si>
  <si>
    <t>73 Puntos</t>
  </si>
  <si>
    <t>74 Puntos</t>
  </si>
  <si>
    <t>75 Puntos</t>
  </si>
  <si>
    <t>76 Puntos</t>
  </si>
  <si>
    <t>77 Puntos</t>
  </si>
  <si>
    <t>78 Puntos</t>
  </si>
  <si>
    <t>0 - 42 = 1</t>
  </si>
  <si>
    <t>0 - 43 = 1</t>
  </si>
  <si>
    <t>0 - 44 = 1</t>
  </si>
  <si>
    <t>0 - 45 = 1</t>
  </si>
  <si>
    <t>0 - 46 = 1</t>
  </si>
  <si>
    <t>43 - 49 = 2</t>
  </si>
  <si>
    <t>44 - 50 = 2</t>
  </si>
  <si>
    <t>44 - 51 = 2</t>
  </si>
  <si>
    <t>45 - 52 = 2</t>
  </si>
  <si>
    <t>46 - 53 = 2</t>
  </si>
  <si>
    <t>47 - 54 = 2</t>
  </si>
  <si>
    <t>50 - 57 = 3</t>
  </si>
  <si>
    <t>51 - 58 = 3</t>
  </si>
  <si>
    <t>52 - 59 = 3</t>
  </si>
  <si>
    <t>53 - 60 = 3</t>
  </si>
  <si>
    <t>54 - 61 = 3</t>
  </si>
  <si>
    <t>55 - 62 = 3</t>
  </si>
  <si>
    <t>58 - 64 = 4</t>
  </si>
  <si>
    <t>58 - 65 = 4</t>
  </si>
  <si>
    <t>59 - 66 = 4</t>
  </si>
  <si>
    <t>60 - 67 = 4</t>
  </si>
  <si>
    <t>61 - 68 = 4</t>
  </si>
  <si>
    <t>62 - 69 = 4</t>
  </si>
  <si>
    <t>63 - 70 = 4</t>
  </si>
  <si>
    <t>65 - 71 = 5</t>
  </si>
  <si>
    <t>66 - 72 = 5</t>
  </si>
  <si>
    <t>67 - 73 = 5</t>
  </si>
  <si>
    <t>68 - 74 = 5</t>
  </si>
  <si>
    <t>69 - 75 = 5</t>
  </si>
  <si>
    <t>70 - 76 = 5</t>
  </si>
  <si>
    <t>70 - 77 = 5</t>
  </si>
  <si>
    <t>71 - 78 = 5</t>
  </si>
  <si>
    <t>79 Puntos</t>
  </si>
  <si>
    <t>80 Puntos</t>
  </si>
  <si>
    <t>81 Puntos</t>
  </si>
  <si>
    <t>82 Puntos</t>
  </si>
  <si>
    <t>83 Puntos</t>
  </si>
  <si>
    <t>84 Puntos</t>
  </si>
  <si>
    <t>85 Puntos</t>
  </si>
  <si>
    <t>86 Puntos</t>
  </si>
  <si>
    <t>0 - 47 = 1</t>
  </si>
  <si>
    <t>0 - 48 = 1</t>
  </si>
  <si>
    <t>0 - 49 = 1</t>
  </si>
  <si>
    <t>0 - 50 = 1</t>
  </si>
  <si>
    <t>0 - 51 = 1</t>
  </si>
  <si>
    <t>48 - 55 = 2</t>
  </si>
  <si>
    <t>49 - 56 = 2</t>
  </si>
  <si>
    <t>49 - 57 = 2</t>
  </si>
  <si>
    <t>50 - 58 = 2</t>
  </si>
  <si>
    <t>51 - 59 = 2</t>
  </si>
  <si>
    <t>52 - 60 = 2</t>
  </si>
  <si>
    <t>55 - 63 = 3</t>
  </si>
  <si>
    <t>56 - 64 = 3</t>
  </si>
  <si>
    <t>57 - 65 = 3</t>
  </si>
  <si>
    <t>58 - 66 = 3</t>
  </si>
  <si>
    <t>59 - 67 = 3</t>
  </si>
  <si>
    <t>60 - 68 = 3</t>
  </si>
  <si>
    <t>61 - 69 = 3</t>
  </si>
  <si>
    <t>64 - 71 = 4</t>
  </si>
  <si>
    <t>65 - 72 = 4</t>
  </si>
  <si>
    <t>66 - 73 = 4</t>
  </si>
  <si>
    <t>66 - 74 = 4</t>
  </si>
  <si>
    <t>67 - 75 = 4</t>
  </si>
  <si>
    <t>68 - 76 = 4</t>
  </si>
  <si>
    <t>69 - 77 = 4</t>
  </si>
  <si>
    <t>70 - 78 = 4</t>
  </si>
  <si>
    <t>72 - 79 = 5</t>
  </si>
  <si>
    <t>73 - 80 = 5</t>
  </si>
  <si>
    <t>74 - 81 = 5</t>
  </si>
  <si>
    <t>75 - 82 = 5</t>
  </si>
  <si>
    <t>76 - 83 = 5</t>
  </si>
  <si>
    <t>77 - 84 = 5</t>
  </si>
  <si>
    <t>78 - 85 = 5</t>
  </si>
  <si>
    <t>79 - 86 = 5</t>
  </si>
  <si>
    <t>87 Puntos</t>
  </si>
  <si>
    <t>88 Puntos</t>
  </si>
  <si>
    <t>89 Puntos</t>
  </si>
  <si>
    <t>90 Puntos</t>
  </si>
  <si>
    <t>91 Puntos</t>
  </si>
  <si>
    <t>92 Puntos</t>
  </si>
  <si>
    <t>93 Puntos</t>
  </si>
  <si>
    <t>94 Puntos</t>
  </si>
  <si>
    <t>0 - 52 = 1</t>
  </si>
  <si>
    <t>0 - 53 = 1</t>
  </si>
  <si>
    <t>0 - 54 = 1</t>
  </si>
  <si>
    <t>0 - 55 = 1</t>
  </si>
  <si>
    <t>53 - 61 = 2</t>
  </si>
  <si>
    <t>54 - 62 = 2</t>
  </si>
  <si>
    <t>55 - 63 = 2</t>
  </si>
  <si>
    <t>56 - 64 = 2</t>
  </si>
  <si>
    <t>56 - 65 = 2</t>
  </si>
  <si>
    <t>62 - 70 = 3</t>
  </si>
  <si>
    <t>62 - 71 = 3</t>
  </si>
  <si>
    <t>63 - 72 = 3</t>
  </si>
  <si>
    <t>64 - 73 = 3</t>
  </si>
  <si>
    <t>65 - 74 = 3</t>
  </si>
  <si>
    <t>66 - 75 = 3</t>
  </si>
  <si>
    <t>71 - 79 = 4</t>
  </si>
  <si>
    <t>72 - 80 = 4</t>
  </si>
  <si>
    <t>73 - 81 = 4</t>
  </si>
  <si>
    <t>74 - 82 = 4</t>
  </si>
  <si>
    <t>74 - 83 = 4</t>
  </si>
  <si>
    <t>75 - 84 = 4</t>
  </si>
  <si>
    <t>76 - 85 = 4</t>
  </si>
  <si>
    <t>79 - 87 = 5</t>
  </si>
  <si>
    <t>80 - 88 = 5</t>
  </si>
  <si>
    <t>81 - 89 = 5</t>
  </si>
  <si>
    <t>82 - 90 = 5</t>
  </si>
  <si>
    <t>83 - 91 = 5</t>
  </si>
  <si>
    <t>84 - 92 = 5</t>
  </si>
  <si>
    <t>85 - 93 = 5</t>
  </si>
  <si>
    <t>86 - 94= 5</t>
  </si>
  <si>
    <t>95 Puntos</t>
  </si>
  <si>
    <t>96 Puntos</t>
  </si>
  <si>
    <t>97 Puntos</t>
  </si>
  <si>
    <t>98 Puntos</t>
  </si>
  <si>
    <t>99 Puntos</t>
  </si>
  <si>
    <t>100 Puntos</t>
  </si>
  <si>
    <t>101 Puntos</t>
  </si>
  <si>
    <t>102 Puntos</t>
  </si>
  <si>
    <t>0 - 56 = 1</t>
  </si>
  <si>
    <t>0 - 57 = 1</t>
  </si>
  <si>
    <t>0 - 58 = 1</t>
  </si>
  <si>
    <t>0 - 59 = 1</t>
  </si>
  <si>
    <t>0 - 60 = 1</t>
  </si>
  <si>
    <t>57 - 66 = 2</t>
  </si>
  <si>
    <t>58 - 67 = 2</t>
  </si>
  <si>
    <t>59 - 68 = 2</t>
  </si>
  <si>
    <t>59- 68 = 2</t>
  </si>
  <si>
    <t>60- 69 = 2</t>
  </si>
  <si>
    <t>61- 70 = 2</t>
  </si>
  <si>
    <t>67 - 76 = 3</t>
  </si>
  <si>
    <t>68 - 77 = 3</t>
  </si>
  <si>
    <t>69 - 78 = 3</t>
  </si>
  <si>
    <t>69 - 79 = 3</t>
  </si>
  <si>
    <t>70 - 80 = 3</t>
  </si>
  <si>
    <t>71 - 81 = 3</t>
  </si>
  <si>
    <t>77 - 86 = 4</t>
  </si>
  <si>
    <t>78 - 87 = 4</t>
  </si>
  <si>
    <t>79 - 88 = 4</t>
  </si>
  <si>
    <t>80 - 89 = 4</t>
  </si>
  <si>
    <t>81 - 90 = 4</t>
  </si>
  <si>
    <t>82 - 91 = 4</t>
  </si>
  <si>
    <t>82 - 92 = 4</t>
  </si>
  <si>
    <t>87 - 95= 5</t>
  </si>
  <si>
    <t>88 - 96= 5</t>
  </si>
  <si>
    <t>88 - 97= 5</t>
  </si>
  <si>
    <t>89 - 98= 5</t>
  </si>
  <si>
    <t>90 - 99= 5</t>
  </si>
  <si>
    <t>91 -100= 5</t>
  </si>
  <si>
    <t>92 -101= 5</t>
  </si>
  <si>
    <t>93 -102= 5</t>
  </si>
  <si>
    <t>103 Puntos</t>
  </si>
  <si>
    <t>104 Puntos</t>
  </si>
  <si>
    <t>105 Puntos</t>
  </si>
  <si>
    <t>106 Puntos</t>
  </si>
  <si>
    <t>107 Puntos</t>
  </si>
  <si>
    <t>108 Puntos</t>
  </si>
  <si>
    <t>109 Puntos</t>
  </si>
  <si>
    <t>110 Puntos</t>
  </si>
  <si>
    <t>0 - 61 = 1</t>
  </si>
  <si>
    <t>0 - 62 = 1</t>
  </si>
  <si>
    <t>0 - 63 = 1</t>
  </si>
  <si>
    <t>0 - 64 = 1</t>
  </si>
  <si>
    <t>0 - 65 = 1</t>
  </si>
  <si>
    <t>62 - 71 = 2</t>
  </si>
  <si>
    <t>62 - 72 = 2</t>
  </si>
  <si>
    <t>63 - 73 = 2</t>
  </si>
  <si>
    <t>64 - 74 = 2</t>
  </si>
  <si>
    <t>65 - 75 = 2</t>
  </si>
  <si>
    <t>66 - 76 = 2</t>
  </si>
  <si>
    <t>72 - 82 = 3</t>
  </si>
  <si>
    <t>73 - 83 = 3</t>
  </si>
  <si>
    <t>74 - 84 = 3</t>
  </si>
  <si>
    <t>75 - 85 = 3</t>
  </si>
  <si>
    <t>76 - 86 = 3</t>
  </si>
  <si>
    <t>76 - 87 = 3</t>
  </si>
  <si>
    <t>77 - 88 = 3</t>
  </si>
  <si>
    <t>83 - 93 = 4</t>
  </si>
  <si>
    <t>84 - 94 = 4</t>
  </si>
  <si>
    <t>85 - 95 = 4</t>
  </si>
  <si>
    <t>86 - 96 = 4</t>
  </si>
  <si>
    <t>87 - 97 = 4</t>
  </si>
  <si>
    <t>88 - 98 = 4</t>
  </si>
  <si>
    <t>89 - 99 = 4</t>
  </si>
  <si>
    <t>94 -103= 5</t>
  </si>
  <si>
    <t>95 -104= 5</t>
  </si>
  <si>
    <t>96 -105= 5</t>
  </si>
  <si>
    <t>97 -106= 5</t>
  </si>
  <si>
    <t>97 -107= 5</t>
  </si>
  <si>
    <t>98 -108= 5</t>
  </si>
  <si>
    <t>99 -109= 5</t>
  </si>
  <si>
    <t>100-110= 5</t>
  </si>
  <si>
    <t>111 Puntos</t>
  </si>
  <si>
    <t>112 Puntos</t>
  </si>
  <si>
    <t>113 Puntos</t>
  </si>
  <si>
    <t>114 Puntos</t>
  </si>
  <si>
    <t>115 Puntos</t>
  </si>
  <si>
    <t>116 Puntos</t>
  </si>
  <si>
    <t>117 Puntos</t>
  </si>
  <si>
    <t>118 Puntos</t>
  </si>
  <si>
    <t>0 - 66 = 1</t>
  </si>
  <si>
    <t>0 - 67 = 1</t>
  </si>
  <si>
    <t>0 - 68 = 1</t>
  </si>
  <si>
    <t>0 - 69 = 1</t>
  </si>
  <si>
    <t>0 - 70 = 1</t>
  </si>
  <si>
    <t>67 - 77 = 2</t>
  </si>
  <si>
    <t>68 - 78 = 2</t>
  </si>
  <si>
    <t>68 - 79 = 2</t>
  </si>
  <si>
    <t>69 - 80 = 2</t>
  </si>
  <si>
    <t>70 - 81 = 2</t>
  </si>
  <si>
    <t>71 - 82 = 2</t>
  </si>
  <si>
    <t>78 - 89 = 3</t>
  </si>
  <si>
    <t>79 - 90 = 3</t>
  </si>
  <si>
    <t>80 - 91 = 3</t>
  </si>
  <si>
    <t>81 - 92 = 3</t>
  </si>
  <si>
    <t>82 - 93 = 3</t>
  </si>
  <si>
    <t>83 - 94 = 3</t>
  </si>
  <si>
    <t>90 - 100= 4</t>
  </si>
  <si>
    <t>90 - 101= 4</t>
  </si>
  <si>
    <t>91 - 102= 4</t>
  </si>
  <si>
    <t>92 - 103= 4</t>
  </si>
  <si>
    <t>93 - 104= 4</t>
  </si>
  <si>
    <t>94 - 105= 4</t>
  </si>
  <si>
    <t>95 - 106= 4</t>
  </si>
  <si>
    <t>101-111= 5</t>
  </si>
  <si>
    <t>102-112= 5</t>
  </si>
  <si>
    <t>103-113= 5</t>
  </si>
  <si>
    <t>104-114= 5</t>
  </si>
  <si>
    <t>105-115= 5</t>
  </si>
  <si>
    <t>106-116= 5</t>
  </si>
  <si>
    <t>106-117= 5</t>
  </si>
  <si>
    <t>107-118= 5</t>
  </si>
  <si>
    <t>119 Puntos</t>
  </si>
  <si>
    <t>120 Puntos</t>
  </si>
  <si>
    <t>121 Puntos</t>
  </si>
  <si>
    <t>122 Puntos</t>
  </si>
  <si>
    <t>123 Puntos</t>
  </si>
  <si>
    <t>124 Puntos</t>
  </si>
  <si>
    <t>125 Puntos</t>
  </si>
  <si>
    <t>126 Puntos</t>
  </si>
  <si>
    <t>0 - 71 = 1</t>
  </si>
  <si>
    <t>0 - 72 = 1</t>
  </si>
  <si>
    <t>0 - 73 = 1</t>
  </si>
  <si>
    <t>0 - 74 = 1</t>
  </si>
  <si>
    <t>0 - 75 = 1</t>
  </si>
  <si>
    <t>72 - 83 = 2</t>
  </si>
  <si>
    <t>73 - 84 = 2</t>
  </si>
  <si>
    <t>74 - 85 = 2</t>
  </si>
  <si>
    <t>74 - 86 = 2</t>
  </si>
  <si>
    <t>75 - 87 = 2</t>
  </si>
  <si>
    <t>76 - 88 = 2</t>
  </si>
  <si>
    <t>83 - 95 = 3</t>
  </si>
  <si>
    <t>84 - 96 = 3</t>
  </si>
  <si>
    <t>85 - 97 = 3</t>
  </si>
  <si>
    <t>86 - 98 = 3</t>
  </si>
  <si>
    <t>87 - 99 = 3</t>
  </si>
  <si>
    <t>88 - 100 = 3</t>
  </si>
  <si>
    <t>89 - 101 = 3</t>
  </si>
  <si>
    <t>96 - 107= 4</t>
  </si>
  <si>
    <t>97 - 108= 4</t>
  </si>
  <si>
    <t>98 - 109= 4</t>
  </si>
  <si>
    <t>98 - 110= 4</t>
  </si>
  <si>
    <t>99 - 111= 4</t>
  </si>
  <si>
    <t>100 - 112= 4</t>
  </si>
  <si>
    <t>101 - 113= 4</t>
  </si>
  <si>
    <t>102 - 114= 4</t>
  </si>
  <si>
    <t>108-119= 5</t>
  </si>
  <si>
    <t>109-120= 5</t>
  </si>
  <si>
    <t>110-121= 5</t>
  </si>
  <si>
    <t>111-122= 5</t>
  </si>
  <si>
    <t>112-123= 5</t>
  </si>
  <si>
    <t>113-124= 5</t>
  </si>
  <si>
    <t>114-125= 5</t>
  </si>
  <si>
    <t>115-126= 5</t>
  </si>
  <si>
    <t xml:space="preserve">Ejecutado </t>
  </si>
  <si>
    <t xml:space="preserve">Fecha </t>
  </si>
  <si>
    <t>N° Orden</t>
  </si>
  <si>
    <t>Apellido/s Nombre/s</t>
  </si>
  <si>
    <t>P</t>
  </si>
  <si>
    <t>A</t>
  </si>
  <si>
    <t>% DE ASISTENCIA</t>
  </si>
  <si>
    <t>SEPTIMO</t>
  </si>
  <si>
    <t>TT</t>
  </si>
  <si>
    <t>PLANILLA DE ASISTENCIA</t>
  </si>
  <si>
    <t>Viernes</t>
  </si>
  <si>
    <t>Promedio de Asistencia</t>
  </si>
  <si>
    <t>Evento / Conmemoración</t>
  </si>
  <si>
    <t>Tipo</t>
  </si>
  <si>
    <t>Año Nuevo</t>
  </si>
  <si>
    <t>Feriado Nacional</t>
  </si>
  <si>
    <t>Inicio de Clases (Sector Oficial)</t>
  </si>
  <si>
    <t>Día de los Héroes</t>
  </si>
  <si>
    <t>Día de los Trabajadores</t>
  </si>
  <si>
    <t>Día de la Independencia Nacional</t>
  </si>
  <si>
    <t>Paz del Chaco</t>
  </si>
  <si>
    <t>Vacaciones de Invierno</t>
  </si>
  <si>
    <t>Fundación de Asunción</t>
  </si>
  <si>
    <t>Victoria de Boquerón</t>
  </si>
  <si>
    <t>Finalización de Clases</t>
  </si>
  <si>
    <t>Día de la Virgen de Caacupé</t>
  </si>
  <si>
    <t>Cierre de Actividades Administrativas</t>
  </si>
  <si>
    <t>Navidad</t>
  </si>
  <si>
    <t>Fecha (DD/MM/YYYY)</t>
  </si>
  <si>
    <t>Apertura Institucional y Retorno Docente</t>
  </si>
  <si>
    <t>Jueves Santo (Receso)</t>
  </si>
  <si>
    <t>Viernes Santo (Receso)</t>
  </si>
  <si>
    <t>Inicio Vacaciones de Invierno</t>
  </si>
  <si>
    <t>Fin Vacaciones de Invierno</t>
  </si>
  <si>
    <t>Día de la Mujer Paraguaya (Homenaje a las Residentas)</t>
  </si>
  <si>
    <t>Día de los Héroes (Muerte del Mcal. López en Cerro Corá)</t>
  </si>
  <si>
    <t>Día Mundial de la Poesía y Día del Síndrome de Down</t>
  </si>
  <si>
    <t>Día del Libro y del Derecho de Autor</t>
  </si>
  <si>
    <t>Día del Periodista (Muerte de Santiago Leguizamón)</t>
  </si>
  <si>
    <t>Día del Maestro (En Paraguay)</t>
  </si>
  <si>
    <t>Día del Ejército Paraguayo</t>
  </si>
  <si>
    <t>Paz del Chaco (Firma del Protocolo de Paz, 1935)</t>
  </si>
  <si>
    <t>Día del Árbol (En Paraguay)</t>
  </si>
  <si>
    <t>Natalicio del Mcal. Francisco Solano López</t>
  </si>
  <si>
    <t>Día de la Amistad (Cruzada Mundial de la Amistad)</t>
  </si>
  <si>
    <t>Día de la Bandera</t>
  </si>
  <si>
    <t>Fundación de Asunción y Día del Niño (En Paraguay)</t>
  </si>
  <si>
    <t>Día de los Niños Mártires de Acosta Ñu</t>
  </si>
  <si>
    <t>Día del Folklore Paraguayo</t>
  </si>
  <si>
    <t>Día del Idioma Guaraní</t>
  </si>
  <si>
    <t>Día de la Juventud y de la Primavera</t>
  </si>
  <si>
    <t>Batalla de Boquerón (Victoria paraguaya, 1932)</t>
  </si>
  <si>
    <t>Día de la Raza (Descubrimiento de América)</t>
  </si>
  <si>
    <t>Día del Diseñador Gráfico y del Radiooperador</t>
  </si>
  <si>
    <t>Día Internacional de la Eliminación de la Violencia contra la Mujer</t>
  </si>
  <si>
    <t>Clase Normal</t>
  </si>
  <si>
    <t>Día de la Madre</t>
  </si>
  <si>
    <t>MEC - VACACIONES</t>
  </si>
  <si>
    <t>MEC - INSTITUCIONAL</t>
  </si>
  <si>
    <t>MEC - CIERRE ADM.</t>
  </si>
  <si>
    <t>MEC - CIERRE PEDAGOGICAS</t>
  </si>
  <si>
    <t>Dia para conmemorar</t>
  </si>
  <si>
    <t>Asueto - Departamental / Desfile</t>
  </si>
  <si>
    <t>Examen Segunda Etapa</t>
  </si>
  <si>
    <t>Examen Primera Etapa</t>
  </si>
  <si>
    <t>Categoría</t>
  </si>
  <si>
    <t>Académica</t>
  </si>
  <si>
    <t>10. Tiene dificultades de expresión oral/escrita.</t>
  </si>
  <si>
    <t>11. Posee excelentes hábitos de lectura.</t>
  </si>
  <si>
    <t>12. Muestra rechazo o desinterés por la lectura.</t>
  </si>
  <si>
    <t>13. Es autónomo en la realización de tareas.</t>
  </si>
  <si>
    <t>14. Requiere supervisión constante para avanzar.</t>
  </si>
  <si>
    <t>15. Investiga más allá de lo solicitado.</t>
  </si>
  <si>
    <t>16. Muestra apatía por temas nuevos.</t>
  </si>
  <si>
    <t>Conductual</t>
  </si>
  <si>
    <t>17. Respeta las normas de convivencia.</t>
  </si>
  <si>
    <t>18. Desafía activamente la autoridad.</t>
  </si>
  <si>
    <t>19. Es puntual en todas sus obligaciones.</t>
  </si>
  <si>
    <t>20. Presenta retardos o inasistencias frecuentes.</t>
  </si>
  <si>
    <t>21. Cuida el material propio y ajeno.</t>
  </si>
  <si>
    <t>22. Daña el mobiliario o materiales escolares.</t>
  </si>
  <si>
    <t>23. Escucha con atención y no interrumpe.</t>
  </si>
  <si>
    <t>24. Interrumpe constantemente el flujo de clase.</t>
  </si>
  <si>
    <t>25. Utiliza el lenguaje de forma respetuosa.</t>
  </si>
  <si>
    <t>26. Emplea lenguaje soez o despectivo.</t>
  </si>
  <si>
    <t>27. Reconoce sus errores honestamente.</t>
  </si>
  <si>
    <t>28. Miente o culpa a otros por sus actos.</t>
  </si>
  <si>
    <t>29. Usa la tecnología con fines educativos.</t>
  </si>
  <si>
    <t>30. Se distrae con dispositivos electrónicos.</t>
  </si>
  <si>
    <t>31. Mantiene el orden en espacios comunes.</t>
  </si>
  <si>
    <t>32. Fomenta el desorden o el caos en el grupo.</t>
  </si>
  <si>
    <t>Socio-Emocional</t>
  </si>
  <si>
    <t>33. Muestra resiliencia ante el fracaso.</t>
  </si>
  <si>
    <t>34. Se rinde fácilmente ante la frustración.</t>
  </si>
  <si>
    <t>35. Trabaja de forma colaborativa y equitativa.</t>
  </si>
  <si>
    <t>36. Trabaja de forma aislada o es individualista.</t>
  </si>
  <si>
    <t>37. Es empático con las necesidades ajenas.</t>
  </si>
  <si>
    <t>38. Ignora o se burla de los sentimientos de otros.</t>
  </si>
  <si>
    <t>39. Posee un liderazgo positivo y ético.</t>
  </si>
  <si>
    <t>40. Ejerce presión negativa o bullying.</t>
  </si>
  <si>
    <t>41. Se comunica de manera asertiva.</t>
  </si>
  <si>
    <t>42. Reacciona de forma agresiva o impulsiva.</t>
  </si>
  <si>
    <t>43. Tiene una autoestima académica sólida.</t>
  </si>
  <si>
    <t>44. Expresa inseguridad constante ("no puedo").</t>
  </si>
  <si>
    <t>Actitudinal</t>
  </si>
  <si>
    <t>45. Muestra curiosidad e iniciativa propia.</t>
  </si>
  <si>
    <t>46. Requiere estímulos externos para trabajar.</t>
  </si>
  <si>
    <t>47. Es persistente en tareas complejas.</t>
  </si>
  <si>
    <t>48. Abandona proyectos a mitad de camino.</t>
  </si>
  <si>
    <t>49. Acepta retroalimentación constructiva.</t>
  </si>
  <si>
    <t>50. Se muestra a la defensiva ante críticas.</t>
  </si>
  <si>
    <t>D</t>
  </si>
  <si>
    <t>REGISTRO DE TEMAS</t>
  </si>
  <si>
    <t xml:space="preserve">PLAN ANUAL </t>
  </si>
  <si>
    <t>ASISTENCIA</t>
  </si>
  <si>
    <t>INTRUMENTOS</t>
  </si>
  <si>
    <t>CUADRO ANECDOTICO</t>
  </si>
  <si>
    <t>INSTITUCIONAL</t>
  </si>
  <si>
    <t>POA 2026</t>
  </si>
  <si>
    <t>POA 2026 - ASIGNATURA</t>
  </si>
  <si>
    <t>DIAGNOSTICO</t>
  </si>
  <si>
    <t>CALENDARIO MEC</t>
  </si>
  <si>
    <t>PROYECTOS INSTITUCIONALES</t>
  </si>
  <si>
    <t>INDICADORES ACTITUDINALES</t>
  </si>
  <si>
    <t>Horas ingreso</t>
  </si>
  <si>
    <t>Hora salida</t>
  </si>
  <si>
    <t>Receso</t>
  </si>
  <si>
    <t>PROFESOR</t>
  </si>
  <si>
    <t>CHRISTHIAN KEIM</t>
  </si>
  <si>
    <t>INSTITUCION</t>
  </si>
  <si>
    <t>ASIGNATURA</t>
  </si>
  <si>
    <t xml:space="preserve">GRADO </t>
  </si>
  <si>
    <t>TURNO</t>
  </si>
  <si>
    <t>PF</t>
  </si>
  <si>
    <t>FIRMAS</t>
  </si>
  <si>
    <t>Nombre completo</t>
  </si>
  <si>
    <t>Registro de Alumnos</t>
  </si>
  <si>
    <t xml:space="preserve">Alumno </t>
  </si>
  <si>
    <t>Situación</t>
  </si>
  <si>
    <t xml:space="preserve">Indicador </t>
  </si>
  <si>
    <t>01. Domina los conceptos clave del grado.</t>
  </si>
  <si>
    <t>03. Posee un pensamiento crítico y analítico.</t>
  </si>
  <si>
    <t>05. Entrega trabajos con alta calidad y orden.</t>
  </si>
  <si>
    <t>07. Resuelve problemas lógicos con fluidez.</t>
  </si>
  <si>
    <t>09. Utiliza vocabulario técnico preciso.</t>
  </si>
  <si>
    <t>02. Presenta lagunas en conocimientos previos.</t>
  </si>
  <si>
    <t>04. Se limita a memorizar sin comprender.</t>
  </si>
  <si>
    <t>06. Entrega tareas incompletas o descuidadas.</t>
  </si>
  <si>
    <t>08. Se bloquea ante desafíos matemáticos.</t>
  </si>
  <si>
    <t>Tipo de Indicador</t>
  </si>
  <si>
    <t>Fortaleza/Logro</t>
  </si>
  <si>
    <t>Alerta/Mejora</t>
  </si>
  <si>
    <t>Nombre y Apellido</t>
  </si>
  <si>
    <t>Categoria</t>
  </si>
  <si>
    <t>Etiquetas de fila</t>
  </si>
  <si>
    <t>(en blanco)</t>
  </si>
  <si>
    <t>Total general</t>
  </si>
  <si>
    <t>Etiquetas de columna</t>
  </si>
  <si>
    <t>Cantidad de Reportes</t>
  </si>
  <si>
    <t>Tipo de Indicador.</t>
  </si>
  <si>
    <t>.</t>
  </si>
  <si>
    <t>Cantidad de veces</t>
  </si>
  <si>
    <t>Suma de Cantidad de veces</t>
  </si>
  <si>
    <t>ESC.EXC. Manuel</t>
  </si>
  <si>
    <t>Molinas</t>
  </si>
  <si>
    <t xml:space="preserve">MAÑANA </t>
  </si>
  <si>
    <t xml:space="preserve">FORMACIÓN ETICA </t>
  </si>
  <si>
    <t>Contenido</t>
  </si>
  <si>
    <t>Estrategias Didácticas</t>
  </si>
  <si>
    <t>Estrategias evaluativas</t>
  </si>
  <si>
    <t>Persona y entorno</t>
  </si>
  <si>
    <t>Reflexiona acerca de la práctica de los principios y valores democráticos.</t>
  </si>
  <si>
    <t>Ética y Moral. Diferencias y moralidad social.</t>
  </si>
  <si>
    <t>- Responde preguntas.</t>
  </si>
  <si>
    <t>- Identifica principios éticos y morales.</t>
  </si>
  <si>
    <t>- Portafolio de trabajo.</t>
  </si>
  <si>
    <t>- Cuadernillo Serie Poty.</t>
  </si>
  <si>
    <t>- Establece diferencias entre ética y moral.</t>
  </si>
  <si>
    <t>- Diferencia moral y moralidad.</t>
  </si>
  <si>
    <t>- RSA con indicadores.</t>
  </si>
  <si>
    <t>- Cartulinas y pinceles.</t>
  </si>
  <si>
    <t>- Diseña carteles de concientización.</t>
  </si>
  <si>
    <t>Analiza dilemas éticos contemporáneos y su impacto social.</t>
  </si>
  <si>
    <t>**Escándalos éticos de nuestro tiempo:** Pobreza, hambre y mortalidad infantil.</t>
  </si>
  <si>
    <t>- Análisis de noticias actuales.</t>
  </si>
  <si>
    <t>- Reconoce problemáticas éticas globales.</t>
  </si>
  <si>
    <t>- Registro de observación.</t>
  </si>
  <si>
    <t>- Material de lectura.</t>
  </si>
  <si>
    <t>- Debate sobre déficit de agua potable.</t>
  </si>
  <si>
    <t>- Analiza causas de la mortalidad infantil.</t>
  </si>
  <si>
    <t>- Ensayos escritos.</t>
  </si>
  <si>
    <t>- Artículos de prensa.</t>
  </si>
  <si>
    <t>- Elaboración de ensayos breves.</t>
  </si>
  <si>
    <t>Comprende la importancia de la convivencia armónica en el ámbito escolar.</t>
  </si>
  <si>
    <t>**Acuerdos de relacionamiento:** Código de convivencia docente-estudiante.</t>
  </si>
  <si>
    <t>- Lluvia de ideas sobre normas.</t>
  </si>
  <si>
    <t>- Valora el código de convivencia.</t>
  </si>
  <si>
    <t>- Participación activa.</t>
  </si>
  <si>
    <t>- Papelógrafos.</t>
  </si>
  <si>
    <t>- Redacción participativa de acuerdos de aula.</t>
  </si>
  <si>
    <t>- Propone normas de respeto mutuo.</t>
  </si>
  <si>
    <t>- Documento de acuerdos.</t>
  </si>
  <si>
    <t>- Marcadores.</t>
  </si>
  <si>
    <t>Identifica situaciones de acoso escolar y propone medidas de prevención.</t>
  </si>
  <si>
    <t>Bullying: Concepto, tipos, causas y consecuencias.</t>
  </si>
  <si>
    <t>(Abordaje &gt; 2 horas)</t>
  </si>
  <si>
    <t>- Define tipos de bullying.</t>
  </si>
  <si>
    <t>- Guía de trabajo grupal.</t>
  </si>
  <si>
    <t>- Proyector / Videos.</t>
  </si>
  <si>
    <t>- Cine debate sobre casos reales.</t>
  </si>
  <si>
    <t>- Identifica consecuencias psicológicas.</t>
  </si>
  <si>
    <t>- Talleres de rol (agresor/víctima).</t>
  </si>
  <si>
    <t>- Propone acciones de prevención.</t>
  </si>
  <si>
    <t>- RSA.</t>
  </si>
  <si>
    <t>- Fichas de casos.</t>
  </si>
  <si>
    <t>- Elaboración de protocolos de ayuda.</t>
  </si>
  <si>
    <t>Aplica técnicas básicas de resolución de conflictos en situaciones cotidianas.</t>
  </si>
  <si>
    <t>Mediación, Negociación y Confrontación.</t>
  </si>
  <si>
    <t>- Diferencia mediación de negociación.</t>
  </si>
  <si>
    <t>- Evaluación de desempeño (Role-play).</t>
  </si>
  <si>
    <t>- Guiones de casos.</t>
  </si>
  <si>
    <t>- Simulacros de mediación escolar.</t>
  </si>
  <si>
    <t>- Ejercicios de comunicación asertiva.</t>
  </si>
  <si>
    <t>- Aplica pasos de la negociación asertiva.</t>
  </si>
  <si>
    <t>- Pizarra.</t>
  </si>
  <si>
    <t>- Análisis de casos de conflicto.</t>
  </si>
  <si>
    <t>La Familia</t>
  </si>
  <si>
    <t>Analiza la situación socioeconómica de las familias paraguayas.</t>
  </si>
  <si>
    <t>Pobreza y Canasta Básica Familiar.</t>
  </si>
  <si>
    <t>- Investigación de precios actuales.</t>
  </si>
  <si>
    <t>- Define el concepto de canasta básica.</t>
  </si>
  <si>
    <t>- Informe de investigación.</t>
  </si>
  <si>
    <t>- Datos estadísticos.</t>
  </si>
  <si>
    <t>- Comparación de ingresos y costos básicos.</t>
  </si>
  <si>
    <t>- Analiza el impacto de la pobreza.</t>
  </si>
  <si>
    <t>- Cuadro comparativo.</t>
  </si>
  <si>
    <t>- Calculadora.</t>
  </si>
  <si>
    <t>Reconoce factores que inciden en la violencia intrafamiliar.</t>
  </si>
  <si>
    <t>Violencia Intrafamiliar: Causas y prevención.</t>
  </si>
  <si>
    <t>- Identifica tipos de violencia familiar.</t>
  </si>
  <si>
    <t>- Cuestionario reflexivo.</t>
  </si>
  <si>
    <t>- Trípticos informativos.</t>
  </si>
  <si>
    <t>- Charla con especialistas o videos informativos.</t>
  </si>
  <si>
    <t>- Conoce rutas de denuncia en Paraguay.</t>
  </si>
  <si>
    <t>- Proyector.</t>
  </si>
  <si>
    <t>- Análisis de la Ley contra violencia doméstica.</t>
  </si>
  <si>
    <t>- Mapa de instituciones de denuncia.</t>
  </si>
  <si>
    <t>Derechos Humanos</t>
  </si>
  <si>
    <t>Reconoce los principios básicos que rigen los Derechos Humanos.</t>
  </si>
  <si>
    <t>Principios de los DD.HH.: Universalidad, progresividad e irreversibilidad.</t>
  </si>
  <si>
    <t>- Explica la universalidad de los derechos.</t>
  </si>
  <si>
    <t>- Mapa conceptual.</t>
  </si>
  <si>
    <t>- Constitución Nacional.</t>
  </si>
  <si>
    <t>- Lectura comprensiva de la Declaración Universal.</t>
  </si>
  <si>
    <t>- Análisis de casos históricos.</t>
  </si>
  <si>
    <t>- Distingue progresividad de irreversibilidad.</t>
  </si>
  <si>
    <t>- Prueba escrita formativa.</t>
  </si>
  <si>
    <t>- Textos guía.</t>
  </si>
  <si>
    <t>- Debate sobre la temporalidad de los derechos.</t>
  </si>
  <si>
    <t>Analiza situaciones de vulneración de derechos en la niñez y adolescencia.</t>
  </si>
  <si>
    <t>**Causas de explotación:** Sexual, laboral y trabajos forzados.</t>
  </si>
  <si>
    <t>- Análisis de estadísticas nacionales.</t>
  </si>
  <si>
    <t>- Reconoce formas de explotación infantil.</t>
  </si>
  <si>
    <t>- Murales preventivos.</t>
  </si>
  <si>
    <t>- Afiches.</t>
  </si>
  <si>
    <t>- Identificación de señales de riesgo.</t>
  </si>
  <si>
    <t>- Valora la protección contra el trabajo forzado.</t>
  </si>
  <si>
    <t>- Portafolio.</t>
  </si>
  <si>
    <t>- Material audiovisual.</t>
  </si>
  <si>
    <t>- Elaboración de campañas preventivas.</t>
  </si>
  <si>
    <t>Democracia y Estado</t>
  </si>
  <si>
    <t>Analiza la situación de la mujer en la estructura social actual.</t>
  </si>
  <si>
    <t>**Pobreza, desigualdad y exclusión a la mujer.**</t>
  </si>
  <si>
    <t>- Debate sobre brecha salarial y acceso a educación.</t>
  </si>
  <si>
    <t>- Identifica factores de exclusión femenina.</t>
  </si>
  <si>
    <t>- Biografías de mujeres líderes en Paraguay.</t>
  </si>
  <si>
    <t>- Propone acciones para la igualdad.</t>
  </si>
  <si>
    <t>- Debate dirigido.</t>
  </si>
  <si>
    <t>- Artículos de género.</t>
  </si>
  <si>
    <t>Analiza el Sistema Tributario en función al fortalecimiento institucional.</t>
  </si>
  <si>
    <t>Sistema Tributario y funciones de la S.E.T.</t>
  </si>
  <si>
    <t>- Identifica la función tributaria.</t>
  </si>
  <si>
    <t>- Ejercicios prácticos.</t>
  </si>
  <si>
    <t>- Formularios de práctica.</t>
  </si>
  <si>
    <t>- Taller sobre el IVA y su importancia social.</t>
  </si>
  <si>
    <t>- Visita virtual o análisis de la página de la SET.</t>
  </si>
  <si>
    <t>- Valora la función social de los tributos.</t>
  </si>
  <si>
    <t>- Internet.</t>
  </si>
  <si>
    <t>- Ejercicios de cálculo básico de impuestos.</t>
  </si>
  <si>
    <t>Analiza la estructura y funciones de los organismos del Estado.</t>
  </si>
  <si>
    <t>Ministerio de Hacienda y Autoridades Locales (Intendencias/Gobernaciones).</t>
  </si>
  <si>
    <t>- Elaboración de organigrama del Estado.</t>
  </si>
  <si>
    <t>- Reconoce funciones del Ministerio de Hacienda.</t>
  </si>
  <si>
    <t>- Organigrama estatal.</t>
  </si>
  <si>
    <t>- Investigación sobre funciones municipales.</t>
  </si>
  <si>
    <t>- Diferencia roles de Intendentes y Gobernadores.</t>
  </si>
  <si>
    <t>- Páginas web oficiales.</t>
  </si>
  <si>
    <t>- Entrevista a autoridades o análisis de gestión.</t>
  </si>
  <si>
    <t>ARCE VILLALBA, DIDIER EMMANUEL</t>
  </si>
  <si>
    <t>BENEGAS ACUÑA NAHIARA ABIGAIL</t>
  </si>
  <si>
    <t>BENEGAS VELAZQUEZ EITHAN JESUS</t>
  </si>
  <si>
    <t>CABALLERO DIAZ LUCIA BELEN</t>
  </si>
  <si>
    <t>CAMPOS DOMINGUEZ AURORA JAZMIN</t>
  </si>
  <si>
    <t>COLARTE EVERS MAIRA JOHANA</t>
  </si>
  <si>
    <t>COLMAN RECALDE GIOVANNI JOAQUIN</t>
  </si>
  <si>
    <t>DIAZ ACOSTA FRANCISCO BENJAMIN</t>
  </si>
  <si>
    <t>ECHEVERRIA REIMER BLADIMIR</t>
  </si>
  <si>
    <t>FERNANDEZ CABALLERO DAFNE AILEN</t>
  </si>
  <si>
    <t>FRANCO ARCE PABLO TADEO JESUS</t>
  </si>
  <si>
    <t>GALEANO ARCE, AILANA MARIBEL</t>
  </si>
  <si>
    <t>GARCIA HELLIÓN, ANGELES KIARA</t>
  </si>
  <si>
    <t>GONZÁLEZ CABAÑAS. MAGDA DAHIANA</t>
  </si>
  <si>
    <t>GONZALEZ ESCOBAR NAHIARA NOEMI</t>
  </si>
  <si>
    <t>IBARRA GALEANO DAHIANA DANIELA</t>
  </si>
  <si>
    <t>LEZCANO ACOSTA, ASHLEY AYELEN</t>
  </si>
  <si>
    <t>LOPEZ ESTEVE DARA ABIGAIL</t>
  </si>
  <si>
    <t>LOPEZ SALDAÑA VICTOR FABRICIO NICOLAS</t>
  </si>
  <si>
    <t>MARTINEZ ROTELA RAMIRO ELIEL</t>
  </si>
  <si>
    <t>ORTEGA FERREIRA LUCAS MATIAS</t>
  </si>
  <si>
    <t>ORTIZ ZARATE DAHIA KARIMMI</t>
  </si>
  <si>
    <t>ORTIZ ZARATE DANAE KARINNE</t>
  </si>
  <si>
    <t>PAEZ MELGAREJO ALEXANDER NIKOLAS</t>
  </si>
  <si>
    <t>PEREIRA DOMINGUEZ NAHIR ELIZABETH</t>
  </si>
  <si>
    <t>PINHO PAREDES, DYLAN DAVID</t>
  </si>
  <si>
    <t>RAMIREZ GONZALEZ, DAYNARA LIZBETH GUADALUPE</t>
  </si>
  <si>
    <t>RAMIREZ SILVA JOHANA JAZMIN</t>
  </si>
  <si>
    <t>RODRIGUEZ ARCE JUAN MATEO</t>
  </si>
  <si>
    <t>ROJAS AZCURRA DANNA MARISOL</t>
  </si>
  <si>
    <t>ROMAN SOSA LUISANA VALENTINA</t>
  </si>
  <si>
    <t>RUIZ BENITEZ, LOURDES ESMERALDA</t>
  </si>
  <si>
    <t>RUIZ DIAZ ACUÑA LUANA YERUTI</t>
  </si>
  <si>
    <t>SALCEDO LOPEZ CARLOS ALBERTO</t>
  </si>
  <si>
    <t>TORRES OCAMPOS MILAGROS SOLEDAD</t>
  </si>
  <si>
    <t>VILLAGRA GAVILAN LUCIA DANAE</t>
  </si>
  <si>
    <t>VILLALBA PINHO DYLAN ALEXANDER</t>
  </si>
  <si>
    <t>NOTA</t>
  </si>
  <si>
    <t xml:space="preserve">Nota </t>
  </si>
  <si>
    <t>Cantidad de alumnos</t>
  </si>
  <si>
    <t>% de Alumnos</t>
  </si>
  <si>
    <t xml:space="preserve">Muy bueno </t>
  </si>
  <si>
    <t>Bueno</t>
  </si>
  <si>
    <t>A mejorar</t>
  </si>
  <si>
    <t>pf</t>
  </si>
  <si>
    <t>PFF</t>
  </si>
  <si>
    <t>Promedio de Cantidad de veces</t>
  </si>
  <si>
    <t>Bandaliza</t>
  </si>
  <si>
    <t>GAONA ESPINOLA, LUANA MARIBEL</t>
  </si>
  <si>
    <t>GARCIA HELLIÓN, ABIGAIL LUJÁN</t>
  </si>
  <si>
    <t>x</t>
  </si>
  <si>
    <t>PFC</t>
  </si>
  <si>
    <t>ROUSSILLON GONZÁLEZ, LAURA ISABELLA</t>
  </si>
  <si>
    <t>VILLASANTI GONZALEZ, JONATHAN JOSIAS</t>
  </si>
  <si>
    <t>ARCE CONTESSI, GUADALUPE MARIA LUJAN</t>
  </si>
  <si>
    <t>ARCE CABALLERO, NAHIARA NAOMI</t>
  </si>
  <si>
    <t>AYALA MAIDANA, ALMA ISABELLA</t>
  </si>
  <si>
    <t>BARRETO AYALA, GUADALUPE MABEL</t>
  </si>
  <si>
    <t>BARRIOS MONGES, LUIS JESUS</t>
  </si>
  <si>
    <t>BENITEZ GIMENEZ, LUANA ISABEL</t>
  </si>
  <si>
    <t>CABALLERO DIAZ, CARLOS RODRIGO</t>
  </si>
  <si>
    <t>CACERES ROMAN, THAIS VICTORIA</t>
  </si>
  <si>
    <t>DIAZ ACUÑA, MAXIMO ROMAN</t>
  </si>
  <si>
    <t>ESTIGARRIBIA ESTIGARRIBIA, BASTTIAN JOSUE</t>
  </si>
  <si>
    <t>FERNANDEZ ARCE, IVONNE VIRGINIA</t>
  </si>
  <si>
    <t>FERNANDEZ TRINIDAD, EMILIA ARAMI</t>
  </si>
  <si>
    <t>FLORENTIN LEDEZMA, TAMARA NOEMI</t>
  </si>
  <si>
    <t>FLORENTIN MARTINEZ, AYLEN PAZCAL</t>
  </si>
  <si>
    <t>FRANCO ARCE, PAULA YELENNA</t>
  </si>
  <si>
    <t>GAONA BAEZ, JEANELLY GUADALUPE</t>
  </si>
  <si>
    <t>GARCIA VIANCONI, LAUTARO RADAMEL</t>
  </si>
  <si>
    <t>GIMENEZ GALEANO, SANTIAGO MIQUEAS</t>
  </si>
  <si>
    <t>GIRETT PEREIRA, SANTIAGO JAVIER</t>
  </si>
  <si>
    <t>VERA ALCARAZ, LIZZIE CAROLINA</t>
  </si>
  <si>
    <t>SILVA GARCETE, FREDY MISAEL</t>
  </si>
  <si>
    <t xml:space="preserve">SANTA CRUZ MONTONADO, MARIA FLORENCIA </t>
  </si>
  <si>
    <t>GOMEZ BENITEZ, FREDY ANTONIO</t>
  </si>
  <si>
    <t>GONZALEZ LOPEZ, BETHANIA MONSERRAT</t>
  </si>
  <si>
    <t>IRALA PINIENTA, SHEYLA YAMILET</t>
  </si>
  <si>
    <t>JARA BERNAL, BRAHIAN LIONEL</t>
  </si>
  <si>
    <t>MARTINEZ ROJAS, JOSIAS ARNALDO</t>
  </si>
  <si>
    <t>NOTARIO CABRAL,KARINA LUJAN</t>
  </si>
  <si>
    <t>PARDO ALUB, SAMIRA</t>
  </si>
  <si>
    <t>QUIÑONEZ CARDOZO, LUCERO ABYGAIL</t>
  </si>
  <si>
    <t>RECALDE CANDIA, ALEXIS TOBIAS</t>
  </si>
  <si>
    <t>ROA NUÑEZ, VANIA AILYN</t>
  </si>
  <si>
    <t>PINHO MILLAN, JONATHAN JOSIAS</t>
  </si>
  <si>
    <t>ROLON MARTINEZ, JOSIAS SAMUEL</t>
  </si>
  <si>
    <t>ROMERO PRIETO, HEIDY JIANNINA</t>
  </si>
  <si>
    <t>SALCEDO AYALA, CHRISTOPHER RODRIGO</t>
  </si>
  <si>
    <t>SAMANIEGO ROJAS, ALEX DAVID</t>
  </si>
  <si>
    <t xml:space="preserve">SANCHEZ SALINAS, ROBERT ELIAS </t>
  </si>
  <si>
    <t>Moral Social</t>
  </si>
  <si>
    <t>La responsabilidad</t>
  </si>
  <si>
    <t>Alumnos con gripe en su mayoria</t>
  </si>
  <si>
    <t>Elabora un mapa mental de Moral Social  ( Trabajo remitido por WS)</t>
  </si>
  <si>
    <t>PPC</t>
  </si>
  <si>
    <t>Ausente</t>
  </si>
  <si>
    <t>Presente</t>
  </si>
  <si>
    <t>Presente, falta completar</t>
  </si>
  <si>
    <t>Presente y Firma - trabajo completo</t>
  </si>
  <si>
    <t>Moral Individual / El ser y deber ser</t>
  </si>
  <si>
    <t>filtrar</t>
  </si>
  <si>
    <t>PC</t>
  </si>
  <si>
    <t>pfc</t>
  </si>
  <si>
    <t>p</t>
  </si>
  <si>
    <t>pfF</t>
  </si>
  <si>
    <t>DUARTE CARDOZO, THIAGO BENJAMIIN</t>
  </si>
  <si>
    <t>X</t>
  </si>
  <si>
    <t>´P</t>
  </si>
  <si>
    <t xml:space="preserve">PF </t>
  </si>
  <si>
    <t>No tiene cuaderno</t>
  </si>
  <si>
    <t>a</t>
  </si>
  <si>
    <t>No presento su cuaderno</t>
  </si>
  <si>
    <t>XX</t>
  </si>
  <si>
    <t>xx</t>
  </si>
  <si>
    <t>LAUTARO GARCIA</t>
  </si>
  <si>
    <t>Ale-40. Ejerce presión negativa o bullying.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</si>
</sst>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b/>
      <i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theme="1"/>
      <name val="Aptos Narrow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FF0000"/>
      <name val="Arial"/>
      <family val="2"/>
    </font>
    <font>
      <sz val="9"/>
      <color theme="1"/>
      <name val="Calibri"/>
      <family val="2"/>
      <scheme val="minor"/>
    </font>
    <font>
      <sz val="9"/>
      <color rgb="FF1F1F1F"/>
      <name val="Arial"/>
      <family val="2"/>
    </font>
    <font>
      <sz val="10"/>
      <color rgb="FFFF0000"/>
      <name val="Arial"/>
      <family val="2"/>
    </font>
    <font>
      <b/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color rgb="FF1F1F1F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9" fontId="17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4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9" fillId="0" borderId="4" xfId="1" applyFont="1" applyBorder="1" applyAlignment="1">
      <alignment vertical="center"/>
    </xf>
    <xf numFmtId="0" fontId="8" fillId="0" borderId="4" xfId="1" applyBorder="1"/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5" fillId="0" borderId="11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6" fillId="0" borderId="11" xfId="0" applyFont="1" applyBorder="1" applyAlignment="1">
      <alignment wrapText="1"/>
    </xf>
    <xf numFmtId="0" fontId="6" fillId="2" borderId="1" xfId="0" applyFont="1" applyFill="1" applyBorder="1" applyAlignment="1">
      <alignment vertical="top" wrapText="1"/>
    </xf>
    <xf numFmtId="0" fontId="0" fillId="2" borderId="0" xfId="0" applyFill="1"/>
    <xf numFmtId="14" fontId="13" fillId="2" borderId="4" xfId="0" applyNumberFormat="1" applyFont="1" applyFill="1" applyBorder="1" applyAlignment="1">
      <alignment vertical="top" textRotation="90" wrapText="1"/>
    </xf>
    <xf numFmtId="0" fontId="0" fillId="0" borderId="0" xfId="0" applyAlignment="1">
      <alignment horizontal="center"/>
    </xf>
    <xf numFmtId="14" fontId="0" fillId="2" borderId="0" xfId="0" applyNumberFormat="1" applyFill="1"/>
    <xf numFmtId="10" fontId="0" fillId="0" borderId="0" xfId="2" applyNumberFormat="1" applyFont="1"/>
    <xf numFmtId="9" fontId="11" fillId="0" borderId="4" xfId="2" applyFont="1" applyBorder="1" applyAlignment="1">
      <alignment horizontal="center"/>
    </xf>
    <xf numFmtId="0" fontId="19" fillId="0" borderId="0" xfId="0" applyFont="1"/>
    <xf numFmtId="0" fontId="19" fillId="0" borderId="12" xfId="0" applyFont="1" applyBorder="1"/>
    <xf numFmtId="0" fontId="20" fillId="0" borderId="0" xfId="0" applyFont="1"/>
    <xf numFmtId="0" fontId="21" fillId="0" borderId="0" xfId="0" applyFont="1"/>
    <xf numFmtId="0" fontId="11" fillId="0" borderId="4" xfId="0" applyFont="1" applyBorder="1" applyAlignment="1">
      <alignment horizontal="center" vertical="center"/>
    </xf>
    <xf numFmtId="10" fontId="23" fillId="2" borderId="4" xfId="2" applyNumberFormat="1" applyFont="1" applyFill="1" applyBorder="1" applyAlignment="1">
      <alignment horizontal="center" vertical="center" wrapText="1"/>
    </xf>
    <xf numFmtId="14" fontId="1" fillId="0" borderId="4" xfId="0" applyNumberFormat="1" applyFont="1" applyBorder="1" applyAlignment="1">
      <alignment wrapText="1"/>
    </xf>
    <xf numFmtId="0" fontId="24" fillId="0" borderId="4" xfId="0" applyFont="1" applyBorder="1" applyAlignment="1">
      <alignment horizontal="left" vertical="center" wrapText="1" indent="1" readingOrder="1"/>
    </xf>
    <xf numFmtId="0" fontId="24" fillId="0" borderId="4" xfId="0" applyFont="1" applyBorder="1" applyAlignment="1">
      <alignment vertical="center" wrapText="1" readingOrder="1"/>
    </xf>
    <xf numFmtId="9" fontId="20" fillId="0" borderId="4" xfId="2" applyFont="1" applyBorder="1" applyAlignment="1">
      <alignment horizontal="center"/>
    </xf>
    <xf numFmtId="0" fontId="25" fillId="0" borderId="4" xfId="0" applyFont="1" applyBorder="1" applyAlignment="1">
      <alignment horizontal="left" vertical="center" wrapText="1" indent="1" readingOrder="1"/>
    </xf>
    <xf numFmtId="0" fontId="25" fillId="0" borderId="4" xfId="0" applyFont="1" applyBorder="1" applyAlignment="1">
      <alignment vertical="center" wrapText="1" readingOrder="1"/>
    </xf>
    <xf numFmtId="14" fontId="24" fillId="0" borderId="4" xfId="0" applyNumberFormat="1" applyFont="1" applyBorder="1" applyAlignment="1">
      <alignment horizontal="left" vertical="center" wrapText="1" indent="1" readingOrder="1"/>
    </xf>
    <xf numFmtId="14" fontId="25" fillId="0" borderId="4" xfId="0" applyNumberFormat="1" applyFont="1" applyBorder="1" applyAlignment="1">
      <alignment horizontal="left" vertical="center" wrapText="1" indent="1" readingOrder="1"/>
    </xf>
    <xf numFmtId="0" fontId="4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14" fontId="26" fillId="0" borderId="4" xfId="0" applyNumberFormat="1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vertical="center" wrapText="1" readingOrder="1"/>
    </xf>
    <xf numFmtId="0" fontId="18" fillId="0" borderId="0" xfId="0" applyFont="1"/>
    <xf numFmtId="14" fontId="1" fillId="5" borderId="4" xfId="0" applyNumberFormat="1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25" fillId="6" borderId="4" xfId="0" applyFont="1" applyFill="1" applyBorder="1" applyAlignment="1">
      <alignment horizontal="center" vertical="center" wrapText="1" readingOrder="1"/>
    </xf>
    <xf numFmtId="0" fontId="27" fillId="0" borderId="4" xfId="1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 readingOrder="1"/>
    </xf>
    <xf numFmtId="0" fontId="27" fillId="0" borderId="0" xfId="0" applyFont="1" applyAlignment="1">
      <alignment vertical="top"/>
    </xf>
    <xf numFmtId="0" fontId="29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0" xfId="0" applyAlignment="1">
      <alignment horizontal="left"/>
    </xf>
    <xf numFmtId="0" fontId="25" fillId="0" borderId="4" xfId="0" applyFont="1" applyBorder="1" applyAlignment="1">
      <alignment horizontal="right" vertical="center" wrapText="1" indent="1" readingOrder="1"/>
    </xf>
    <xf numFmtId="0" fontId="28" fillId="4" borderId="4" xfId="0" applyFont="1" applyFill="1" applyBorder="1" applyAlignment="1">
      <alignment horizontal="left" vertical="top" wrapText="1" readingOrder="1"/>
    </xf>
    <xf numFmtId="0" fontId="0" fillId="0" borderId="14" xfId="0" applyBorder="1"/>
    <xf numFmtId="0" fontId="20" fillId="0" borderId="15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20" fontId="0" fillId="0" borderId="0" xfId="0" applyNumberFormat="1"/>
    <xf numFmtId="0" fontId="19" fillId="4" borderId="0" xfId="0" applyFont="1" applyFill="1"/>
    <xf numFmtId="0" fontId="0" fillId="0" borderId="19" xfId="0" applyBorder="1"/>
    <xf numFmtId="0" fontId="20" fillId="0" borderId="20" xfId="0" applyFont="1" applyBorder="1"/>
    <xf numFmtId="0" fontId="0" fillId="0" borderId="20" xfId="0" applyBorder="1"/>
    <xf numFmtId="0" fontId="0" fillId="0" borderId="21" xfId="0" applyBorder="1"/>
    <xf numFmtId="9" fontId="31" fillId="0" borderId="0" xfId="2" applyFont="1" applyBorder="1" applyAlignment="1">
      <alignment vertical="center"/>
    </xf>
    <xf numFmtId="0" fontId="32" fillId="0" borderId="0" xfId="0" applyFont="1"/>
    <xf numFmtId="0" fontId="10" fillId="3" borderId="0" xfId="0" applyFont="1" applyFill="1"/>
    <xf numFmtId="20" fontId="10" fillId="7" borderId="0" xfId="0" applyNumberFormat="1" applyFont="1" applyFill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20" fillId="4" borderId="13" xfId="0" applyFont="1" applyFill="1" applyBorder="1" applyAlignment="1">
      <alignment horizontal="center"/>
    </xf>
    <xf numFmtId="0" fontId="20" fillId="4" borderId="22" xfId="0" applyFont="1" applyFill="1" applyBorder="1" applyAlignment="1">
      <alignment horizontal="center"/>
    </xf>
    <xf numFmtId="9" fontId="20" fillId="0" borderId="0" xfId="2" applyFont="1" applyBorder="1" applyAlignment="1">
      <alignment horizontal="center"/>
    </xf>
    <xf numFmtId="1" fontId="11" fillId="0" borderId="4" xfId="2" applyNumberFormat="1" applyFont="1" applyBorder="1" applyAlignment="1">
      <alignment horizontal="center"/>
    </xf>
    <xf numFmtId="14" fontId="13" fillId="2" borderId="4" xfId="0" applyNumberFormat="1" applyFont="1" applyFill="1" applyBorder="1" applyAlignment="1">
      <alignment horizontal="center" vertical="center" textRotation="90" wrapText="1"/>
    </xf>
    <xf numFmtId="0" fontId="19" fillId="0" borderId="0" xfId="0" applyFont="1" applyAlignment="1">
      <alignment wrapText="1"/>
    </xf>
    <xf numFmtId="10" fontId="22" fillId="0" borderId="0" xfId="2" applyNumberFormat="1" applyFont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2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28" fillId="6" borderId="4" xfId="0" applyFont="1" applyFill="1" applyBorder="1" applyAlignment="1">
      <alignment horizontal="left" vertical="top" wrapText="1" readingOrder="1"/>
    </xf>
    <xf numFmtId="0" fontId="24" fillId="9" borderId="4" xfId="0" applyFont="1" applyFill="1" applyBorder="1" applyAlignment="1">
      <alignment horizontal="left" vertical="center" wrapText="1" readingOrder="1"/>
    </xf>
    <xf numFmtId="0" fontId="24" fillId="9" borderId="4" xfId="0" applyFont="1" applyFill="1" applyBorder="1" applyAlignment="1">
      <alignment vertical="center" wrapText="1" readingOrder="1"/>
    </xf>
    <xf numFmtId="14" fontId="0" fillId="0" borderId="0" xfId="0" applyNumberFormat="1"/>
    <xf numFmtId="164" fontId="0" fillId="0" borderId="0" xfId="0" applyNumberFormat="1"/>
    <xf numFmtId="0" fontId="24" fillId="0" borderId="4" xfId="0" applyFont="1" applyBorder="1" applyAlignment="1">
      <alignment horizontal="right" vertical="center" wrapText="1" indent="1" readingOrder="1"/>
    </xf>
    <xf numFmtId="0" fontId="24" fillId="9" borderId="4" xfId="0" applyFont="1" applyFill="1" applyBorder="1" applyAlignment="1">
      <alignment horizontal="right" vertical="center" wrapText="1" indent="1" readingOrder="1"/>
    </xf>
    <xf numFmtId="0" fontId="0" fillId="0" borderId="0" xfId="0" pivotButton="1"/>
    <xf numFmtId="0" fontId="0" fillId="0" borderId="4" xfId="0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5" fillId="2" borderId="4" xfId="0" applyFont="1" applyFill="1" applyBorder="1" applyAlignment="1">
      <alignment horizontal="left" vertical="center" wrapText="1" indent="1" readingOrder="1"/>
    </xf>
    <xf numFmtId="0" fontId="25" fillId="2" borderId="4" xfId="0" applyFont="1" applyFill="1" applyBorder="1" applyAlignment="1">
      <alignment vertical="center" wrapText="1" readingOrder="1"/>
    </xf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24" fillId="10" borderId="4" xfId="0" applyFont="1" applyFill="1" applyBorder="1" applyAlignment="1">
      <alignment horizontal="left" vertical="center" wrapText="1" indent="1" readingOrder="1"/>
    </xf>
    <xf numFmtId="0" fontId="24" fillId="10" borderId="4" xfId="0" applyFont="1" applyFill="1" applyBorder="1" applyAlignment="1">
      <alignment vertical="center" wrapText="1" readingOrder="1"/>
    </xf>
    <xf numFmtId="0" fontId="0" fillId="10" borderId="4" xfId="0" applyFill="1" applyBorder="1"/>
    <xf numFmtId="0" fontId="0" fillId="10" borderId="4" xfId="0" applyFill="1" applyBorder="1" applyAlignment="1">
      <alignment wrapText="1"/>
    </xf>
    <xf numFmtId="0" fontId="36" fillId="2" borderId="4" xfId="0" applyFont="1" applyFill="1" applyBorder="1" applyAlignment="1">
      <alignment wrapText="1"/>
    </xf>
    <xf numFmtId="0" fontId="35" fillId="2" borderId="4" xfId="0" applyFont="1" applyFill="1" applyBorder="1" applyAlignment="1">
      <alignment horizontal="left" vertical="center" wrapText="1" indent="1" readingOrder="1"/>
    </xf>
    <xf numFmtId="0" fontId="19" fillId="0" borderId="12" xfId="0" applyFont="1" applyBorder="1" applyAlignment="1">
      <alignment horizontal="center"/>
    </xf>
    <xf numFmtId="0" fontId="0" fillId="10" borderId="0" xfId="0" applyFill="1"/>
    <xf numFmtId="0" fontId="18" fillId="10" borderId="0" xfId="0" applyFont="1" applyFill="1" applyAlignment="1">
      <alignment horizontal="center"/>
    </xf>
    <xf numFmtId="9" fontId="0" fillId="0" borderId="0" xfId="2" applyFont="1"/>
    <xf numFmtId="0" fontId="37" fillId="0" borderId="4" xfId="0" applyFont="1" applyBorder="1" applyAlignment="1">
      <alignment wrapText="1"/>
    </xf>
    <xf numFmtId="0" fontId="0" fillId="0" borderId="7" xfId="0" applyBorder="1"/>
    <xf numFmtId="0" fontId="0" fillId="0" borderId="24" xfId="0" applyBorder="1"/>
    <xf numFmtId="0" fontId="36" fillId="0" borderId="0" xfId="0" applyFont="1" applyAlignment="1">
      <alignment wrapText="1"/>
    </xf>
    <xf numFmtId="0" fontId="33" fillId="0" borderId="15" xfId="0" applyFont="1" applyBorder="1" applyAlignment="1">
      <alignment horizontal="center"/>
    </xf>
    <xf numFmtId="9" fontId="30" fillId="8" borderId="0" xfId="2" applyFont="1" applyFill="1" applyBorder="1" applyAlignment="1">
      <alignment horizontal="center" vertical="center"/>
    </xf>
    <xf numFmtId="0" fontId="34" fillId="7" borderId="13" xfId="0" applyFont="1" applyFill="1" applyBorder="1" applyAlignment="1">
      <alignment horizontal="center" vertical="center"/>
    </xf>
    <xf numFmtId="0" fontId="34" fillId="7" borderId="22" xfId="0" applyFont="1" applyFill="1" applyBorder="1" applyAlignment="1">
      <alignment horizontal="center" vertical="center"/>
    </xf>
    <xf numFmtId="0" fontId="34" fillId="7" borderId="2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19" fillId="0" borderId="12" xfId="0" applyFont="1" applyBorder="1" applyAlignment="1">
      <alignment horizontal="center"/>
    </xf>
    <xf numFmtId="0" fontId="25" fillId="6" borderId="4" xfId="0" applyFont="1" applyFill="1" applyBorder="1" applyAlignment="1">
      <alignment horizontal="center" vertical="center" wrapText="1" readingOrder="1"/>
    </xf>
    <xf numFmtId="0" fontId="24" fillId="0" borderId="4" xfId="0" applyFont="1" applyBorder="1" applyAlignment="1">
      <alignment horizontal="center" vertical="center" wrapText="1" readingOrder="1"/>
    </xf>
    <xf numFmtId="0" fontId="24" fillId="6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9" fillId="0" borderId="12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14" fontId="9" fillId="0" borderId="24" xfId="0" applyNumberFormat="1" applyFont="1" applyBorder="1" applyAlignment="1">
      <alignment textRotation="90"/>
    </xf>
    <xf numFmtId="0" fontId="38" fillId="0" borderId="4" xfId="0" applyFont="1" applyBorder="1" applyAlignment="1">
      <alignment horizontal="left"/>
    </xf>
  </cellXfs>
  <cellStyles count="3">
    <cellStyle name="Normal" xfId="0" builtinId="0"/>
    <cellStyle name="Normal 2" xfId="1" xr:uid="{A84F4B86-DABD-463D-91B7-4282E873F89C}"/>
    <cellStyle name="Porcentaje" xfId="2" builtinId="5"/>
  </cellStyles>
  <dxfs count="33"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Hoja 2 - RSA Integral (Todos lo-style" pivot="0" count="4" xr9:uid="{059F5B9F-F9DD-4F58-B999-F0DA3C47123A}">
      <tableStyleElement type="wholeTable" size="0" dxfId="32"/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 ESC MANUEL MOLINAS ETICA 8vo TM.xlsx]09.Diagnostico!TablaDinámica8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3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6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7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8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9"/>
        <c:spPr>
          <a:ln w="31750" cap="rnd">
            <a:solidFill>
              <a:schemeClr val="accent2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0"/>
        <c:spPr>
          <a:ln w="31750" cap="rnd">
            <a:solidFill>
              <a:schemeClr val="accent2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1"/>
        <c:spPr>
          <a:ln w="31750" cap="rnd">
            <a:solidFill>
              <a:schemeClr val="accent2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2"/>
        <c:spPr>
          <a:ln w="31750" cap="rnd">
            <a:solidFill>
              <a:schemeClr val="accent2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'09.Diagnostico'!$N$3:$N$4</c:f>
              <c:strCache>
                <c:ptCount val="1"/>
                <c:pt idx="0">
                  <c:v>Alerta/Mejora</c:v>
                </c:pt>
              </c:strCache>
            </c:strRef>
          </c:tx>
          <c:spPr>
            <a:ln w="31750" cap="rnd">
              <a:solidFill>
                <a:schemeClr val="accent1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alpha val="85000"/>
                </a:schemeClr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chemeClr val="accent1">
                    <a:alpha val="85000"/>
                  </a:schemeClr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B50-4B8E-89E1-F83A9BD43F31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1">
                    <a:alpha val="85000"/>
                  </a:schemeClr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B50-4B8E-89E1-F83A9BD43F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'09.Diagnostico'!$M$5:$M$9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'09.Diagnostico'!$N$5:$N$9</c:f>
              <c:numCache>
                <c:formatCode>General</c:formatCode>
                <c:ptCount val="4"/>
                <c:pt idx="0">
                  <c:v>3.5</c:v>
                </c:pt>
                <c:pt idx="1">
                  <c:v>2.6666666666666665</c:v>
                </c:pt>
                <c:pt idx="2">
                  <c:v>4.125</c:v>
                </c:pt>
                <c:pt idx="3">
                  <c:v>3.3333333333333335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F-4E32-B368-639575C3FBAA}"/>
            </c:ext>
          </c:extLst>
        </c:ser>
        <c:ser>
          <c:idx val="1"/>
          <c:order val="1"/>
          <c:tx>
            <c:strRef>
              <c:f>'09.Diagnostico'!$O$3:$O$4</c:f>
              <c:strCache>
                <c:ptCount val="1"/>
                <c:pt idx="0">
                  <c:v>Fortaleza/Logro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'09.Diagnostico'!$M$5:$M$9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'09.Diagnostico'!$O$5:$O$9</c:f>
              <c:numCache>
                <c:formatCode>General</c:formatCode>
                <c:ptCount val="4"/>
                <c:pt idx="0">
                  <c:v>11.25</c:v>
                </c:pt>
                <c:pt idx="1">
                  <c:v>32.333333333333336</c:v>
                </c:pt>
                <c:pt idx="2">
                  <c:v>29.875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47-4E18-A30A-393187770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680767"/>
        <c:axId val="1430681247"/>
      </c:lineChart>
      <c:catAx>
        <c:axId val="1430680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30681247"/>
        <c:crosses val="autoZero"/>
        <c:auto val="1"/>
        <c:lblAlgn val="ctr"/>
        <c:lblOffset val="100"/>
        <c:noMultiLvlLbl val="0"/>
      </c:catAx>
      <c:valAx>
        <c:axId val="14306812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3068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 ESC MANUEL MOLINAS ETICA 8vo TM.xlsx]09.Diagnostico!TablaDinámica9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'09.Diagnostico'!$L$41:$L$42</c:f>
              <c:strCache>
                <c:ptCount val="1"/>
                <c:pt idx="0">
                  <c:v>Alerta/Mejora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'09.Diagnostico'!$K$43:$K$47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'09.Diagnostico'!$L$43:$L$47</c:f>
              <c:numCache>
                <c:formatCode>General</c:formatCode>
                <c:ptCount val="4"/>
                <c:pt idx="0">
                  <c:v>28</c:v>
                </c:pt>
                <c:pt idx="1">
                  <c:v>8</c:v>
                </c:pt>
                <c:pt idx="2">
                  <c:v>33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5-4200-AE63-D098DA656CAD}"/>
            </c:ext>
          </c:extLst>
        </c:ser>
        <c:ser>
          <c:idx val="1"/>
          <c:order val="1"/>
          <c:tx>
            <c:strRef>
              <c:f>'09.Diagnostico'!$M$41:$M$42</c:f>
              <c:strCache>
                <c:ptCount val="1"/>
                <c:pt idx="0">
                  <c:v>Fortaleza/Logro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'09.Diagnostico'!$K$43:$K$47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'09.Diagnostico'!$M$43:$M$47</c:f>
              <c:numCache>
                <c:formatCode>General</c:formatCode>
                <c:ptCount val="4"/>
                <c:pt idx="0">
                  <c:v>90</c:v>
                </c:pt>
                <c:pt idx="1">
                  <c:v>97</c:v>
                </c:pt>
                <c:pt idx="2">
                  <c:v>239</c:v>
                </c:pt>
                <c:pt idx="3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65-4200-AE63-D098DA656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gapDepth val="300"/>
        <c:shape val="box"/>
        <c:axId val="1174746016"/>
        <c:axId val="1174762816"/>
        <c:axId val="0"/>
      </c:bar3DChart>
      <c:catAx>
        <c:axId val="11747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74762816"/>
        <c:crosses val="autoZero"/>
        <c:auto val="1"/>
        <c:lblAlgn val="ctr"/>
        <c:lblOffset val="100"/>
        <c:noMultiLvlLbl val="0"/>
      </c:catAx>
      <c:valAx>
        <c:axId val="117476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7474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 ESC MANUEL MOLINAS ETICA 8vo TM.xlsx]09.Diagnostico!TablaDinámica8</c:name>
    <c:fmtId val="8"/>
  </c:pivotSource>
  <c:chart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5.1136371262283951E-2"/>
              <c:y val="5.6518946692357096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7.5757587055235486E-3"/>
              <c:y val="1.2845215157353885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5.681819029142731E-3"/>
              <c:y val="-1.0276172125883108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3.7878793527617743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'09.Diagnostico'!$N$3:$N$4</c:f>
              <c:strCache>
                <c:ptCount val="1"/>
                <c:pt idx="0">
                  <c:v>Alerta/Mejora</c:v>
                </c:pt>
              </c:strCache>
            </c:strRef>
          </c:tx>
          <c:spPr>
            <a:ln w="25400" cap="rnd" cmpd="sng" algn="ctr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6C5-4F5A-AAE4-4C1743F726BE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6C5-4F5A-AAE4-4C1743F726BE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6C5-4F5A-AAE4-4C1743F726BE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6C5-4F5A-AAE4-4C1743F726BE}"/>
              </c:ext>
            </c:extLst>
          </c:dPt>
          <c:dLbls>
            <c:dLbl>
              <c:idx val="0"/>
              <c:layout>
                <c:manualLayout>
                  <c:x val="5.1136371262283951E-2"/>
                  <c:y val="5.65189466923570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C5-4F5A-AAE4-4C1743F726BE}"/>
                </c:ext>
              </c:extLst>
            </c:dLbl>
            <c:dLbl>
              <c:idx val="1"/>
              <c:layout>
                <c:manualLayout>
                  <c:x val="7.5757587055235486E-3"/>
                  <c:y val="1.28452151573538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C5-4F5A-AAE4-4C1743F726BE}"/>
                </c:ext>
              </c:extLst>
            </c:dLbl>
            <c:dLbl>
              <c:idx val="2"/>
              <c:layout>
                <c:manualLayout>
                  <c:x val="5.681819029142731E-3"/>
                  <c:y val="-1.0276172125883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C5-4F5A-AAE4-4C1743F726BE}"/>
                </c:ext>
              </c:extLst>
            </c:dLbl>
            <c:dLbl>
              <c:idx val="3"/>
              <c:layout>
                <c:manualLayout>
                  <c:x val="3.787879352761774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C5-4F5A-AAE4-4C1743F726B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'09.Diagnostico'!$M$5:$M$9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'09.Diagnostico'!$N$5:$N$9</c:f>
              <c:numCache>
                <c:formatCode>General</c:formatCode>
                <c:ptCount val="4"/>
                <c:pt idx="0">
                  <c:v>3.5</c:v>
                </c:pt>
                <c:pt idx="1">
                  <c:v>2.6666666666666665</c:v>
                </c:pt>
                <c:pt idx="2">
                  <c:v>4.125</c:v>
                </c:pt>
                <c:pt idx="3">
                  <c:v>3.3333333333333335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C5-4F5A-AAE4-4C1743F726BE}"/>
            </c:ext>
          </c:extLst>
        </c:ser>
        <c:ser>
          <c:idx val="1"/>
          <c:order val="1"/>
          <c:tx>
            <c:strRef>
              <c:f>'09.Diagnostico'!$O$3:$O$4</c:f>
              <c:strCache>
                <c:ptCount val="1"/>
                <c:pt idx="0">
                  <c:v>Fortaleza/Logro</c:v>
                </c:pt>
              </c:strCache>
            </c:strRef>
          </c:tx>
          <c:spPr>
            <a:ln w="25400" cap="rnd" cmpd="sng" algn="ctr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'09.Diagnostico'!$M$5:$M$9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'09.Diagnostico'!$O$5:$O$9</c:f>
              <c:numCache>
                <c:formatCode>General</c:formatCode>
                <c:ptCount val="4"/>
                <c:pt idx="0">
                  <c:v>11.25</c:v>
                </c:pt>
                <c:pt idx="1">
                  <c:v>32.333333333333336</c:v>
                </c:pt>
                <c:pt idx="2">
                  <c:v>29.875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C5-4F5A-AAE4-4C1743F72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680767"/>
        <c:axId val="1430681247"/>
      </c:radarChart>
      <c:catAx>
        <c:axId val="143068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30681247"/>
        <c:crosses val="autoZero"/>
        <c:auto val="1"/>
        <c:lblAlgn val="ctr"/>
        <c:lblOffset val="100"/>
        <c:noMultiLvlLbl val="0"/>
      </c:catAx>
      <c:valAx>
        <c:axId val="143068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3068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9</xdr:row>
      <xdr:rowOff>171449</xdr:rowOff>
    </xdr:from>
    <xdr:to>
      <xdr:col>15</xdr:col>
      <xdr:colOff>742950</xdr:colOff>
      <xdr:row>23</xdr:row>
      <xdr:rowOff>166686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F91222-C646-8B6B-1CF8-833725F5A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409575</xdr:colOff>
      <xdr:row>25</xdr:row>
      <xdr:rowOff>147637</xdr:rowOff>
    </xdr:from>
    <xdr:to>
      <xdr:col>16</xdr:col>
      <xdr:colOff>76200</xdr:colOff>
      <xdr:row>43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1D4D18-BFB5-9A0E-6850-AD1279E53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466725</xdr:colOff>
      <xdr:row>2</xdr:row>
      <xdr:rowOff>0</xdr:rowOff>
    </xdr:from>
    <xdr:to>
      <xdr:col>11</xdr:col>
      <xdr:colOff>1362075</xdr:colOff>
      <xdr:row>8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05FC42-7763-DE4B-453C-A5F475087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381000"/>
          <a:ext cx="89535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1121</xdr:colOff>
      <xdr:row>0</xdr:row>
      <xdr:rowOff>1</xdr:rowOff>
    </xdr:from>
    <xdr:to>
      <xdr:col>25</xdr:col>
      <xdr:colOff>610720</xdr:colOff>
      <xdr:row>24</xdr:row>
      <xdr:rowOff>168089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D37DE6-7FDF-4604-A438-64DA0A6C5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250 G10" refreshedDate="46132.047758796296" createdVersion="8" refreshedVersion="8" minRefreshableVersion="3" recordCount="51" xr:uid="{DBB99B88-8B6C-4EAC-81BE-752467D65C6D}">
  <cacheSource type="worksheet">
    <worksheetSource name="diagnostico"/>
  </cacheSource>
  <cacheFields count="6">
    <cacheField name="Categoría" numFmtId="0">
      <sharedItems containsBlank="1" count="5">
        <s v="Académica"/>
        <s v="Conductual"/>
        <s v="Socio-Emocional"/>
        <s v="Actitudinal"/>
        <m/>
      </sharedItems>
    </cacheField>
    <cacheField name="Indicador " numFmtId="0">
      <sharedItems containsBlank="1"/>
    </cacheField>
    <cacheField name="Indicador 2" numFmtId="0">
      <sharedItems containsBlank="1"/>
    </cacheField>
    <cacheField name="Tipo de Indicador" numFmtId="0">
      <sharedItems containsBlank="1" count="3">
        <s v="Alerta/Mejora"/>
        <m/>
        <s v="Fortaleza/Logro"/>
      </sharedItems>
    </cacheField>
    <cacheField name="Cantidad de veces" numFmtId="0">
      <sharedItems containsString="0" containsBlank="1" containsNumber="1" containsInteger="1" minValue="0" maxValue="37"/>
    </cacheField>
    <cacheField name="NOTA" numFmtId="0">
      <sharedItems containsMixedTypes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250 G10" refreshedDate="46132.047759027781" createdVersion="8" refreshedVersion="8" minRefreshableVersion="3" recordCount="11" xr:uid="{0087E342-95D0-4204-87E8-DC4A756DF991}">
  <cacheSource type="worksheet">
    <worksheetSource name="tabla_registro"/>
  </cacheSource>
  <cacheFields count="5">
    <cacheField name="Fecha " numFmtId="0">
      <sharedItems containsNonDate="0" containsDate="1" containsString="0" containsBlank="1" minDate="2026-04-19T00:00:00" maxDate="2026-04-20T00:00:00"/>
    </cacheField>
    <cacheField name="Alumno " numFmtId="0">
      <sharedItems containsBlank="1" count="2">
        <s v="Nombre y Apellido"/>
        <m/>
      </sharedItems>
    </cacheField>
    <cacheField name="Situación" numFmtId="0">
      <sharedItems containsBlank="1"/>
    </cacheField>
    <cacheField name="Categoria" numFmtId="0">
      <sharedItems containsBlank="1" count="2">
        <s v="Alerta/Mejora"/>
        <m/>
      </sharedItems>
    </cacheField>
    <cacheField name="Tipo de Indicador" numFmtId="0">
      <sharedItems containsBlank="1" count="4">
        <s v="Académica"/>
        <e v="#N/A"/>
        <m/>
        <s v="06. Entrega tareas incompletas o descuidadas.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Ale-02. Presenta lagunas en conocimientos previos."/>
    <s v="02. Presenta lagunas en conocimientos previos."/>
    <x v="0"/>
    <n v="5"/>
    <n v="4"/>
  </r>
  <r>
    <x v="0"/>
    <s v="Ale-04. Se limita a memorizar sin comprender."/>
    <s v="04. Se limita a memorizar sin comprender."/>
    <x v="0"/>
    <n v="5"/>
    <n v="4"/>
  </r>
  <r>
    <x v="0"/>
    <s v="Ale-06. Entrega tareas incompletas o descuidadas."/>
    <s v="06. Entrega tareas incompletas o descuidadas."/>
    <x v="0"/>
    <n v="2"/>
    <n v="5"/>
  </r>
  <r>
    <x v="0"/>
    <s v="Ale-08. Se bloquea ante desafíos matemáticos."/>
    <s v="08. Se bloquea ante desafíos matemáticos."/>
    <x v="0"/>
    <n v="2"/>
    <n v="5"/>
  </r>
  <r>
    <x v="0"/>
    <s v="Ale-10. Tiene dificultades de expresión oral/escrita."/>
    <s v="10. Tiene dificultades de expresión oral/escrita."/>
    <x v="0"/>
    <n v="2"/>
    <n v="5"/>
  </r>
  <r>
    <x v="0"/>
    <s v="Ale-12. Muestra rechazo o desinterés por la lectura."/>
    <s v="12. Muestra rechazo o desinterés por la lectura."/>
    <x v="0"/>
    <n v="2"/>
    <n v="5"/>
  </r>
  <r>
    <x v="0"/>
    <s v="Ale-14. Requiere supervisión constante para avanzar."/>
    <s v="14. Requiere supervisión constante para avanzar."/>
    <x v="0"/>
    <n v="5"/>
    <n v="4"/>
  </r>
  <r>
    <x v="0"/>
    <s v="Ale-16. Muestra apatía por temas nuevos."/>
    <s v="16. Muestra apatía por temas nuevos."/>
    <x v="0"/>
    <n v="5"/>
    <n v="4"/>
  </r>
  <r>
    <x v="1"/>
    <s v="Ale-18. Desafía activamente la autoridad."/>
    <s v="18. Desafía activamente la autoridad."/>
    <x v="0"/>
    <n v="0"/>
    <n v="5"/>
  </r>
  <r>
    <x v="1"/>
    <s v="Ale-20. Presenta retardos o inasistencias frecuentes."/>
    <s v="20. Presenta retardos o inasistencias frecuentes."/>
    <x v="0"/>
    <n v="10"/>
    <n v="4"/>
  </r>
  <r>
    <x v="1"/>
    <s v="Ale-22. Daña el mobiliario o materiales escolares."/>
    <s v="22. Daña el mobiliario o materiales escolares."/>
    <x v="0"/>
    <n v="0"/>
    <n v="5"/>
  </r>
  <r>
    <x v="1"/>
    <s v="Ale-24. Interrumpe constantemente el flujo de clase."/>
    <s v="24. Interrumpe constantemente el flujo de clase."/>
    <x v="0"/>
    <n v="5"/>
    <n v="4"/>
  </r>
  <r>
    <x v="1"/>
    <s v="Ale-26. Emplea lenguaje soez o despectivo."/>
    <s v="26. Emplea lenguaje soez o despectivo."/>
    <x v="0"/>
    <n v="0"/>
    <n v="5"/>
  </r>
  <r>
    <x v="1"/>
    <s v="Ale-28. Miente o culpa a otros por sus actos."/>
    <s v="28. Miente o culpa a otros por sus actos."/>
    <x v="0"/>
    <n v="0"/>
    <n v="5"/>
  </r>
  <r>
    <x v="1"/>
    <s v="Ale-30. Se distrae con dispositivos electrónicos."/>
    <s v="30. Se distrae con dispositivos electrónicos."/>
    <x v="0"/>
    <n v="15"/>
    <n v="3"/>
  </r>
  <r>
    <x v="1"/>
    <s v="Ale-32. Fomenta el desorden o el caos en el grupo."/>
    <s v="32. Fomenta el desorden o el caos en el grupo."/>
    <x v="0"/>
    <n v="3"/>
    <n v="5"/>
  </r>
  <r>
    <x v="2"/>
    <s v="Ale-34. Se rinde fácilmente ante la frustración."/>
    <s v="34. Se rinde fácilmente ante la frustración."/>
    <x v="0"/>
    <n v="5"/>
    <n v="4"/>
  </r>
  <r>
    <x v="2"/>
    <s v="Ale-36. Trabaja de forma aislada o es individualista."/>
    <s v="36. Trabaja de forma aislada o es individualista."/>
    <x v="0"/>
    <n v="5"/>
    <n v="4"/>
  </r>
  <r>
    <x v="2"/>
    <s v="Ale-38. Ignora o se burla de los sentimientos de otros."/>
    <s v="38. Ignora o se burla de los sentimientos de otros."/>
    <x v="0"/>
    <n v="3"/>
    <n v="5"/>
  </r>
  <r>
    <x v="2"/>
    <s v="Ale-40. Ejerce presión negativa o bullying."/>
    <s v="40. Ejerce presión negativa o bullying."/>
    <x v="0"/>
    <n v="3"/>
    <n v="5"/>
  </r>
  <r>
    <x v="2"/>
    <s v="Ale-42. Reacciona de forma agresiva o impulsiva."/>
    <s v="42. Reacciona de forma agresiva o impulsiva."/>
    <x v="0"/>
    <n v="2"/>
    <n v="5"/>
  </r>
  <r>
    <x v="2"/>
    <s v="Ale-44. Expresa inseguridad constante (&quot;no puedo&quot;)."/>
    <s v="44. Expresa inseguridad constante (&quot;no puedo&quot;)."/>
    <x v="0"/>
    <n v="2"/>
    <n v="5"/>
  </r>
  <r>
    <x v="3"/>
    <s v="Ale-46. Requiere estímulos externos para trabajar."/>
    <s v="46. Requiere estímulos externos para trabajar."/>
    <x v="0"/>
    <n v="5"/>
    <n v="4"/>
  </r>
  <r>
    <x v="3"/>
    <s v="Ale-48. Abandona proyectos a mitad de camino."/>
    <s v="48. Abandona proyectos a mitad de camino."/>
    <x v="0"/>
    <n v="0"/>
    <n v="5"/>
  </r>
  <r>
    <x v="3"/>
    <s v="Ale-50. Se muestra a la defensiva ante críticas."/>
    <s v="50. Se muestra a la defensiva ante críticas."/>
    <x v="0"/>
    <n v="3"/>
    <n v="5"/>
  </r>
  <r>
    <x v="4"/>
    <m/>
    <m/>
    <x v="1"/>
    <m/>
    <s v=""/>
  </r>
  <r>
    <x v="0"/>
    <s v="For-01. Domina los conceptos clave del grado."/>
    <s v="01. Domina los conceptos clave del grado."/>
    <x v="2"/>
    <n v="0"/>
    <n v="1"/>
  </r>
  <r>
    <x v="0"/>
    <s v="For-03. Posee un pensamiento crítico y analítico."/>
    <s v="03. Posee un pensamiento crítico y analítico."/>
    <x v="2"/>
    <n v="15"/>
    <n v="3"/>
  </r>
  <r>
    <x v="0"/>
    <s v="For-05. Entrega trabajos con alta calidad y orden."/>
    <s v="05. Entrega trabajos con alta calidad y orden."/>
    <x v="2"/>
    <n v="10"/>
    <n v="2"/>
  </r>
  <r>
    <x v="0"/>
    <s v="For-07. Resuelve problemas lógicos con fluidez."/>
    <s v="07. Resuelve problemas lógicos con fluidez."/>
    <x v="2"/>
    <n v="12"/>
    <n v="3"/>
  </r>
  <r>
    <x v="0"/>
    <s v="For-09. Utiliza vocabulario técnico preciso."/>
    <s v="09. Utiliza vocabulario técnico preciso."/>
    <x v="2"/>
    <n v="18"/>
    <n v="3"/>
  </r>
  <r>
    <x v="0"/>
    <s v="For-11. Posee excelentes hábitos de lectura."/>
    <s v="11. Posee excelentes hábitos de lectura."/>
    <x v="2"/>
    <n v="5"/>
    <n v="2"/>
  </r>
  <r>
    <x v="0"/>
    <s v="For-13. Es autónomo en la realización de tareas."/>
    <s v="13. Es autónomo en la realización de tareas."/>
    <x v="2"/>
    <n v="15"/>
    <n v="3"/>
  </r>
  <r>
    <x v="0"/>
    <s v="For-15. Investiga más allá de lo solicitado."/>
    <s v="15. Investiga más allá de lo solicitado."/>
    <x v="2"/>
    <n v="15"/>
    <n v="3"/>
  </r>
  <r>
    <x v="1"/>
    <s v="For-17. Respeta las normas de convivencia."/>
    <s v="17. Respeta las normas de convivencia."/>
    <x v="2"/>
    <n v="28"/>
    <n v="5"/>
  </r>
  <r>
    <x v="1"/>
    <s v="For-19. Es puntual en todas sus obligaciones."/>
    <s v="19. Es puntual en todas sus obligaciones."/>
    <x v="2"/>
    <n v="30"/>
    <n v="5"/>
  </r>
  <r>
    <x v="1"/>
    <s v="For-21. Cuida el material propio y ajeno."/>
    <s v="21. Cuida el material propio y ajeno."/>
    <x v="2"/>
    <n v="37"/>
    <n v="5"/>
  </r>
  <r>
    <x v="1"/>
    <s v="For-23. Escucha con atención y no interrumpe."/>
    <s v="23. Escucha con atención y no interrumpe."/>
    <x v="2"/>
    <n v="37"/>
    <n v="5"/>
  </r>
  <r>
    <x v="1"/>
    <s v="For-25. Utiliza el lenguaje de forma respetuosa."/>
    <s v="25. Utiliza el lenguaje de forma respetuosa."/>
    <x v="2"/>
    <n v="37"/>
    <n v="5"/>
  </r>
  <r>
    <x v="1"/>
    <s v="For-27. Reconoce sus errores honestamente."/>
    <s v="27. Reconoce sus errores honestamente."/>
    <x v="2"/>
    <n v="35"/>
    <n v="5"/>
  </r>
  <r>
    <x v="1"/>
    <s v="For-29. Usa la tecnología con fines educativos."/>
    <s v="29. Usa la tecnología con fines educativos."/>
    <x v="2"/>
    <n v="0"/>
    <n v="1"/>
  </r>
  <r>
    <x v="1"/>
    <s v="For-31. Mantiene el orden en espacios comunes."/>
    <s v="31. Mantiene el orden en espacios comunes."/>
    <x v="2"/>
    <n v="35"/>
    <n v="5"/>
  </r>
  <r>
    <x v="2"/>
    <s v="For-33. Muestra resiliencia ante el fracaso."/>
    <s v="33. Muestra resiliencia ante el fracaso."/>
    <x v="2"/>
    <n v="18"/>
    <n v="3"/>
  </r>
  <r>
    <x v="2"/>
    <s v="For-35. Trabaja de forma colaborativa y equitativa."/>
    <s v="35. Trabaja de forma colaborativa y equitativa."/>
    <x v="2"/>
    <n v="15"/>
    <n v="3"/>
  </r>
  <r>
    <x v="2"/>
    <s v="For-37. Es empático con las necesidades ajenas."/>
    <s v="37. Es empático con las necesidades ajenas."/>
    <x v="2"/>
    <n v="37"/>
    <n v="5"/>
  </r>
  <r>
    <x v="2"/>
    <s v="For-39. Posee un liderazgo positivo y ético."/>
    <s v="39. Posee un liderazgo positivo y ético."/>
    <x v="2"/>
    <n v="32"/>
    <n v="5"/>
  </r>
  <r>
    <x v="2"/>
    <s v="For-41. Se comunica de manera asertiva."/>
    <s v="41. Se comunica de manera asertiva."/>
    <x v="2"/>
    <n v="30"/>
    <n v="5"/>
  </r>
  <r>
    <x v="2"/>
    <s v="For-43. Tiene una autoestima académica sólida."/>
    <s v="43. Tiene una autoestima académica sólida."/>
    <x v="2"/>
    <n v="30"/>
    <n v="5"/>
  </r>
  <r>
    <x v="3"/>
    <s v="For-45. Muestra curiosidad e iniciativa propia."/>
    <s v="45. Muestra curiosidad e iniciativa propia."/>
    <x v="2"/>
    <n v="35"/>
    <n v="5"/>
  </r>
  <r>
    <x v="3"/>
    <s v="For-47. Es persistente en tareas complejas."/>
    <s v="47. Es persistente en tareas complejas."/>
    <x v="2"/>
    <n v="32"/>
    <n v="5"/>
  </r>
  <r>
    <x v="3"/>
    <s v="For-49. Acepta retroalimentación constructiva."/>
    <s v="49. Acepta retroalimentación constructiva."/>
    <x v="2"/>
    <n v="30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d v="2026-04-19T00:00:00"/>
    <x v="0"/>
    <s v="Ale-06. Entrega tareas incompletas o descuidadas."/>
    <x v="0"/>
    <x v="0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E6069-3ADE-4941-8412-40A757C2609D}" name="TablaDiná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.">
  <location ref="E3:G6" firstHeaderRow="1" firstDataRow="2" firstDataCol="1"/>
  <pivotFields count="5"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3">
        <item x="0"/>
        <item h="1" x="1"/>
        <item t="default"/>
      </items>
    </pivotField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.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DE612-7CE5-417D-AE1E-410F78CEED0D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9" firstHeaderRow="1" firstDataRow="1" firstDataCol="1"/>
  <pivotFields count="5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axis="axisRow" showAll="0">
      <items count="5">
        <item m="1" x="3"/>
        <item h="1" x="2"/>
        <item h="1" x="0"/>
        <item h="1" x="1"/>
        <item t="default"/>
      </items>
    </pivotField>
  </pivotFields>
  <rowFields count="2">
    <field x="3"/>
    <field x="4"/>
  </rowFields>
  <rowItems count="1">
    <i t="grand">
      <x/>
    </i>
  </rowItems>
  <colItems count="1">
    <i/>
  </colItems>
  <dataFields count="1">
    <dataField name="Tipo de Indicador.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1053F-89CF-4FF2-B96D-6323F1F8327D}" name="TablaDinámica1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3:C5" firstHeaderRow="1" firstDataRow="1" firstDataCol="1"/>
  <pivotFields count="5">
    <pivotField showAll="0"/>
    <pivotField showAll="0"/>
    <pivotField showAll="0"/>
    <pivotField axis="axisRow" dataField="1" showAll="0">
      <items count="3">
        <item x="0"/>
        <item h="1" x="1"/>
        <item t="default"/>
      </items>
    </pivotField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Cantidad de Reporte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92308-FBFE-4050-9876-22A67182F9EA}" name="TablaDinámica8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M3:P9" firstHeaderRow="1" firstDataRow="2" firstDataCol="1"/>
  <pivotFields count="6"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axis="axisCol" showAll="0">
      <items count="4">
        <item x="0"/>
        <item x="2"/>
        <item h="1"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Promedio de Cantidad de veces" fld="4" subtotal="average" baseField="0" baseItem="2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8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8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F73A3-BC58-4AFC-B743-7847CDDA44FE}" name="TablaDinámica1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K49:O51" firstHeaderRow="1" firstDataRow="2" firstDataCol="1"/>
  <pivotFields count="6"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dataField="1" showAll="0"/>
    <pivotField showAll="0"/>
  </pivotFields>
  <rowItems count="1">
    <i/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a de Cantidad de veces" fld="4" baseField="0" baseItem="0"/>
  </dataFields>
  <chartFormats count="4">
    <chartFormat chart="3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158A0-BD02-4054-A31D-D2C9A5857E75}" name="TablaDinámica9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K41:N47" firstHeaderRow="1" firstDataRow="2" firstDataCol="1"/>
  <pivotFields count="6"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a de Cantidad de veces" fld="4" baseField="0" baseItem="0"/>
  </dataFields>
  <chartFormats count="4">
    <chartFormat chart="3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492A7-A75B-469D-B396-1D05693DD199}" name="Tabla1" displayName="Tabla1" ref="B2:F12" totalsRowShown="0">
  <autoFilter ref="B2:F12" xr:uid="{4D2492A7-A75B-469D-B396-1D05693DD199}"/>
  <tableColumns count="5">
    <tableColumn id="1" xr3:uid="{ABE8465E-D604-4D58-9DB0-704AD0CD0C6D}" name="Fecha "/>
    <tableColumn id="2" xr3:uid="{7B0CC4CC-4693-4D72-B2A5-3950D187D53E}" name="Alumno "/>
    <tableColumn id="3" xr3:uid="{039D990E-CE98-4A5B-B3B4-7F0DAB591893}" name="Situación"/>
    <tableColumn id="4" xr3:uid="{FBBFC413-49BD-45D9-8E40-069550C3F0EE}" name="Categoria"/>
    <tableColumn id="5" xr3:uid="{444C76C4-893A-4362-B1DA-98755DED5638}" name="Tipo de Indicador" dataDxfId="28">
      <calculatedColumnFormula>+VLOOKUP(D3,indicadores,4,0)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EC64-E007-48EC-B53C-BD1E32B80A44}">
  <dimension ref="A1:L21"/>
  <sheetViews>
    <sheetView showGridLines="0" zoomScale="93" zoomScaleNormal="93" workbookViewId="0">
      <selection activeCell="D10" sqref="D10"/>
    </sheetView>
  </sheetViews>
  <sheetFormatPr baseColWidth="10" defaultColWidth="9.140625" defaultRowHeight="15.75" x14ac:dyDescent="0.25"/>
  <cols>
    <col min="1" max="1" width="21.85546875" style="22" customWidth="1"/>
    <col min="2" max="2" width="1.5703125" customWidth="1"/>
    <col min="3" max="3" width="3.28515625" style="28" bestFit="1" customWidth="1"/>
    <col min="4" max="4" width="19.28515625" bestFit="1" customWidth="1"/>
    <col min="5" max="5" width="7.85546875" bestFit="1" customWidth="1"/>
    <col min="6" max="6" width="2.28515625" customWidth="1"/>
    <col min="9" max="9" width="1.42578125" customWidth="1"/>
    <col min="10" max="10" width="14.140625" customWidth="1"/>
    <col min="11" max="11" width="0.85546875" customWidth="1"/>
    <col min="12" max="12" width="2.7109375" customWidth="1"/>
  </cols>
  <sheetData>
    <row r="1" spans="1:12" ht="13.5" customHeight="1" x14ac:dyDescent="0.25">
      <c r="A1" s="77" t="s">
        <v>712</v>
      </c>
      <c r="B1" s="58"/>
      <c r="C1" s="59"/>
      <c r="D1" s="60"/>
      <c r="E1" s="60"/>
      <c r="F1" s="60"/>
      <c r="G1" s="115" t="s">
        <v>594</v>
      </c>
      <c r="H1" s="115"/>
      <c r="I1" s="60"/>
      <c r="J1" s="60"/>
      <c r="K1" s="60"/>
      <c r="L1" s="61"/>
    </row>
    <row r="2" spans="1:12" ht="15.75" customHeight="1" x14ac:dyDescent="0.25">
      <c r="A2" s="76" t="s">
        <v>746</v>
      </c>
      <c r="B2" s="62"/>
      <c r="D2" t="s">
        <v>7</v>
      </c>
      <c r="E2" t="s">
        <v>593</v>
      </c>
      <c r="G2" s="116">
        <f>+'03-ASISTENCIA'!D2</f>
        <v>0.99</v>
      </c>
      <c r="H2" s="116"/>
      <c r="L2" s="63"/>
    </row>
    <row r="3" spans="1:12" ht="15.75" customHeight="1" x14ac:dyDescent="0.25">
      <c r="A3" s="76" t="s">
        <v>747</v>
      </c>
      <c r="B3" s="62"/>
      <c r="D3" t="s">
        <v>707</v>
      </c>
      <c r="E3" s="64">
        <v>0.54166666666666663</v>
      </c>
      <c r="G3" s="116"/>
      <c r="H3" s="116"/>
      <c r="L3" s="63"/>
    </row>
    <row r="4" spans="1:12" ht="15.75" customHeight="1" x14ac:dyDescent="0.25">
      <c r="A4" s="74"/>
      <c r="B4" s="62"/>
      <c r="D4" t="s">
        <v>708</v>
      </c>
      <c r="E4" s="64">
        <v>0.63194444444444442</v>
      </c>
      <c r="F4" s="64"/>
      <c r="G4" s="116"/>
      <c r="H4" s="116"/>
      <c r="L4" s="63"/>
    </row>
    <row r="5" spans="1:12" ht="15.75" customHeight="1" x14ac:dyDescent="0.25">
      <c r="A5" s="78" t="s">
        <v>714</v>
      </c>
      <c r="B5" s="62"/>
      <c r="D5" t="s">
        <v>709</v>
      </c>
      <c r="E5" s="64">
        <v>1.0416666666666666E-2</v>
      </c>
      <c r="F5" s="64"/>
      <c r="G5" s="116"/>
      <c r="H5" s="116"/>
      <c r="L5" s="63"/>
    </row>
    <row r="6" spans="1:12" ht="18.75" customHeight="1" x14ac:dyDescent="0.3">
      <c r="A6" s="76" t="s">
        <v>590</v>
      </c>
      <c r="B6" s="62"/>
      <c r="D6" s="72" t="s">
        <v>8</v>
      </c>
      <c r="E6" s="73">
        <f>+(E4-E3)*3600/(40*60)-E5</f>
        <v>0.12500000000000003</v>
      </c>
      <c r="G6" s="116"/>
      <c r="H6" s="116"/>
      <c r="L6" s="63"/>
    </row>
    <row r="7" spans="1:12" ht="15.75" customHeight="1" x14ac:dyDescent="0.25">
      <c r="A7" s="74"/>
      <c r="B7" s="62"/>
      <c r="G7" s="70"/>
      <c r="H7" s="70"/>
      <c r="L7" s="63"/>
    </row>
    <row r="8" spans="1:12" ht="15.75" customHeight="1" x14ac:dyDescent="0.25">
      <c r="A8" s="78" t="s">
        <v>715</v>
      </c>
      <c r="B8" s="62"/>
      <c r="D8" s="65" t="s">
        <v>698</v>
      </c>
      <c r="G8" s="70"/>
      <c r="H8" s="70"/>
      <c r="J8" s="44" t="s">
        <v>9</v>
      </c>
      <c r="L8" s="63"/>
    </row>
    <row r="9" spans="1:12" x14ac:dyDescent="0.25">
      <c r="A9" s="76" t="s">
        <v>748</v>
      </c>
      <c r="B9" s="62"/>
      <c r="C9" s="28">
        <v>1</v>
      </c>
      <c r="D9" s="71" t="s">
        <v>696</v>
      </c>
      <c r="J9" s="44" t="s">
        <v>10</v>
      </c>
      <c r="L9" s="63"/>
    </row>
    <row r="10" spans="1:12" x14ac:dyDescent="0.25">
      <c r="A10" s="74"/>
      <c r="B10" s="62"/>
      <c r="C10" s="28">
        <v>2</v>
      </c>
      <c r="D10" s="71" t="s">
        <v>695</v>
      </c>
      <c r="J10" s="44" t="s">
        <v>11</v>
      </c>
      <c r="L10" s="63"/>
    </row>
    <row r="11" spans="1:12" x14ac:dyDescent="0.25">
      <c r="A11" s="78" t="s">
        <v>713</v>
      </c>
      <c r="B11" s="62"/>
      <c r="C11" s="28">
        <v>3</v>
      </c>
      <c r="D11" s="71" t="s">
        <v>697</v>
      </c>
      <c r="J11" s="44" t="s">
        <v>12</v>
      </c>
      <c r="L11" s="63"/>
    </row>
    <row r="12" spans="1:12" x14ac:dyDescent="0.25">
      <c r="A12" s="76" t="s">
        <v>749</v>
      </c>
      <c r="B12" s="62"/>
      <c r="C12" s="28">
        <v>4</v>
      </c>
      <c r="D12" s="26" t="s">
        <v>19</v>
      </c>
      <c r="J12" s="44" t="s">
        <v>13</v>
      </c>
      <c r="L12" s="63"/>
    </row>
    <row r="13" spans="1:12" x14ac:dyDescent="0.25">
      <c r="A13" s="74"/>
      <c r="B13" s="62"/>
      <c r="C13" s="28">
        <v>5</v>
      </c>
      <c r="D13" s="26" t="s">
        <v>699</v>
      </c>
      <c r="J13" s="44" t="s">
        <v>14</v>
      </c>
      <c r="L13" s="63"/>
    </row>
    <row r="14" spans="1:12" x14ac:dyDescent="0.25">
      <c r="A14" s="78" t="s">
        <v>710</v>
      </c>
      <c r="B14" s="62"/>
      <c r="D14" s="65" t="s">
        <v>700</v>
      </c>
      <c r="J14" s="44" t="s">
        <v>15</v>
      </c>
      <c r="L14" s="63"/>
    </row>
    <row r="15" spans="1:12" x14ac:dyDescent="0.25">
      <c r="A15" s="76" t="s">
        <v>711</v>
      </c>
      <c r="B15" s="62"/>
      <c r="C15" s="28">
        <v>6</v>
      </c>
      <c r="D15" s="44" t="s">
        <v>701</v>
      </c>
      <c r="J15" s="44" t="s">
        <v>16</v>
      </c>
      <c r="L15" s="63"/>
    </row>
    <row r="16" spans="1:12" ht="16.5" thickBot="1" x14ac:dyDescent="0.3">
      <c r="A16" s="75"/>
      <c r="B16" s="62"/>
      <c r="C16" s="28">
        <v>7</v>
      </c>
      <c r="D16" s="44" t="s">
        <v>702</v>
      </c>
      <c r="J16" s="44" t="s">
        <v>17</v>
      </c>
      <c r="L16" s="63"/>
    </row>
    <row r="17" spans="1:12" x14ac:dyDescent="0.25">
      <c r="A17" s="117">
        <v>2026</v>
      </c>
      <c r="B17" s="62"/>
      <c r="C17" s="28">
        <v>8</v>
      </c>
      <c r="D17" t="s">
        <v>704</v>
      </c>
      <c r="J17" s="44" t="s">
        <v>18</v>
      </c>
      <c r="L17" s="63"/>
    </row>
    <row r="18" spans="1:12" x14ac:dyDescent="0.25">
      <c r="A18" s="118"/>
      <c r="B18" s="62"/>
      <c r="C18" s="28">
        <v>9</v>
      </c>
      <c r="D18" s="44" t="s">
        <v>705</v>
      </c>
      <c r="L18" s="63"/>
    </row>
    <row r="19" spans="1:12" x14ac:dyDescent="0.25">
      <c r="A19" s="118"/>
      <c r="B19" s="62"/>
      <c r="C19" s="28">
        <v>10</v>
      </c>
      <c r="D19" t="s">
        <v>706</v>
      </c>
      <c r="L19" s="63"/>
    </row>
    <row r="20" spans="1:12" x14ac:dyDescent="0.25">
      <c r="A20" s="118"/>
      <c r="B20" s="62"/>
      <c r="C20" s="28">
        <v>11</v>
      </c>
      <c r="D20" s="44" t="s">
        <v>703</v>
      </c>
      <c r="L20" s="63"/>
    </row>
    <row r="21" spans="1:12" ht="16.5" thickBot="1" x14ac:dyDescent="0.3">
      <c r="A21" s="119"/>
      <c r="B21" s="66"/>
      <c r="C21" s="67"/>
      <c r="D21" s="68"/>
      <c r="E21" s="68"/>
      <c r="F21" s="68"/>
      <c r="G21" s="68"/>
      <c r="H21" s="68"/>
      <c r="I21" s="68"/>
      <c r="J21" s="68"/>
      <c r="K21" s="68"/>
      <c r="L21" s="69"/>
    </row>
  </sheetData>
  <mergeCells count="3">
    <mergeCell ref="G1:H1"/>
    <mergeCell ref="G2:H6"/>
    <mergeCell ref="A17:A21"/>
  </mergeCells>
  <phoneticPr fontId="12" type="noConversion"/>
  <conditionalFormatting sqref="G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4CED-8AFB-43A4-98D9-D4A3A6894179}">
  <sheetPr>
    <tabColor theme="9" tint="0.39997558519241921"/>
  </sheetPr>
  <dimension ref="A1:H39"/>
  <sheetViews>
    <sheetView topLeftCell="A11" workbookViewId="0">
      <selection activeCell="F14" sqref="F14"/>
    </sheetView>
  </sheetViews>
  <sheetFormatPr baseColWidth="10" defaultColWidth="9.140625" defaultRowHeight="15" x14ac:dyDescent="0.25"/>
  <cols>
    <col min="1" max="1" width="22.42578125" bestFit="1" customWidth="1"/>
    <col min="2" max="8" width="22.7109375" style="1" customWidth="1"/>
  </cols>
  <sheetData>
    <row r="1" spans="1:7" ht="28.5" customHeight="1" x14ac:dyDescent="0.25">
      <c r="A1" s="97" t="s">
        <v>0</v>
      </c>
      <c r="B1" s="97" t="s">
        <v>1</v>
      </c>
      <c r="C1" s="97" t="s">
        <v>750</v>
      </c>
      <c r="D1" s="97" t="s">
        <v>751</v>
      </c>
      <c r="E1" s="97" t="s">
        <v>2</v>
      </c>
      <c r="F1" s="97" t="s">
        <v>752</v>
      </c>
      <c r="G1" s="98" t="s">
        <v>3</v>
      </c>
    </row>
    <row r="2" spans="1:7" ht="57" x14ac:dyDescent="0.25">
      <c r="A2" s="101" t="s">
        <v>753</v>
      </c>
      <c r="B2" s="101" t="s">
        <v>754</v>
      </c>
      <c r="C2" s="101" t="s">
        <v>755</v>
      </c>
      <c r="D2" s="101" t="s">
        <v>756</v>
      </c>
      <c r="E2" s="101" t="s">
        <v>757</v>
      </c>
      <c r="F2" s="101" t="s">
        <v>758</v>
      </c>
      <c r="G2" s="102" t="s">
        <v>759</v>
      </c>
    </row>
    <row r="3" spans="1:7" ht="57" x14ac:dyDescent="0.25">
      <c r="A3" s="101" t="s">
        <v>753</v>
      </c>
      <c r="B3" s="101" t="s">
        <v>754</v>
      </c>
      <c r="C3" s="101" t="s">
        <v>755</v>
      </c>
      <c r="D3" s="101" t="s">
        <v>760</v>
      </c>
      <c r="E3" s="101" t="s">
        <v>761</v>
      </c>
      <c r="F3" s="101" t="s">
        <v>762</v>
      </c>
      <c r="G3" s="102" t="s">
        <v>763</v>
      </c>
    </row>
    <row r="4" spans="1:7" ht="42.75" customHeight="1" x14ac:dyDescent="0.25">
      <c r="A4" s="101" t="s">
        <v>753</v>
      </c>
      <c r="B4" s="101" t="s">
        <v>754</v>
      </c>
      <c r="C4" s="101" t="s">
        <v>755</v>
      </c>
      <c r="D4" s="101" t="s">
        <v>764</v>
      </c>
      <c r="E4" s="101"/>
      <c r="F4" s="101"/>
      <c r="G4" s="102"/>
    </row>
    <row r="5" spans="1:7" ht="57" x14ac:dyDescent="0.25">
      <c r="A5" s="101" t="s">
        <v>753</v>
      </c>
      <c r="B5" s="101" t="s">
        <v>765</v>
      </c>
      <c r="C5" s="101" t="s">
        <v>766</v>
      </c>
      <c r="D5" s="101" t="s">
        <v>767</v>
      </c>
      <c r="E5" s="101" t="s">
        <v>768</v>
      </c>
      <c r="F5" s="101" t="s">
        <v>769</v>
      </c>
      <c r="G5" s="102" t="s">
        <v>770</v>
      </c>
    </row>
    <row r="6" spans="1:7" ht="57" x14ac:dyDescent="0.25">
      <c r="A6" s="101" t="s">
        <v>753</v>
      </c>
      <c r="B6" s="101" t="s">
        <v>765</v>
      </c>
      <c r="C6" s="101" t="s">
        <v>766</v>
      </c>
      <c r="D6" s="101" t="s">
        <v>771</v>
      </c>
      <c r="E6" s="101" t="s">
        <v>772</v>
      </c>
      <c r="F6" s="101" t="s">
        <v>773</v>
      </c>
      <c r="G6" s="102" t="s">
        <v>774</v>
      </c>
    </row>
    <row r="7" spans="1:7" ht="28.5" customHeight="1" x14ac:dyDescent="0.25">
      <c r="A7" s="101" t="s">
        <v>753</v>
      </c>
      <c r="B7" s="101" t="s">
        <v>765</v>
      </c>
      <c r="C7" s="101" t="s">
        <v>766</v>
      </c>
      <c r="D7" s="101" t="s">
        <v>775</v>
      </c>
      <c r="E7" s="101"/>
      <c r="F7" s="101"/>
      <c r="G7" s="102"/>
    </row>
    <row r="8" spans="1:7" ht="71.25" x14ac:dyDescent="0.25">
      <c r="A8" s="101" t="s">
        <v>753</v>
      </c>
      <c r="B8" s="101" t="s">
        <v>776</v>
      </c>
      <c r="C8" s="101" t="s">
        <v>777</v>
      </c>
      <c r="D8" s="101" t="s">
        <v>778</v>
      </c>
      <c r="E8" s="101" t="s">
        <v>779</v>
      </c>
      <c r="F8" s="101" t="s">
        <v>780</v>
      </c>
      <c r="G8" s="102" t="s">
        <v>781</v>
      </c>
    </row>
    <row r="9" spans="1:7" ht="28.5" customHeight="1" x14ac:dyDescent="0.25">
      <c r="A9" s="101" t="s">
        <v>753</v>
      </c>
      <c r="B9" s="101" t="s">
        <v>776</v>
      </c>
      <c r="C9" s="101" t="s">
        <v>777</v>
      </c>
      <c r="D9" s="101" t="s">
        <v>782</v>
      </c>
      <c r="E9" s="101" t="s">
        <v>783</v>
      </c>
      <c r="F9" s="101" t="s">
        <v>784</v>
      </c>
      <c r="G9" s="102" t="s">
        <v>785</v>
      </c>
    </row>
    <row r="10" spans="1:7" ht="57" x14ac:dyDescent="0.25">
      <c r="A10" s="101" t="s">
        <v>753</v>
      </c>
      <c r="B10" s="101" t="s">
        <v>786</v>
      </c>
      <c r="C10" s="101" t="s">
        <v>787</v>
      </c>
      <c r="D10" s="101" t="s">
        <v>788</v>
      </c>
      <c r="E10" s="101" t="s">
        <v>789</v>
      </c>
      <c r="F10" s="101" t="s">
        <v>790</v>
      </c>
      <c r="G10" s="102" t="s">
        <v>791</v>
      </c>
    </row>
    <row r="11" spans="1:7" ht="60" x14ac:dyDescent="0.25">
      <c r="A11" s="103" t="s">
        <v>753</v>
      </c>
      <c r="B11" s="104" t="s">
        <v>786</v>
      </c>
      <c r="C11" s="104" t="s">
        <v>787</v>
      </c>
      <c r="D11" s="104" t="s">
        <v>792</v>
      </c>
      <c r="E11" s="104" t="s">
        <v>793</v>
      </c>
      <c r="F11" s="104"/>
      <c r="G11" s="104"/>
    </row>
    <row r="12" spans="1:7" ht="60" x14ac:dyDescent="0.25">
      <c r="A12" s="103" t="s">
        <v>753</v>
      </c>
      <c r="B12" s="104" t="s">
        <v>786</v>
      </c>
      <c r="C12" s="104" t="s">
        <v>787</v>
      </c>
      <c r="D12" s="104" t="s">
        <v>794</v>
      </c>
      <c r="E12" s="104" t="s">
        <v>795</v>
      </c>
      <c r="F12" s="104" t="s">
        <v>796</v>
      </c>
      <c r="G12" s="104" t="s">
        <v>797</v>
      </c>
    </row>
    <row r="13" spans="1:7" ht="60" x14ac:dyDescent="0.25">
      <c r="A13" s="103" t="s">
        <v>753</v>
      </c>
      <c r="B13" s="104" t="s">
        <v>786</v>
      </c>
      <c r="C13" s="104" t="s">
        <v>787</v>
      </c>
      <c r="D13" s="104" t="s">
        <v>798</v>
      </c>
      <c r="E13" s="104"/>
      <c r="F13" s="104"/>
      <c r="G13" s="104"/>
    </row>
    <row r="14" spans="1:7" ht="60" x14ac:dyDescent="0.25">
      <c r="A14" s="103" t="s">
        <v>753</v>
      </c>
      <c r="B14" s="104" t="s">
        <v>799</v>
      </c>
      <c r="C14" s="104" t="s">
        <v>800</v>
      </c>
      <c r="D14" s="104" t="s">
        <v>788</v>
      </c>
      <c r="E14" s="104" t="s">
        <v>801</v>
      </c>
      <c r="F14" s="104" t="s">
        <v>802</v>
      </c>
      <c r="G14" s="104" t="s">
        <v>803</v>
      </c>
    </row>
    <row r="15" spans="1:7" ht="60" x14ac:dyDescent="0.25">
      <c r="A15" s="103" t="s">
        <v>753</v>
      </c>
      <c r="B15" s="104" t="s">
        <v>799</v>
      </c>
      <c r="C15" s="104" t="s">
        <v>800</v>
      </c>
      <c r="D15" s="104" t="s">
        <v>804</v>
      </c>
      <c r="E15" s="104"/>
      <c r="F15" s="104"/>
      <c r="G15" s="104"/>
    </row>
    <row r="16" spans="1:7" ht="60" x14ac:dyDescent="0.25">
      <c r="A16" s="103" t="s">
        <v>753</v>
      </c>
      <c r="B16" s="104" t="s">
        <v>799</v>
      </c>
      <c r="C16" s="104" t="s">
        <v>800</v>
      </c>
      <c r="D16" s="104" t="s">
        <v>805</v>
      </c>
      <c r="E16" s="104" t="s">
        <v>806</v>
      </c>
      <c r="F16" s="104"/>
      <c r="G16" s="104" t="s">
        <v>807</v>
      </c>
    </row>
    <row r="17" spans="1:7" ht="60" x14ac:dyDescent="0.25">
      <c r="A17" s="103" t="s">
        <v>753</v>
      </c>
      <c r="B17" s="104" t="s">
        <v>799</v>
      </c>
      <c r="C17" s="104" t="s">
        <v>800</v>
      </c>
      <c r="D17" s="104" t="s">
        <v>808</v>
      </c>
      <c r="E17" s="104"/>
      <c r="F17" s="104"/>
      <c r="G17" s="104"/>
    </row>
    <row r="18" spans="1:7" ht="45" x14ac:dyDescent="0.25">
      <c r="A18" s="99" t="s">
        <v>809</v>
      </c>
      <c r="B18" s="100" t="s">
        <v>810</v>
      </c>
      <c r="C18" s="100" t="s">
        <v>811</v>
      </c>
      <c r="D18" s="100" t="s">
        <v>812</v>
      </c>
      <c r="E18" s="100" t="s">
        <v>813</v>
      </c>
      <c r="F18" s="100" t="s">
        <v>814</v>
      </c>
      <c r="G18" s="100" t="s">
        <v>815</v>
      </c>
    </row>
    <row r="19" spans="1:7" ht="45" x14ac:dyDescent="0.25">
      <c r="A19" s="99" t="s">
        <v>809</v>
      </c>
      <c r="B19" s="100" t="s">
        <v>810</v>
      </c>
      <c r="C19" s="100" t="s">
        <v>811</v>
      </c>
      <c r="D19" s="100" t="s">
        <v>816</v>
      </c>
      <c r="E19" s="100" t="s">
        <v>817</v>
      </c>
      <c r="F19" s="100" t="s">
        <v>818</v>
      </c>
      <c r="G19" s="100" t="s">
        <v>819</v>
      </c>
    </row>
    <row r="20" spans="1:7" ht="45" x14ac:dyDescent="0.25">
      <c r="A20" s="99" t="s">
        <v>809</v>
      </c>
      <c r="B20" s="100" t="s">
        <v>820</v>
      </c>
      <c r="C20" s="100" t="s">
        <v>821</v>
      </c>
      <c r="D20" s="100" t="s">
        <v>788</v>
      </c>
      <c r="E20" s="100" t="s">
        <v>822</v>
      </c>
      <c r="F20" s="100" t="s">
        <v>823</v>
      </c>
      <c r="G20" s="100" t="s">
        <v>824</v>
      </c>
    </row>
    <row r="21" spans="1:7" ht="45" x14ac:dyDescent="0.25">
      <c r="A21" s="99" t="s">
        <v>809</v>
      </c>
      <c r="B21" s="100" t="s">
        <v>820</v>
      </c>
      <c r="C21" s="100" t="s">
        <v>821</v>
      </c>
      <c r="D21" s="100" t="s">
        <v>825</v>
      </c>
      <c r="E21" s="100" t="s">
        <v>826</v>
      </c>
      <c r="F21" s="100" t="s">
        <v>796</v>
      </c>
      <c r="G21" s="100" t="s">
        <v>827</v>
      </c>
    </row>
    <row r="22" spans="1:7" ht="45" x14ac:dyDescent="0.25">
      <c r="A22" s="99" t="s">
        <v>809</v>
      </c>
      <c r="B22" s="100" t="s">
        <v>820</v>
      </c>
      <c r="C22" s="100" t="s">
        <v>821</v>
      </c>
      <c r="D22" s="100" t="s">
        <v>828</v>
      </c>
      <c r="E22" s="100"/>
      <c r="F22" s="100"/>
      <c r="G22" s="100"/>
    </row>
    <row r="23" spans="1:7" ht="45" x14ac:dyDescent="0.25">
      <c r="A23" s="99" t="s">
        <v>809</v>
      </c>
      <c r="B23" s="100" t="s">
        <v>820</v>
      </c>
      <c r="C23" s="100" t="s">
        <v>821</v>
      </c>
      <c r="D23" s="100" t="s">
        <v>829</v>
      </c>
      <c r="E23" s="100"/>
      <c r="F23" s="100"/>
      <c r="G23" s="100"/>
    </row>
    <row r="24" spans="1:7" ht="60" x14ac:dyDescent="0.25">
      <c r="A24" s="103" t="s">
        <v>830</v>
      </c>
      <c r="B24" s="104" t="s">
        <v>831</v>
      </c>
      <c r="C24" s="104" t="s">
        <v>832</v>
      </c>
      <c r="D24" s="104" t="s">
        <v>788</v>
      </c>
      <c r="E24" s="104" t="s">
        <v>833</v>
      </c>
      <c r="F24" s="104" t="s">
        <v>834</v>
      </c>
      <c r="G24" s="104" t="s">
        <v>835</v>
      </c>
    </row>
    <row r="25" spans="1:7" ht="60" x14ac:dyDescent="0.25">
      <c r="A25" s="103" t="s">
        <v>830</v>
      </c>
      <c r="B25" s="104" t="s">
        <v>831</v>
      </c>
      <c r="C25" s="104" t="s">
        <v>832</v>
      </c>
      <c r="D25" s="104" t="s">
        <v>836</v>
      </c>
      <c r="E25" s="104"/>
      <c r="F25" s="104"/>
      <c r="G25" s="104"/>
    </row>
    <row r="26" spans="1:7" ht="60" x14ac:dyDescent="0.25">
      <c r="A26" s="103" t="s">
        <v>830</v>
      </c>
      <c r="B26" s="104" t="s">
        <v>831</v>
      </c>
      <c r="C26" s="104" t="s">
        <v>832</v>
      </c>
      <c r="D26" s="104" t="s">
        <v>837</v>
      </c>
      <c r="E26" s="104" t="s">
        <v>838</v>
      </c>
      <c r="F26" s="104" t="s">
        <v>839</v>
      </c>
      <c r="G26" s="104" t="s">
        <v>840</v>
      </c>
    </row>
    <row r="27" spans="1:7" ht="60" x14ac:dyDescent="0.25">
      <c r="A27" s="103" t="s">
        <v>830</v>
      </c>
      <c r="B27" s="104" t="s">
        <v>831</v>
      </c>
      <c r="C27" s="104" t="s">
        <v>832</v>
      </c>
      <c r="D27" s="104" t="s">
        <v>841</v>
      </c>
      <c r="E27" s="104"/>
      <c r="F27" s="104"/>
      <c r="G27" s="104"/>
    </row>
    <row r="28" spans="1:7" ht="60" x14ac:dyDescent="0.25">
      <c r="A28" s="103" t="s">
        <v>830</v>
      </c>
      <c r="B28" s="104" t="s">
        <v>842</v>
      </c>
      <c r="C28" s="104" t="s">
        <v>843</v>
      </c>
      <c r="D28" s="104" t="s">
        <v>844</v>
      </c>
      <c r="E28" s="104" t="s">
        <v>845</v>
      </c>
      <c r="F28" s="104" t="s">
        <v>846</v>
      </c>
      <c r="G28" s="104" t="s">
        <v>847</v>
      </c>
    </row>
    <row r="29" spans="1:7" ht="60" x14ac:dyDescent="0.25">
      <c r="A29" s="103" t="s">
        <v>830</v>
      </c>
      <c r="B29" s="104" t="s">
        <v>842</v>
      </c>
      <c r="C29" s="104" t="s">
        <v>843</v>
      </c>
      <c r="D29" s="104" t="s">
        <v>848</v>
      </c>
      <c r="E29" s="104" t="s">
        <v>849</v>
      </c>
      <c r="F29" s="104" t="s">
        <v>850</v>
      </c>
      <c r="G29" s="104" t="s">
        <v>851</v>
      </c>
    </row>
    <row r="30" spans="1:7" ht="60" x14ac:dyDescent="0.25">
      <c r="A30" s="103" t="s">
        <v>830</v>
      </c>
      <c r="B30" s="104" t="s">
        <v>842</v>
      </c>
      <c r="C30" s="104" t="s">
        <v>843</v>
      </c>
      <c r="D30" s="104" t="s">
        <v>852</v>
      </c>
      <c r="E30" s="104"/>
      <c r="F30" s="104"/>
      <c r="G30" s="104"/>
    </row>
    <row r="31" spans="1:7" ht="45" x14ac:dyDescent="0.25">
      <c r="A31" s="99" t="s">
        <v>853</v>
      </c>
      <c r="B31" s="100" t="s">
        <v>854</v>
      </c>
      <c r="C31" s="100" t="s">
        <v>855</v>
      </c>
      <c r="D31" s="100" t="s">
        <v>856</v>
      </c>
      <c r="E31" s="100" t="s">
        <v>857</v>
      </c>
      <c r="F31" s="100" t="s">
        <v>796</v>
      </c>
      <c r="G31" s="100" t="s">
        <v>770</v>
      </c>
    </row>
    <row r="32" spans="1:7" ht="45" x14ac:dyDescent="0.25">
      <c r="A32" s="99" t="s">
        <v>853</v>
      </c>
      <c r="B32" s="100" t="s">
        <v>854</v>
      </c>
      <c r="C32" s="100" t="s">
        <v>855</v>
      </c>
      <c r="D32" s="100" t="s">
        <v>858</v>
      </c>
      <c r="E32" s="100" t="s">
        <v>859</v>
      </c>
      <c r="F32" s="100" t="s">
        <v>860</v>
      </c>
      <c r="G32" s="100" t="s">
        <v>861</v>
      </c>
    </row>
    <row r="33" spans="1:7" ht="60" x14ac:dyDescent="0.25">
      <c r="A33" s="99" t="s">
        <v>853</v>
      </c>
      <c r="B33" s="100" t="s">
        <v>862</v>
      </c>
      <c r="C33" s="100" t="s">
        <v>863</v>
      </c>
      <c r="D33" s="100" t="s">
        <v>788</v>
      </c>
      <c r="E33" s="100" t="s">
        <v>864</v>
      </c>
      <c r="F33" s="100" t="s">
        <v>865</v>
      </c>
      <c r="G33" s="100" t="s">
        <v>866</v>
      </c>
    </row>
    <row r="34" spans="1:7" ht="60" x14ac:dyDescent="0.25">
      <c r="A34" s="99" t="s">
        <v>853</v>
      </c>
      <c r="B34" s="100" t="s">
        <v>862</v>
      </c>
      <c r="C34" s="100" t="s">
        <v>863</v>
      </c>
      <c r="D34" s="100" t="s">
        <v>867</v>
      </c>
      <c r="E34" s="100"/>
      <c r="F34" s="100"/>
      <c r="G34" s="100"/>
    </row>
    <row r="35" spans="1:7" ht="60" x14ac:dyDescent="0.25">
      <c r="A35" s="99" t="s">
        <v>853</v>
      </c>
      <c r="B35" s="100" t="s">
        <v>862</v>
      </c>
      <c r="C35" s="100" t="s">
        <v>863</v>
      </c>
      <c r="D35" s="100" t="s">
        <v>868</v>
      </c>
      <c r="E35" s="100" t="s">
        <v>869</v>
      </c>
      <c r="F35" s="100" t="s">
        <v>850</v>
      </c>
      <c r="G35" s="100" t="s">
        <v>870</v>
      </c>
    </row>
    <row r="36" spans="1:7" ht="60" x14ac:dyDescent="0.25">
      <c r="A36" s="99" t="s">
        <v>853</v>
      </c>
      <c r="B36" s="100" t="s">
        <v>862</v>
      </c>
      <c r="C36" s="100" t="s">
        <v>863</v>
      </c>
      <c r="D36" s="100" t="s">
        <v>871</v>
      </c>
      <c r="E36" s="100"/>
      <c r="F36" s="100"/>
      <c r="G36" s="100"/>
    </row>
    <row r="37" spans="1:7" ht="60" x14ac:dyDescent="0.25">
      <c r="A37" s="99" t="s">
        <v>853</v>
      </c>
      <c r="B37" s="100" t="s">
        <v>872</v>
      </c>
      <c r="C37" s="100" t="s">
        <v>873</v>
      </c>
      <c r="D37" s="100" t="s">
        <v>874</v>
      </c>
      <c r="E37" s="100" t="s">
        <v>875</v>
      </c>
      <c r="F37" s="100" t="s">
        <v>834</v>
      </c>
      <c r="G37" s="100" t="s">
        <v>876</v>
      </c>
    </row>
    <row r="38" spans="1:7" ht="60" x14ac:dyDescent="0.25">
      <c r="A38" s="99" t="s">
        <v>853</v>
      </c>
      <c r="B38" s="100" t="s">
        <v>872</v>
      </c>
      <c r="C38" s="100" t="s">
        <v>873</v>
      </c>
      <c r="D38" s="100" t="s">
        <v>877</v>
      </c>
      <c r="E38" s="100" t="s">
        <v>878</v>
      </c>
      <c r="F38" s="100" t="s">
        <v>796</v>
      </c>
      <c r="G38" s="100" t="s">
        <v>879</v>
      </c>
    </row>
    <row r="39" spans="1:7" ht="60" x14ac:dyDescent="0.25">
      <c r="A39" s="99" t="s">
        <v>853</v>
      </c>
      <c r="B39" s="100" t="s">
        <v>872</v>
      </c>
      <c r="C39" s="100" t="s">
        <v>873</v>
      </c>
      <c r="D39" s="100" t="s">
        <v>880</v>
      </c>
      <c r="E39" s="100"/>
      <c r="F39" s="100"/>
      <c r="G39" s="10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9EBA-2804-4348-8F18-38A526A2A3C2}">
  <sheetPr>
    <tabColor theme="9" tint="0.39997558519241921"/>
  </sheetPr>
  <dimension ref="A1:H57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14.28515625" customWidth="1"/>
    <col min="2" max="2" width="35.140625" customWidth="1"/>
    <col min="3" max="3" width="21.42578125" customWidth="1"/>
    <col min="4" max="4" width="29.140625" customWidth="1"/>
    <col min="6" max="6" width="26.7109375" style="32" customWidth="1"/>
  </cols>
  <sheetData>
    <row r="1" spans="1:8" ht="18" x14ac:dyDescent="0.25">
      <c r="A1" s="120" t="s">
        <v>4</v>
      </c>
      <c r="B1" s="121"/>
      <c r="C1" s="122"/>
      <c r="D1">
        <v>2026</v>
      </c>
    </row>
    <row r="2" spans="1:8" ht="18.75" x14ac:dyDescent="0.3">
      <c r="A2" s="32"/>
      <c r="B2" s="5" t="s">
        <v>5</v>
      </c>
      <c r="C2" s="7" t="s">
        <v>6</v>
      </c>
      <c r="D2" s="7" t="s">
        <v>583</v>
      </c>
    </row>
    <row r="3" spans="1:8" ht="18.75" x14ac:dyDescent="0.3">
      <c r="A3" s="32">
        <f>+'03-ASISTENCIA'!F4</f>
        <v>46084</v>
      </c>
      <c r="B3" s="5"/>
      <c r="C3" s="7"/>
      <c r="D3" s="7"/>
    </row>
    <row r="4" spans="1:8" ht="18.75" x14ac:dyDescent="0.3">
      <c r="A4" s="32">
        <f>+'03-ASISTENCIA'!G4</f>
        <v>46090</v>
      </c>
      <c r="B4" s="5"/>
      <c r="C4" s="7"/>
      <c r="D4" s="7"/>
    </row>
    <row r="5" spans="1:8" x14ac:dyDescent="0.25">
      <c r="A5" s="32">
        <v>46097</v>
      </c>
      <c r="B5" s="6" t="s">
        <v>973</v>
      </c>
      <c r="C5" s="4" t="str">
        <f t="shared" ref="C5:C45" si="0">IFERROR(VLOOKUP(A5, fechaMEC, 3, FALSE), "Clase Normal")</f>
        <v>Clase Normal</v>
      </c>
      <c r="D5" s="4" t="str">
        <f t="shared" ref="D5:D13" si="1">IFERROR(VLOOKUP(A5, fechaMEC, 2, FALSE), "Ejecutado")</f>
        <v>Ejecutado</v>
      </c>
    </row>
    <row r="6" spans="1:8" x14ac:dyDescent="0.25">
      <c r="A6" s="32">
        <f>+'03-ASISTENCIA'!I4</f>
        <v>46104</v>
      </c>
      <c r="B6" s="6"/>
      <c r="C6" s="4" t="str">
        <f t="shared" si="0"/>
        <v>Clase Normal</v>
      </c>
      <c r="D6" s="4" t="str">
        <f t="shared" si="1"/>
        <v>Ejecutado</v>
      </c>
      <c r="F6" s="32" t="s">
        <v>611</v>
      </c>
      <c r="G6" t="s">
        <v>595</v>
      </c>
      <c r="H6" t="s">
        <v>596</v>
      </c>
    </row>
    <row r="7" spans="1:8" x14ac:dyDescent="0.25">
      <c r="A7" s="32">
        <v>46111</v>
      </c>
      <c r="B7" s="6" t="s">
        <v>974</v>
      </c>
      <c r="C7" s="4" t="str">
        <f t="shared" si="0"/>
        <v>Clase Normal</v>
      </c>
      <c r="D7" s="4" t="str">
        <f t="shared" si="1"/>
        <v>Ejecutado</v>
      </c>
      <c r="F7" s="32">
        <v>46023</v>
      </c>
      <c r="G7" t="s">
        <v>597</v>
      </c>
      <c r="H7" t="s">
        <v>598</v>
      </c>
    </row>
    <row r="8" spans="1:8" x14ac:dyDescent="0.25">
      <c r="A8" s="32">
        <f>+'03-ASISTENCIA'!K4</f>
        <v>46118</v>
      </c>
      <c r="B8" s="6"/>
      <c r="C8" s="4"/>
      <c r="D8" s="4"/>
      <c r="F8" s="32">
        <v>46063</v>
      </c>
      <c r="G8" t="s">
        <v>612</v>
      </c>
      <c r="H8" t="s">
        <v>641</v>
      </c>
    </row>
    <row r="9" spans="1:8" ht="30" x14ac:dyDescent="0.25">
      <c r="A9" s="32">
        <v>46125</v>
      </c>
      <c r="B9" s="6" t="s">
        <v>976</v>
      </c>
      <c r="C9" s="111" t="s">
        <v>975</v>
      </c>
      <c r="D9" s="4" t="str">
        <f t="shared" si="1"/>
        <v>Ejecutado</v>
      </c>
      <c r="F9" s="32">
        <v>46076</v>
      </c>
      <c r="G9" t="s">
        <v>599</v>
      </c>
      <c r="H9" t="s">
        <v>641</v>
      </c>
    </row>
    <row r="10" spans="1:8" x14ac:dyDescent="0.25">
      <c r="A10" s="32">
        <v>46132</v>
      </c>
      <c r="B10" s="6" t="s">
        <v>982</v>
      </c>
      <c r="C10" s="4" t="str">
        <f>IFERROR(VLOOKUP(A10, fechaMEC, 3, FALSE), "Clase Normal")</f>
        <v>Clase Normal</v>
      </c>
      <c r="D10" s="4" t="str">
        <f>IFERROR(VLOOKUP(A10, fechaMEC, 2, FALSE), "Ejecutado")</f>
        <v>Ejecutado</v>
      </c>
      <c r="F10" s="32">
        <v>46077</v>
      </c>
      <c r="G10" t="s">
        <v>617</v>
      </c>
      <c r="H10" t="s">
        <v>644</v>
      </c>
    </row>
    <row r="11" spans="1:8" x14ac:dyDescent="0.25">
      <c r="B11" s="6"/>
      <c r="C11" s="41" t="str">
        <f>IFERROR(VLOOKUP(#REF!, fechaMEC, 3, FALSE), "Clase Normal")</f>
        <v>Clase Normal</v>
      </c>
      <c r="D11" s="41" t="str">
        <f>IFERROR(VLOOKUP(#REF!, fechaMEC, 2, FALSE), "Ejecutado")</f>
        <v>Ejecutado</v>
      </c>
      <c r="F11" s="32">
        <v>46082</v>
      </c>
      <c r="G11" t="s">
        <v>600</v>
      </c>
      <c r="H11" t="s">
        <v>598</v>
      </c>
    </row>
    <row r="12" spans="1:8" x14ac:dyDescent="0.25">
      <c r="A12" s="32"/>
      <c r="B12" s="3"/>
      <c r="C12" s="4" t="str">
        <f t="shared" si="0"/>
        <v>Clase Normal</v>
      </c>
      <c r="D12" s="4" t="str">
        <f t="shared" si="1"/>
        <v>Ejecutado</v>
      </c>
      <c r="F12" s="32">
        <v>46082</v>
      </c>
      <c r="G12" t="s">
        <v>618</v>
      </c>
      <c r="H12" t="s">
        <v>644</v>
      </c>
    </row>
    <row r="13" spans="1:8" x14ac:dyDescent="0.25">
      <c r="A13" s="32"/>
      <c r="B13" s="3"/>
      <c r="C13" s="4" t="str">
        <f t="shared" si="0"/>
        <v>Clase Normal</v>
      </c>
      <c r="D13" s="4" t="str">
        <f t="shared" si="1"/>
        <v>Ejecutado</v>
      </c>
      <c r="F13" s="32">
        <v>46102</v>
      </c>
      <c r="G13" t="s">
        <v>619</v>
      </c>
      <c r="H13" t="s">
        <v>644</v>
      </c>
    </row>
    <row r="14" spans="1:8" x14ac:dyDescent="0.25">
      <c r="A14" s="32"/>
      <c r="B14" s="3"/>
      <c r="C14" s="4" t="str">
        <f t="shared" si="0"/>
        <v>Clase Normal</v>
      </c>
      <c r="D14" s="4"/>
      <c r="F14" s="32">
        <v>46114</v>
      </c>
      <c r="G14" t="s">
        <v>613</v>
      </c>
      <c r="H14" t="s">
        <v>598</v>
      </c>
    </row>
    <row r="15" spans="1:8" x14ac:dyDescent="0.25">
      <c r="A15" s="32"/>
      <c r="B15" s="40"/>
      <c r="C15" s="41" t="str">
        <f t="shared" si="0"/>
        <v>Clase Normal</v>
      </c>
      <c r="D15" s="48" t="str">
        <f>IFERROR(VLOOKUP(A15, fechaMEC, 2, FALSE), "Ejecutado")</f>
        <v>Ejecutado</v>
      </c>
      <c r="F15" s="32">
        <v>46115</v>
      </c>
      <c r="G15" t="s">
        <v>614</v>
      </c>
      <c r="H15" t="s">
        <v>598</v>
      </c>
    </row>
    <row r="16" spans="1:8" x14ac:dyDescent="0.25">
      <c r="A16" s="32"/>
      <c r="B16" s="3"/>
      <c r="C16" s="4" t="str">
        <f t="shared" si="0"/>
        <v>Clase Normal</v>
      </c>
      <c r="D16" s="4"/>
      <c r="F16" s="32">
        <v>46135</v>
      </c>
      <c r="G16" t="s">
        <v>620</v>
      </c>
      <c r="H16" t="s">
        <v>644</v>
      </c>
    </row>
    <row r="17" spans="1:8" x14ac:dyDescent="0.25">
      <c r="A17" s="32"/>
      <c r="B17" s="40"/>
      <c r="C17" s="41" t="str">
        <f t="shared" si="0"/>
        <v>Clase Normal</v>
      </c>
      <c r="D17" s="48" t="str">
        <f>IFERROR(VLOOKUP(A17, fechaMEC, 2, FALSE), "Ejecutado")</f>
        <v>Ejecutado</v>
      </c>
      <c r="F17" s="32">
        <v>46138</v>
      </c>
      <c r="G17" t="s">
        <v>621</v>
      </c>
      <c r="H17" t="s">
        <v>644</v>
      </c>
    </row>
    <row r="18" spans="1:8" x14ac:dyDescent="0.25">
      <c r="A18" s="32"/>
      <c r="B18" s="3"/>
      <c r="C18" s="4" t="str">
        <f t="shared" si="0"/>
        <v>Clase Normal</v>
      </c>
      <c r="D18" s="4"/>
      <c r="F18" s="32">
        <v>46142</v>
      </c>
      <c r="G18" t="s">
        <v>622</v>
      </c>
      <c r="H18" t="s">
        <v>644</v>
      </c>
    </row>
    <row r="19" spans="1:8" x14ac:dyDescent="0.25">
      <c r="A19" s="32"/>
      <c r="B19" s="3"/>
      <c r="C19" s="4" t="str">
        <f t="shared" si="0"/>
        <v>Clase Normal</v>
      </c>
      <c r="D19" s="4"/>
      <c r="F19" s="32">
        <v>46143</v>
      </c>
      <c r="G19" t="s">
        <v>601</v>
      </c>
      <c r="H19" t="s">
        <v>598</v>
      </c>
    </row>
    <row r="20" spans="1:8" x14ac:dyDescent="0.25">
      <c r="A20" s="32"/>
      <c r="B20" s="3"/>
      <c r="C20" s="4" t="str">
        <f t="shared" si="0"/>
        <v>Clase Normal</v>
      </c>
      <c r="D20" s="4"/>
      <c r="F20" s="32">
        <v>46156</v>
      </c>
      <c r="G20" t="s">
        <v>602</v>
      </c>
      <c r="H20" t="s">
        <v>598</v>
      </c>
    </row>
    <row r="21" spans="1:8" x14ac:dyDescent="0.25">
      <c r="A21" s="32"/>
      <c r="B21" s="40"/>
      <c r="C21" s="41" t="str">
        <f t="shared" si="0"/>
        <v>Clase Normal</v>
      </c>
      <c r="D21" s="48" t="str">
        <f>IFERROR(VLOOKUP(A21, fechaMEC, 2, FALSE), "Ejecutado")</f>
        <v>Ejecutado</v>
      </c>
      <c r="F21" s="32">
        <v>46156</v>
      </c>
      <c r="G21" t="s">
        <v>639</v>
      </c>
      <c r="H21" t="s">
        <v>644</v>
      </c>
    </row>
    <row r="22" spans="1:8" x14ac:dyDescent="0.25">
      <c r="A22" s="32"/>
      <c r="B22" s="3"/>
      <c r="C22" s="4" t="str">
        <f t="shared" si="0"/>
        <v>Clase Normal</v>
      </c>
      <c r="D22" s="4" t="str">
        <f>IFERROR(VLOOKUP(A22, fechaMEC, 2, FALSE), "Ejecutado")</f>
        <v>Ejecutado</v>
      </c>
      <c r="F22" s="32">
        <v>46157</v>
      </c>
      <c r="G22" t="s">
        <v>602</v>
      </c>
      <c r="H22" t="s">
        <v>598</v>
      </c>
    </row>
    <row r="23" spans="1:8" x14ac:dyDescent="0.25">
      <c r="A23" s="32"/>
      <c r="B23" s="3"/>
      <c r="C23" s="4" t="str">
        <f t="shared" si="0"/>
        <v>Clase Normal</v>
      </c>
      <c r="D23" s="4"/>
      <c r="F23" s="32">
        <v>46157</v>
      </c>
      <c r="G23" t="s">
        <v>602</v>
      </c>
      <c r="H23" t="s">
        <v>644</v>
      </c>
    </row>
    <row r="24" spans="1:8" x14ac:dyDescent="0.25">
      <c r="A24" s="32"/>
      <c r="B24" s="53" t="s">
        <v>647</v>
      </c>
      <c r="C24" s="54" t="str">
        <f t="shared" si="0"/>
        <v>Clase Normal</v>
      </c>
      <c r="D24" s="4"/>
      <c r="F24" s="32">
        <v>46171</v>
      </c>
      <c r="G24" t="s">
        <v>623</v>
      </c>
      <c r="H24" t="s">
        <v>644</v>
      </c>
    </row>
    <row r="25" spans="1:8" x14ac:dyDescent="0.25">
      <c r="A25" s="32"/>
      <c r="B25" s="3"/>
      <c r="C25" s="4" t="str">
        <f t="shared" si="0"/>
        <v>Clase Normal</v>
      </c>
      <c r="D25" s="4"/>
      <c r="F25" s="32">
        <v>46185</v>
      </c>
      <c r="G25" t="s">
        <v>603</v>
      </c>
      <c r="H25" t="s">
        <v>598</v>
      </c>
    </row>
    <row r="26" spans="1:8" x14ac:dyDescent="0.25">
      <c r="A26" s="32"/>
      <c r="B26" s="40" t="s">
        <v>604</v>
      </c>
      <c r="C26" s="41" t="str">
        <f t="shared" si="0"/>
        <v>Clase Normal</v>
      </c>
      <c r="D26" s="48" t="str">
        <f>IFERROR(VLOOKUP(A26, fechaMEC, 2, FALSE), "Ejecutado")</f>
        <v>Ejecutado</v>
      </c>
      <c r="F26" s="32">
        <v>46185</v>
      </c>
      <c r="G26" t="s">
        <v>624</v>
      </c>
      <c r="H26" t="s">
        <v>645</v>
      </c>
    </row>
    <row r="27" spans="1:8" x14ac:dyDescent="0.25">
      <c r="A27" s="32"/>
      <c r="B27" s="40" t="s">
        <v>604</v>
      </c>
      <c r="C27" s="41" t="str">
        <f t="shared" si="0"/>
        <v>Clase Normal</v>
      </c>
      <c r="D27" s="48" t="str">
        <f>IFERROR(VLOOKUP(A27, fechaMEC, 2, FALSE), "Ejecutado")</f>
        <v>Ejecutado</v>
      </c>
      <c r="F27" s="32">
        <v>46192</v>
      </c>
      <c r="G27" t="s">
        <v>625</v>
      </c>
      <c r="H27" t="s">
        <v>638</v>
      </c>
    </row>
    <row r="28" spans="1:8" x14ac:dyDescent="0.25">
      <c r="A28" s="32"/>
      <c r="B28" s="3"/>
      <c r="C28" s="4" t="str">
        <f t="shared" si="0"/>
        <v>Clase Normal</v>
      </c>
      <c r="D28" s="4"/>
      <c r="F28" s="32">
        <v>46216</v>
      </c>
      <c r="G28" t="s">
        <v>615</v>
      </c>
      <c r="H28" t="s">
        <v>640</v>
      </c>
    </row>
    <row r="29" spans="1:8" x14ac:dyDescent="0.25">
      <c r="A29" s="32"/>
      <c r="B29" s="3"/>
      <c r="C29" s="4" t="str">
        <f t="shared" si="0"/>
        <v>Clase Normal</v>
      </c>
      <c r="D29" s="4"/>
      <c r="F29" s="32">
        <v>46217</v>
      </c>
      <c r="G29" t="s">
        <v>615</v>
      </c>
      <c r="H29" t="s">
        <v>640</v>
      </c>
    </row>
    <row r="30" spans="1:8" x14ac:dyDescent="0.25">
      <c r="A30" s="32"/>
      <c r="B30" s="3"/>
      <c r="C30" s="4" t="str">
        <f t="shared" si="0"/>
        <v>Clase Normal</v>
      </c>
      <c r="D30" s="4" t="str">
        <f>IFERROR(VLOOKUP(A30, fechaMEC, 2, FALSE), "Ejecutado")</f>
        <v>Ejecutado</v>
      </c>
      <c r="F30" s="32">
        <v>46218</v>
      </c>
      <c r="G30" t="s">
        <v>615</v>
      </c>
      <c r="H30" t="s">
        <v>640</v>
      </c>
    </row>
    <row r="31" spans="1:8" x14ac:dyDescent="0.25">
      <c r="A31" s="32"/>
      <c r="B31" s="3"/>
      <c r="C31" s="4" t="str">
        <f t="shared" si="0"/>
        <v>Clase Normal</v>
      </c>
      <c r="D31" s="4"/>
      <c r="F31" s="32">
        <v>46219</v>
      </c>
      <c r="G31" t="s">
        <v>615</v>
      </c>
      <c r="H31" t="s">
        <v>640</v>
      </c>
    </row>
    <row r="32" spans="1:8" x14ac:dyDescent="0.25">
      <c r="A32" s="32"/>
      <c r="B32" s="3"/>
      <c r="C32" s="4" t="str">
        <f t="shared" si="0"/>
        <v>Clase Normal</v>
      </c>
      <c r="D32" s="4"/>
      <c r="F32" s="32">
        <v>46220</v>
      </c>
      <c r="G32" t="s">
        <v>615</v>
      </c>
      <c r="H32" t="s">
        <v>640</v>
      </c>
    </row>
    <row r="33" spans="1:8" x14ac:dyDescent="0.25">
      <c r="A33" s="32"/>
      <c r="B33" s="3"/>
      <c r="C33" s="4" t="str">
        <f t="shared" si="0"/>
        <v>Clase Normal</v>
      </c>
      <c r="D33" s="4"/>
      <c r="F33" s="32">
        <v>46221</v>
      </c>
      <c r="G33" t="s">
        <v>615</v>
      </c>
      <c r="H33" t="s">
        <v>640</v>
      </c>
    </row>
    <row r="34" spans="1:8" x14ac:dyDescent="0.25">
      <c r="A34" s="32"/>
      <c r="B34" s="3"/>
      <c r="C34" s="4" t="str">
        <f t="shared" si="0"/>
        <v>Clase Normal</v>
      </c>
      <c r="D34" s="4"/>
      <c r="F34" s="32">
        <v>46222</v>
      </c>
      <c r="G34" t="s">
        <v>615</v>
      </c>
      <c r="H34" t="s">
        <v>640</v>
      </c>
    </row>
    <row r="35" spans="1:8" x14ac:dyDescent="0.25">
      <c r="A35" s="32"/>
      <c r="B35" s="3"/>
      <c r="C35" s="4" t="str">
        <f t="shared" si="0"/>
        <v>Clase Normal</v>
      </c>
      <c r="D35" s="4"/>
      <c r="F35" s="32">
        <v>46223</v>
      </c>
      <c r="G35" t="s">
        <v>615</v>
      </c>
      <c r="H35" t="s">
        <v>640</v>
      </c>
    </row>
    <row r="36" spans="1:8" x14ac:dyDescent="0.25">
      <c r="A36" s="32"/>
      <c r="B36" s="3"/>
      <c r="C36" s="4" t="str">
        <f t="shared" si="0"/>
        <v>Clase Normal</v>
      </c>
      <c r="D36" s="4"/>
      <c r="F36" s="32">
        <v>46224</v>
      </c>
      <c r="G36" t="s">
        <v>615</v>
      </c>
      <c r="H36" t="s">
        <v>640</v>
      </c>
    </row>
    <row r="37" spans="1:8" x14ac:dyDescent="0.25">
      <c r="A37" s="32"/>
      <c r="B37" s="3"/>
      <c r="C37" s="4" t="str">
        <f t="shared" si="0"/>
        <v>Clase Normal</v>
      </c>
      <c r="D37" s="4"/>
      <c r="F37" s="32">
        <v>46225</v>
      </c>
      <c r="G37" t="s">
        <v>615</v>
      </c>
      <c r="H37" t="s">
        <v>640</v>
      </c>
    </row>
    <row r="38" spans="1:8" x14ac:dyDescent="0.25">
      <c r="A38" s="32"/>
      <c r="B38" s="53" t="s">
        <v>646</v>
      </c>
      <c r="C38" s="54" t="str">
        <f t="shared" si="0"/>
        <v>Clase Normal</v>
      </c>
      <c r="D38" s="4"/>
      <c r="F38" s="32">
        <v>46226</v>
      </c>
      <c r="G38" t="s">
        <v>615</v>
      </c>
      <c r="H38" t="s">
        <v>640</v>
      </c>
    </row>
    <row r="39" spans="1:8" x14ac:dyDescent="0.25">
      <c r="A39" s="32"/>
      <c r="B39" s="3"/>
      <c r="C39" s="4" t="str">
        <f t="shared" si="0"/>
        <v>Clase Normal</v>
      </c>
      <c r="D39" s="4"/>
      <c r="F39" s="32">
        <v>46227</v>
      </c>
      <c r="G39" t="s">
        <v>616</v>
      </c>
      <c r="H39" t="s">
        <v>640</v>
      </c>
    </row>
    <row r="40" spans="1:8" x14ac:dyDescent="0.25">
      <c r="A40" s="32"/>
      <c r="B40" s="3"/>
      <c r="C40" s="4" t="str">
        <f t="shared" si="0"/>
        <v>Clase Normal</v>
      </c>
      <c r="D40" s="4" t="str">
        <f>IFERROR(VLOOKUP(A40, fechaMEC, 2, FALSE), "Ejecutado")</f>
        <v>Ejecutado</v>
      </c>
      <c r="F40" s="32">
        <v>46227</v>
      </c>
      <c r="G40" t="s">
        <v>626</v>
      </c>
      <c r="H40" t="s">
        <v>644</v>
      </c>
    </row>
    <row r="41" spans="1:8" x14ac:dyDescent="0.25">
      <c r="A41" s="32"/>
      <c r="B41" s="3"/>
      <c r="C41" s="4" t="str">
        <f t="shared" si="0"/>
        <v>Clase Normal</v>
      </c>
      <c r="D41" s="4"/>
      <c r="F41" s="32">
        <v>46233</v>
      </c>
      <c r="G41" t="s">
        <v>627</v>
      </c>
      <c r="H41" t="s">
        <v>644</v>
      </c>
    </row>
    <row r="42" spans="1:8" x14ac:dyDescent="0.25">
      <c r="A42" s="32"/>
      <c r="B42" s="3"/>
      <c r="C42" s="4" t="str">
        <f t="shared" si="0"/>
        <v>Clase Normal</v>
      </c>
      <c r="D42" s="4"/>
      <c r="F42" s="32">
        <v>46248</v>
      </c>
      <c r="G42" t="s">
        <v>628</v>
      </c>
      <c r="H42" t="s">
        <v>644</v>
      </c>
    </row>
    <row r="43" spans="1:8" x14ac:dyDescent="0.25">
      <c r="A43" s="32"/>
      <c r="B43" s="3"/>
      <c r="C43" s="4" t="str">
        <f t="shared" si="0"/>
        <v>Clase Normal</v>
      </c>
      <c r="D43" s="4"/>
      <c r="F43" s="32">
        <v>46249</v>
      </c>
      <c r="G43" t="s">
        <v>605</v>
      </c>
      <c r="H43" t="s">
        <v>598</v>
      </c>
    </row>
    <row r="44" spans="1:8" x14ac:dyDescent="0.25">
      <c r="A44" s="32"/>
      <c r="B44" s="3"/>
      <c r="C44" s="4" t="str">
        <f t="shared" si="0"/>
        <v>Clase Normal</v>
      </c>
      <c r="D44" s="4"/>
      <c r="F44" s="32">
        <v>46249</v>
      </c>
      <c r="G44" t="s">
        <v>629</v>
      </c>
      <c r="H44" t="s">
        <v>644</v>
      </c>
    </row>
    <row r="45" spans="1:8" ht="4.5" customHeight="1" x14ac:dyDescent="0.25">
      <c r="A45" s="32"/>
      <c r="B45" s="3"/>
      <c r="C45" s="4" t="str">
        <f t="shared" si="0"/>
        <v>Clase Normal</v>
      </c>
      <c r="D45" s="4"/>
      <c r="F45" s="32">
        <v>46250</v>
      </c>
      <c r="G45" t="s">
        <v>630</v>
      </c>
      <c r="H45" t="s">
        <v>644</v>
      </c>
    </row>
    <row r="46" spans="1:8" x14ac:dyDescent="0.25">
      <c r="A46" s="45"/>
      <c r="B46" s="46"/>
      <c r="C46" s="47"/>
      <c r="D46" s="47"/>
      <c r="F46" s="32">
        <v>46256</v>
      </c>
      <c r="G46" t="s">
        <v>631</v>
      </c>
      <c r="H46" t="s">
        <v>644</v>
      </c>
    </row>
    <row r="47" spans="1:8" x14ac:dyDescent="0.25">
      <c r="F47" s="32">
        <v>46259</v>
      </c>
      <c r="G47" t="s">
        <v>632</v>
      </c>
      <c r="H47" t="s">
        <v>644</v>
      </c>
    </row>
    <row r="48" spans="1:8" x14ac:dyDescent="0.25">
      <c r="F48" s="32">
        <v>46286</v>
      </c>
      <c r="G48" t="s">
        <v>633</v>
      </c>
      <c r="H48" t="s">
        <v>638</v>
      </c>
    </row>
    <row r="49" spans="6:8" x14ac:dyDescent="0.25">
      <c r="F49" s="32">
        <v>46294</v>
      </c>
      <c r="G49" t="s">
        <v>606</v>
      </c>
      <c r="H49" t="s">
        <v>598</v>
      </c>
    </row>
    <row r="50" spans="6:8" x14ac:dyDescent="0.25">
      <c r="F50" s="32">
        <v>46294</v>
      </c>
      <c r="G50" t="s">
        <v>634</v>
      </c>
      <c r="H50" t="s">
        <v>644</v>
      </c>
    </row>
    <row r="51" spans="6:8" x14ac:dyDescent="0.25">
      <c r="F51" s="32">
        <v>46307</v>
      </c>
      <c r="G51" t="s">
        <v>635</v>
      </c>
      <c r="H51" t="s">
        <v>644</v>
      </c>
    </row>
    <row r="52" spans="6:8" x14ac:dyDescent="0.25">
      <c r="F52" s="32">
        <v>46318</v>
      </c>
      <c r="G52" t="s">
        <v>636</v>
      </c>
      <c r="H52" t="s">
        <v>644</v>
      </c>
    </row>
    <row r="53" spans="6:8" x14ac:dyDescent="0.25">
      <c r="F53" s="32">
        <v>46351</v>
      </c>
      <c r="G53" t="s">
        <v>637</v>
      </c>
      <c r="H53" t="s">
        <v>644</v>
      </c>
    </row>
    <row r="54" spans="6:8" x14ac:dyDescent="0.25">
      <c r="F54" s="32">
        <v>46356</v>
      </c>
      <c r="G54" t="s">
        <v>607</v>
      </c>
      <c r="H54" t="s">
        <v>643</v>
      </c>
    </row>
    <row r="55" spans="6:8" x14ac:dyDescent="0.25">
      <c r="F55" s="32">
        <v>46364</v>
      </c>
      <c r="G55" t="s">
        <v>608</v>
      </c>
      <c r="H55" t="s">
        <v>598</v>
      </c>
    </row>
    <row r="56" spans="6:8" x14ac:dyDescent="0.25">
      <c r="F56" s="32">
        <v>46367</v>
      </c>
      <c r="G56" t="s">
        <v>609</v>
      </c>
      <c r="H56" t="s">
        <v>642</v>
      </c>
    </row>
    <row r="57" spans="6:8" x14ac:dyDescent="0.25">
      <c r="F57" s="32">
        <v>46381</v>
      </c>
      <c r="G57" t="s">
        <v>610</v>
      </c>
      <c r="H57" t="s">
        <v>598</v>
      </c>
    </row>
  </sheetData>
  <mergeCells count="1">
    <mergeCell ref="A1:C1"/>
  </mergeCells>
  <conditionalFormatting sqref="A2:A10 A12:A45">
    <cfRule type="cellIs" dxfId="27" priority="41" operator="equal">
      <formula>"A"</formula>
    </cfRule>
    <cfRule type="timePeriod" dxfId="26" priority="42" timePeriod="yesterday">
      <formula>FLOOR(A2,1)=TODAY()-1</formula>
    </cfRule>
  </conditionalFormatting>
  <conditionalFormatting sqref="A12:A45 A2:A10">
    <cfRule type="duplicateValues" dxfId="25" priority="43"/>
  </conditionalFormatting>
  <conditionalFormatting sqref="A12:A1048576 A1:A10">
    <cfRule type="duplicateValues" dxfId="24" priority="34"/>
  </conditionalFormatting>
  <conditionalFormatting sqref="F1:F1048576 A12:A1048576 A1:A10">
    <cfRule type="duplicateValues" dxfId="23" priority="30"/>
  </conditionalFormatting>
  <conditionalFormatting sqref="F1:F1048576">
    <cfRule type="cellIs" dxfId="22" priority="1" operator="equal">
      <formula>"A"</formula>
    </cfRule>
    <cfRule type="timePeriod" dxfId="21" priority="2" timePeriod="yesterday">
      <formula>FLOOR(F1,1)=TODAY()-1</formula>
    </cfRule>
    <cfRule type="duplicateValues" dxfId="20" priority="3"/>
    <cfRule type="duplicateValues" dxfId="19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EM55"/>
  <sheetViews>
    <sheetView topLeftCell="A3" zoomScale="115" zoomScaleNormal="115" workbookViewId="0">
      <pane xSplit="5" ySplit="2" topLeftCell="F5" activePane="bottomRight" state="frozen"/>
      <selection activeCell="A3" sqref="A3"/>
      <selection pane="topRight" activeCell="F3" sqref="F3"/>
      <selection pane="bottomLeft" activeCell="A4" sqref="A4"/>
      <selection pane="bottomRight" activeCell="F8" sqref="F8"/>
    </sheetView>
  </sheetViews>
  <sheetFormatPr baseColWidth="10" defaultColWidth="9.140625" defaultRowHeight="15" x14ac:dyDescent="0.25"/>
  <cols>
    <col min="1" max="1" width="9.42578125" bestFit="1" customWidth="1"/>
    <col min="2" max="2" width="4.85546875" customWidth="1"/>
    <col min="3" max="3" width="28.7109375" customWidth="1"/>
    <col min="4" max="4" width="9.7109375" style="24" bestFit="1" customWidth="1"/>
    <col min="5" max="5" width="6.140625" style="24" bestFit="1" customWidth="1"/>
    <col min="6" max="7" width="3.7109375" style="113" bestFit="1" customWidth="1"/>
    <col min="8" max="11" width="9.28515625" style="113" customWidth="1"/>
    <col min="12" max="12" width="27.85546875" style="113" customWidth="1"/>
    <col min="13" max="13" width="4.42578125" style="113" bestFit="1" customWidth="1"/>
    <col min="14" max="16" width="3.7109375" style="113" bestFit="1" customWidth="1"/>
    <col min="17" max="35" width="3.7109375" bestFit="1" customWidth="1"/>
    <col min="143" max="143" width="10.7109375" bestFit="1" customWidth="1"/>
  </cols>
  <sheetData>
    <row r="1" spans="1:143" ht="6" customHeight="1" x14ac:dyDescent="0.25"/>
    <row r="2" spans="1:143" s="26" customFormat="1" ht="21" x14ac:dyDescent="0.35">
      <c r="C2" s="29" t="s">
        <v>592</v>
      </c>
      <c r="D2" s="35">
        <f>+AVERAGE(D5:D24)</f>
        <v>0.99</v>
      </c>
      <c r="E2" s="79"/>
      <c r="F2" s="113"/>
      <c r="G2" s="113"/>
      <c r="H2" s="113"/>
      <c r="I2" s="113"/>
      <c r="J2" s="113"/>
      <c r="K2" s="113"/>
      <c r="L2" s="113"/>
      <c r="M2" s="113"/>
      <c r="N2" s="113" t="s">
        <v>590</v>
      </c>
      <c r="O2" s="113"/>
      <c r="P2" s="113"/>
      <c r="Q2" s="27"/>
      <c r="R2" s="27"/>
      <c r="S2" s="123"/>
      <c r="T2" s="123"/>
      <c r="U2" s="123"/>
    </row>
    <row r="3" spans="1:143" s="26" customFormat="1" ht="21.75" thickBot="1" x14ac:dyDescent="0.4">
      <c r="C3" s="29"/>
      <c r="D3" s="35"/>
      <c r="E3" s="79"/>
      <c r="F3" s="113">
        <f>+F48</f>
        <v>0</v>
      </c>
      <c r="G3" s="113">
        <f t="shared" ref="G3:S3" si="0">+G48</f>
        <v>0</v>
      </c>
      <c r="H3" s="113" t="str">
        <f t="shared" si="0"/>
        <v>Moral Social</v>
      </c>
      <c r="I3" s="113">
        <f t="shared" si="0"/>
        <v>0</v>
      </c>
      <c r="J3" s="113" t="str">
        <f t="shared" si="0"/>
        <v>La responsabilidad</v>
      </c>
      <c r="K3" s="113">
        <f t="shared" si="0"/>
        <v>0</v>
      </c>
      <c r="L3" s="113" t="str">
        <f t="shared" si="0"/>
        <v>Elabora un mapa mental de Moral Social  ( Trabajo remitido por WS)</v>
      </c>
      <c r="M3" s="113">
        <f t="shared" si="0"/>
        <v>0</v>
      </c>
      <c r="N3" s="113">
        <f t="shared" si="0"/>
        <v>0</v>
      </c>
      <c r="O3" s="113">
        <f t="shared" si="0"/>
        <v>0</v>
      </c>
      <c r="P3" s="113">
        <f t="shared" si="0"/>
        <v>0</v>
      </c>
      <c r="Q3" s="114">
        <f t="shared" si="0"/>
        <v>0</v>
      </c>
      <c r="R3" s="114">
        <f t="shared" si="0"/>
        <v>0</v>
      </c>
      <c r="S3" s="114">
        <f t="shared" si="0"/>
        <v>0</v>
      </c>
      <c r="T3" s="107"/>
      <c r="U3" s="107"/>
    </row>
    <row r="4" spans="1:143" s="20" customFormat="1" ht="61.5" customHeight="1" thickBot="1" x14ac:dyDescent="0.3">
      <c r="A4" s="30" t="s">
        <v>585</v>
      </c>
      <c r="B4" s="30" t="s">
        <v>983</v>
      </c>
      <c r="C4" s="30" t="s">
        <v>586</v>
      </c>
      <c r="D4" s="31" t="s">
        <v>589</v>
      </c>
      <c r="E4" s="81" t="s">
        <v>717</v>
      </c>
      <c r="F4" s="132">
        <v>46084</v>
      </c>
      <c r="G4" s="132">
        <v>46090</v>
      </c>
      <c r="H4" s="132">
        <v>46097</v>
      </c>
      <c r="I4" s="132">
        <v>46104</v>
      </c>
      <c r="J4" s="132">
        <v>46111</v>
      </c>
      <c r="K4" s="132">
        <v>46118</v>
      </c>
      <c r="L4" s="132">
        <v>46125</v>
      </c>
      <c r="M4" s="132">
        <v>46132</v>
      </c>
      <c r="N4" s="113">
        <v>46139</v>
      </c>
      <c r="O4" s="113">
        <v>46146</v>
      </c>
      <c r="P4" s="113">
        <v>46153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9"/>
      <c r="AS4" s="20" t="s">
        <v>611</v>
      </c>
      <c r="AT4" s="20" t="s">
        <v>595</v>
      </c>
      <c r="AU4" s="20" t="s">
        <v>596</v>
      </c>
      <c r="EM4" s="23">
        <f ca="1">+TODAY()</f>
        <v>46146</v>
      </c>
    </row>
    <row r="5" spans="1:143" ht="15.75" x14ac:dyDescent="0.25">
      <c r="A5" s="8">
        <v>1</v>
      </c>
      <c r="B5" s="8" t="s">
        <v>989</v>
      </c>
      <c r="C5" s="9" t="str">
        <f>+'Datos '!B2</f>
        <v>NAHIARA ARCE</v>
      </c>
      <c r="D5" s="25">
        <f t="shared" ref="D5:D41" si="1">_xlfn.LET(_xlpm.rango, F5:AI5, (COUNTIF(_xlpm.rango, "P") + COUNTIF(_xlpm.rango, "PF")) / (COUNTIF(_xlpm.rango, "P") + COUNTIF(_xlpm.rango, "A") + COUNTIF(_xlpm.rango, "PF")))</f>
        <v>1</v>
      </c>
      <c r="E5" s="80">
        <f t="shared" ref="E5:E41" si="2">COUNTIF(F5:V5,"PF")</f>
        <v>2</v>
      </c>
      <c r="H5" s="113" t="s">
        <v>991</v>
      </c>
      <c r="J5" s="113" t="s">
        <v>716</v>
      </c>
      <c r="L5" s="113" t="s">
        <v>716</v>
      </c>
      <c r="M5" s="113" t="s">
        <v>932</v>
      </c>
      <c r="Q5" s="11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S5">
        <v>46023</v>
      </c>
      <c r="AT5" t="s">
        <v>597</v>
      </c>
      <c r="AU5" t="s">
        <v>598</v>
      </c>
    </row>
    <row r="6" spans="1:143" ht="15.75" x14ac:dyDescent="0.25">
      <c r="A6" s="8">
        <v>2</v>
      </c>
      <c r="B6" s="8" t="s">
        <v>996</v>
      </c>
      <c r="C6" s="9" t="str">
        <f>+'Datos '!B3</f>
        <v>GUADALUPE ARCE</v>
      </c>
      <c r="D6" s="25">
        <f t="shared" si="1"/>
        <v>0.8</v>
      </c>
      <c r="E6" s="80">
        <f t="shared" si="2"/>
        <v>3</v>
      </c>
      <c r="F6" s="113" t="s">
        <v>716</v>
      </c>
      <c r="J6" s="113" t="s">
        <v>716</v>
      </c>
      <c r="L6" s="113" t="s">
        <v>716</v>
      </c>
      <c r="M6" s="113" t="s">
        <v>587</v>
      </c>
      <c r="O6" s="113" t="s">
        <v>993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S6">
        <v>46063</v>
      </c>
      <c r="AT6" t="s">
        <v>612</v>
      </c>
      <c r="AU6" t="s">
        <v>641</v>
      </c>
    </row>
    <row r="7" spans="1:143" ht="15.75" x14ac:dyDescent="0.25">
      <c r="A7" s="8">
        <v>3</v>
      </c>
      <c r="B7" s="8" t="s">
        <v>989</v>
      </c>
      <c r="C7" s="9" t="str">
        <f>+'Datos '!B4</f>
        <v>ALMA AYALA</v>
      </c>
      <c r="D7" s="25">
        <f t="shared" si="1"/>
        <v>1</v>
      </c>
      <c r="E7" s="80">
        <f t="shared" si="2"/>
        <v>4</v>
      </c>
      <c r="H7" s="113" t="s">
        <v>925</v>
      </c>
      <c r="J7" s="113" t="s">
        <v>716</v>
      </c>
      <c r="L7" s="113" t="s">
        <v>716</v>
      </c>
      <c r="M7" s="113" t="s">
        <v>925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S7">
        <v>46076</v>
      </c>
      <c r="AT7" t="s">
        <v>599</v>
      </c>
      <c r="AU7" t="s">
        <v>641</v>
      </c>
    </row>
    <row r="8" spans="1:143" ht="15.75" x14ac:dyDescent="0.25">
      <c r="A8" s="8">
        <v>4</v>
      </c>
      <c r="B8" s="8" t="s">
        <v>931</v>
      </c>
      <c r="C8" s="9" t="str">
        <f>+'Datos '!B5</f>
        <v>GUADALUPE BARRETO</v>
      </c>
      <c r="D8" s="25">
        <f t="shared" si="1"/>
        <v>1</v>
      </c>
      <c r="E8" s="80">
        <f t="shared" si="2"/>
        <v>3</v>
      </c>
      <c r="F8" s="113" t="s">
        <v>716</v>
      </c>
      <c r="G8" s="113" t="s">
        <v>587</v>
      </c>
      <c r="H8" s="113" t="s">
        <v>716</v>
      </c>
      <c r="I8" s="113" t="s">
        <v>990</v>
      </c>
      <c r="J8" s="113" t="s">
        <v>928</v>
      </c>
      <c r="L8" s="113" t="s">
        <v>716</v>
      </c>
      <c r="M8" s="113" t="s">
        <v>926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S8">
        <v>46077</v>
      </c>
      <c r="AT8" t="s">
        <v>617</v>
      </c>
      <c r="AU8" t="s">
        <v>644</v>
      </c>
    </row>
    <row r="9" spans="1:143" ht="15.75" x14ac:dyDescent="0.25">
      <c r="A9" s="8">
        <v>5</v>
      </c>
      <c r="B9" s="8" t="s">
        <v>989</v>
      </c>
      <c r="C9" s="9" t="str">
        <f>+'Datos '!B6</f>
        <v>LUIS BARRIOS</v>
      </c>
      <c r="D9" s="25">
        <f t="shared" si="1"/>
        <v>1</v>
      </c>
      <c r="E9" s="80">
        <f t="shared" si="2"/>
        <v>4</v>
      </c>
      <c r="I9" s="113" t="s">
        <v>716</v>
      </c>
      <c r="J9" s="113" t="s">
        <v>716</v>
      </c>
      <c r="L9" s="113" t="s">
        <v>716</v>
      </c>
      <c r="M9" s="113" t="s">
        <v>716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S9">
        <v>46082</v>
      </c>
      <c r="AT9" t="s">
        <v>600</v>
      </c>
      <c r="AU9" t="s">
        <v>598</v>
      </c>
    </row>
    <row r="10" spans="1:143" ht="15.75" x14ac:dyDescent="0.25">
      <c r="A10" s="8">
        <v>6</v>
      </c>
      <c r="B10" s="8" t="s">
        <v>931</v>
      </c>
      <c r="C10" s="9" t="str">
        <f>+'Datos '!B7</f>
        <v>LUANA BENITEZ</v>
      </c>
      <c r="D10" s="25">
        <f t="shared" si="1"/>
        <v>1</v>
      </c>
      <c r="E10" s="80">
        <f t="shared" si="2"/>
        <v>3</v>
      </c>
      <c r="H10" s="113" t="s">
        <v>716</v>
      </c>
      <c r="J10" s="113" t="s">
        <v>716</v>
      </c>
      <c r="L10" s="113" t="s">
        <v>716</v>
      </c>
      <c r="M10" s="113" t="s">
        <v>932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S10">
        <v>46082</v>
      </c>
      <c r="AT10" t="s">
        <v>618</v>
      </c>
      <c r="AU10" t="s">
        <v>644</v>
      </c>
    </row>
    <row r="11" spans="1:143" ht="15.75" x14ac:dyDescent="0.25">
      <c r="A11" s="8">
        <v>7</v>
      </c>
      <c r="B11" s="8" t="s">
        <v>931</v>
      </c>
      <c r="C11" s="9" t="str">
        <f>+'Datos '!B8</f>
        <v>CARLOS CABALLERO</v>
      </c>
      <c r="D11" s="25">
        <f t="shared" si="1"/>
        <v>1</v>
      </c>
      <c r="E11" s="80">
        <f t="shared" si="2"/>
        <v>2</v>
      </c>
      <c r="H11" s="113" t="s">
        <v>716</v>
      </c>
      <c r="J11" s="113" t="s">
        <v>984</v>
      </c>
      <c r="L11" s="113" t="s">
        <v>716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S11">
        <v>46102</v>
      </c>
      <c r="AT11" t="s">
        <v>619</v>
      </c>
      <c r="AU11" t="s">
        <v>644</v>
      </c>
    </row>
    <row r="12" spans="1:143" ht="15.75" x14ac:dyDescent="0.25">
      <c r="A12" s="8">
        <v>8</v>
      </c>
      <c r="B12" s="8" t="s">
        <v>931</v>
      </c>
      <c r="C12" s="9" t="str">
        <f>+'Datos '!B9</f>
        <v>THAIS CACERES</v>
      </c>
      <c r="D12" s="25">
        <f t="shared" si="1"/>
        <v>1</v>
      </c>
      <c r="E12" s="80">
        <f t="shared" si="2"/>
        <v>3</v>
      </c>
      <c r="H12" s="113" t="s">
        <v>925</v>
      </c>
      <c r="J12" s="113" t="s">
        <v>925</v>
      </c>
      <c r="L12" s="113" t="s">
        <v>716</v>
      </c>
      <c r="M12" s="113" t="s">
        <v>926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S12">
        <v>46114</v>
      </c>
      <c r="AT12" t="s">
        <v>613</v>
      </c>
      <c r="AU12" t="s">
        <v>598</v>
      </c>
    </row>
    <row r="13" spans="1:143" ht="15.75" x14ac:dyDescent="0.25">
      <c r="A13" s="8">
        <v>9</v>
      </c>
      <c r="B13" s="8" t="s">
        <v>931</v>
      </c>
      <c r="C13" s="9" t="str">
        <f>+'Datos '!B10</f>
        <v>MAXIMO DIAZ</v>
      </c>
      <c r="D13" s="25">
        <f t="shared" si="1"/>
        <v>1</v>
      </c>
      <c r="E13" s="80">
        <f t="shared" si="2"/>
        <v>2</v>
      </c>
      <c r="H13" s="113" t="s">
        <v>932</v>
      </c>
      <c r="J13" s="113" t="s">
        <v>716</v>
      </c>
      <c r="L13" s="113" t="s">
        <v>716</v>
      </c>
      <c r="M13" s="113" t="s">
        <v>932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S13">
        <v>46115</v>
      </c>
      <c r="AT13" t="s">
        <v>614</v>
      </c>
      <c r="AU13" t="s">
        <v>598</v>
      </c>
    </row>
    <row r="14" spans="1:143" ht="15.75" x14ac:dyDescent="0.25">
      <c r="A14" s="8">
        <v>10</v>
      </c>
      <c r="B14" s="8" t="s">
        <v>931</v>
      </c>
      <c r="C14" s="9" t="str">
        <f>+'Datos '!B11</f>
        <v>BASTTIAN ESTIGARRIBIA</v>
      </c>
      <c r="D14" s="25">
        <f t="shared" si="1"/>
        <v>1</v>
      </c>
      <c r="E14" s="80">
        <f t="shared" si="2"/>
        <v>4</v>
      </c>
      <c r="H14" s="113" t="s">
        <v>716</v>
      </c>
      <c r="J14" s="113" t="s">
        <v>716</v>
      </c>
      <c r="L14" s="113" t="s">
        <v>716</v>
      </c>
      <c r="M14" s="113" t="s">
        <v>716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S14">
        <v>46135</v>
      </c>
      <c r="AT14" t="s">
        <v>620</v>
      </c>
      <c r="AU14" t="s">
        <v>644</v>
      </c>
    </row>
    <row r="15" spans="1:143" ht="15.75" x14ac:dyDescent="0.25">
      <c r="A15" s="8">
        <v>11</v>
      </c>
      <c r="B15" s="8" t="s">
        <v>931</v>
      </c>
      <c r="C15" s="9" t="str">
        <f>+'Datos '!B12</f>
        <v>IVONNE FERNANDEZ</v>
      </c>
      <c r="D15" s="25">
        <f t="shared" si="1"/>
        <v>1</v>
      </c>
      <c r="E15" s="80">
        <f t="shared" si="2"/>
        <v>4</v>
      </c>
      <c r="H15" s="113" t="s">
        <v>716</v>
      </c>
      <c r="J15" s="113" t="s">
        <v>716</v>
      </c>
      <c r="L15" s="113" t="s">
        <v>716</v>
      </c>
      <c r="M15" s="113" t="s">
        <v>716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S15">
        <v>46138</v>
      </c>
      <c r="AT15" t="s">
        <v>621</v>
      </c>
      <c r="AU15" t="s">
        <v>644</v>
      </c>
    </row>
    <row r="16" spans="1:143" ht="15.75" x14ac:dyDescent="0.25">
      <c r="A16" s="8">
        <v>12</v>
      </c>
      <c r="B16" s="8" t="s">
        <v>931</v>
      </c>
      <c r="C16" s="9" t="str">
        <f>+'Datos '!B13</f>
        <v>EMILIA FERNANDEZ</v>
      </c>
      <c r="D16" s="25">
        <f t="shared" si="1"/>
        <v>1</v>
      </c>
      <c r="E16" s="80">
        <f t="shared" si="2"/>
        <v>2</v>
      </c>
      <c r="H16" s="113" t="s">
        <v>932</v>
      </c>
      <c r="J16" s="113" t="s">
        <v>716</v>
      </c>
      <c r="L16" s="113" t="s">
        <v>716</v>
      </c>
      <c r="M16" s="113" t="s">
        <v>932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S16">
        <v>46142</v>
      </c>
      <c r="AT16" t="s">
        <v>622</v>
      </c>
      <c r="AU16" t="s">
        <v>644</v>
      </c>
    </row>
    <row r="17" spans="1:47" ht="15.75" x14ac:dyDescent="0.25">
      <c r="A17" s="8">
        <v>13</v>
      </c>
      <c r="B17" s="8" t="s">
        <v>931</v>
      </c>
      <c r="C17" s="9" t="str">
        <f>+'Datos '!B14</f>
        <v>TAMARA FLORENTIN</v>
      </c>
      <c r="D17" s="25">
        <f t="shared" si="1"/>
        <v>1</v>
      </c>
      <c r="E17" s="80">
        <f t="shared" si="2"/>
        <v>3</v>
      </c>
      <c r="I17" s="113" t="s">
        <v>716</v>
      </c>
      <c r="J17" s="113" t="s">
        <v>716</v>
      </c>
      <c r="K17" s="113" t="s">
        <v>716</v>
      </c>
      <c r="L17" s="113" t="s">
        <v>932</v>
      </c>
      <c r="M17" s="113" t="s">
        <v>932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S17">
        <v>46143</v>
      </c>
      <c r="AT17" t="s">
        <v>601</v>
      </c>
      <c r="AU17" t="s">
        <v>598</v>
      </c>
    </row>
    <row r="18" spans="1:47" ht="15.75" x14ac:dyDescent="0.25">
      <c r="A18" s="8">
        <v>14</v>
      </c>
      <c r="B18" s="8" t="s">
        <v>931</v>
      </c>
      <c r="C18" s="9" t="str">
        <f>+'Datos '!B15</f>
        <v>AYLEN FLORENTIN</v>
      </c>
      <c r="D18" s="25">
        <f t="shared" si="1"/>
        <v>1</v>
      </c>
      <c r="E18" s="80">
        <f t="shared" si="2"/>
        <v>4</v>
      </c>
      <c r="H18" s="113" t="s">
        <v>716</v>
      </c>
      <c r="J18" s="113" t="s">
        <v>716</v>
      </c>
      <c r="L18" s="113" t="s">
        <v>716</v>
      </c>
      <c r="M18" s="113" t="s">
        <v>716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S18">
        <v>46156</v>
      </c>
      <c r="AT18" t="s">
        <v>602</v>
      </c>
      <c r="AU18" t="s">
        <v>598</v>
      </c>
    </row>
    <row r="19" spans="1:47" ht="15.75" x14ac:dyDescent="0.25">
      <c r="A19" s="8">
        <v>15</v>
      </c>
      <c r="B19" s="8" t="s">
        <v>931</v>
      </c>
      <c r="C19" s="9" t="str">
        <f>+'Datos '!B16</f>
        <v>PAULA FRANCO</v>
      </c>
      <c r="D19" s="25">
        <f t="shared" si="1"/>
        <v>1</v>
      </c>
      <c r="E19" s="80">
        <f t="shared" si="2"/>
        <v>3</v>
      </c>
      <c r="H19" s="113" t="s">
        <v>716</v>
      </c>
      <c r="J19" s="113" t="s">
        <v>716</v>
      </c>
      <c r="L19" s="113" t="s">
        <v>716</v>
      </c>
      <c r="M19" s="113" t="s">
        <v>926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S19">
        <v>46156</v>
      </c>
      <c r="AT19" t="s">
        <v>639</v>
      </c>
      <c r="AU19" t="s">
        <v>644</v>
      </c>
    </row>
    <row r="20" spans="1:47" ht="15.75" x14ac:dyDescent="0.25">
      <c r="A20" s="8">
        <v>16</v>
      </c>
      <c r="B20" s="8" t="s">
        <v>931</v>
      </c>
      <c r="C20" s="9" t="str">
        <f>+'Datos '!B17</f>
        <v>JEANELLY GAONA</v>
      </c>
      <c r="D20" s="25">
        <f t="shared" si="1"/>
        <v>1</v>
      </c>
      <c r="E20" s="80">
        <f t="shared" si="2"/>
        <v>3</v>
      </c>
      <c r="H20" s="113" t="s">
        <v>925</v>
      </c>
      <c r="J20" s="113" t="s">
        <v>925</v>
      </c>
      <c r="L20" s="113" t="s">
        <v>716</v>
      </c>
      <c r="M20" s="113" t="s">
        <v>932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S20">
        <v>46157</v>
      </c>
      <c r="AT20" t="s">
        <v>602</v>
      </c>
      <c r="AU20" t="s">
        <v>598</v>
      </c>
    </row>
    <row r="21" spans="1:47" ht="15.75" x14ac:dyDescent="0.25">
      <c r="A21" s="8">
        <v>17</v>
      </c>
      <c r="B21" s="8" t="s">
        <v>989</v>
      </c>
      <c r="C21" s="9" t="str">
        <f>+'Datos '!B18</f>
        <v>LUANA GAONA</v>
      </c>
      <c r="D21" s="25">
        <f t="shared" si="1"/>
        <v>1</v>
      </c>
      <c r="E21" s="80">
        <f t="shared" si="2"/>
        <v>3</v>
      </c>
      <c r="H21" s="113" t="s">
        <v>716</v>
      </c>
      <c r="J21" s="113" t="s">
        <v>716</v>
      </c>
      <c r="L21" s="113" t="s">
        <v>716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S21">
        <v>46157</v>
      </c>
      <c r="AT21" t="s">
        <v>602</v>
      </c>
      <c r="AU21" t="s">
        <v>644</v>
      </c>
    </row>
    <row r="22" spans="1:47" ht="15.75" x14ac:dyDescent="0.25">
      <c r="A22" s="8">
        <v>18</v>
      </c>
      <c r="B22" s="8" t="s">
        <v>931</v>
      </c>
      <c r="C22" s="9" t="str">
        <f>+'Datos '!B19</f>
        <v>ABIGAIL GARCIA</v>
      </c>
      <c r="D22" s="25">
        <f t="shared" si="1"/>
        <v>1</v>
      </c>
      <c r="E22" s="80">
        <f t="shared" si="2"/>
        <v>3</v>
      </c>
      <c r="H22" s="113" t="s">
        <v>925</v>
      </c>
      <c r="J22" s="113" t="s">
        <v>925</v>
      </c>
      <c r="L22" s="113" t="s">
        <v>716</v>
      </c>
      <c r="M22" s="113" t="s">
        <v>926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S22">
        <v>46171</v>
      </c>
      <c r="AT22" t="s">
        <v>623</v>
      </c>
      <c r="AU22" t="s">
        <v>644</v>
      </c>
    </row>
    <row r="23" spans="1:47" ht="15.75" x14ac:dyDescent="0.25">
      <c r="A23" s="8">
        <v>19</v>
      </c>
      <c r="B23" s="8" t="s">
        <v>931</v>
      </c>
      <c r="C23" s="9" t="str">
        <f>+'Datos '!B20</f>
        <v>LAUTARO GARCIA</v>
      </c>
      <c r="D23" s="25">
        <f t="shared" si="1"/>
        <v>1</v>
      </c>
      <c r="E23" s="80">
        <f t="shared" si="2"/>
        <v>2</v>
      </c>
      <c r="L23" s="113" t="s">
        <v>716</v>
      </c>
      <c r="M23" s="113" t="s">
        <v>716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S23">
        <v>46185</v>
      </c>
      <c r="AT23" t="s">
        <v>603</v>
      </c>
      <c r="AU23" t="s">
        <v>598</v>
      </c>
    </row>
    <row r="24" spans="1:47" ht="15.75" x14ac:dyDescent="0.25">
      <c r="A24" s="8">
        <v>20</v>
      </c>
      <c r="B24" s="8" t="s">
        <v>931</v>
      </c>
      <c r="C24" s="9" t="str">
        <f>+'Datos '!B21</f>
        <v>SANTIAGO GIMENEZ</v>
      </c>
      <c r="D24" s="25">
        <f t="shared" si="1"/>
        <v>1</v>
      </c>
      <c r="E24" s="80">
        <f t="shared" si="2"/>
        <v>3</v>
      </c>
      <c r="H24" s="113" t="s">
        <v>925</v>
      </c>
      <c r="J24" s="113" t="s">
        <v>925</v>
      </c>
      <c r="L24" s="113" t="s">
        <v>716</v>
      </c>
      <c r="M24" s="113" t="s">
        <v>932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S24">
        <v>46185</v>
      </c>
      <c r="AT24" t="s">
        <v>624</v>
      </c>
      <c r="AU24" t="s">
        <v>645</v>
      </c>
    </row>
    <row r="25" spans="1:47" ht="15.75" x14ac:dyDescent="0.25">
      <c r="A25" s="8">
        <v>21</v>
      </c>
      <c r="B25" s="8" t="s">
        <v>931</v>
      </c>
      <c r="C25" s="9" t="str">
        <f>+'Datos '!B22</f>
        <v>SANTIAGO GIRETT</v>
      </c>
      <c r="D25" s="25">
        <f t="shared" si="1"/>
        <v>1</v>
      </c>
      <c r="E25" s="80">
        <f t="shared" si="2"/>
        <v>4</v>
      </c>
      <c r="H25" s="113" t="s">
        <v>716</v>
      </c>
      <c r="J25" s="113" t="s">
        <v>925</v>
      </c>
      <c r="K25" s="113" t="s">
        <v>925</v>
      </c>
      <c r="L25" s="113" t="s">
        <v>716</v>
      </c>
      <c r="M25" s="113" t="s">
        <v>985</v>
      </c>
      <c r="AS25">
        <v>46192</v>
      </c>
      <c r="AT25" t="s">
        <v>625</v>
      </c>
      <c r="AU25" t="s">
        <v>638</v>
      </c>
    </row>
    <row r="26" spans="1:47" ht="15.75" x14ac:dyDescent="0.25">
      <c r="A26" s="8">
        <v>22</v>
      </c>
      <c r="B26" s="8" t="s">
        <v>989</v>
      </c>
      <c r="C26" s="9" t="str">
        <f>+'Datos '!B23</f>
        <v>FREDY GOMEZ</v>
      </c>
      <c r="D26" s="25">
        <f t="shared" si="1"/>
        <v>1</v>
      </c>
      <c r="E26" s="80">
        <f t="shared" si="2"/>
        <v>0</v>
      </c>
      <c r="H26" s="113" t="s">
        <v>587</v>
      </c>
      <c r="J26" s="113" t="s">
        <v>587</v>
      </c>
      <c r="L26" s="113" t="s">
        <v>587</v>
      </c>
      <c r="M26" s="113" t="s">
        <v>587</v>
      </c>
      <c r="R26" t="s">
        <v>992</v>
      </c>
      <c r="AS26">
        <v>46216</v>
      </c>
      <c r="AT26" t="s">
        <v>615</v>
      </c>
      <c r="AU26" t="s">
        <v>640</v>
      </c>
    </row>
    <row r="27" spans="1:47" ht="15.75" x14ac:dyDescent="0.25">
      <c r="A27" s="8">
        <v>23</v>
      </c>
      <c r="B27" s="8" t="s">
        <v>931</v>
      </c>
      <c r="C27" s="9" t="str">
        <f>+'Datos '!B24</f>
        <v>BETHANIA GONZALEZ</v>
      </c>
      <c r="D27" s="25">
        <f t="shared" si="1"/>
        <v>1</v>
      </c>
      <c r="E27" s="80">
        <f t="shared" si="2"/>
        <v>3</v>
      </c>
      <c r="H27" s="113" t="s">
        <v>925</v>
      </c>
      <c r="J27" s="113" t="s">
        <v>986</v>
      </c>
      <c r="K27" s="113" t="s">
        <v>985</v>
      </c>
      <c r="L27" s="113" t="s">
        <v>716</v>
      </c>
      <c r="M27" s="113" t="s">
        <v>925</v>
      </c>
      <c r="AS27">
        <v>46217</v>
      </c>
      <c r="AT27" t="s">
        <v>615</v>
      </c>
      <c r="AU27" t="s">
        <v>640</v>
      </c>
    </row>
    <row r="28" spans="1:47" ht="15.75" x14ac:dyDescent="0.25">
      <c r="A28" s="8">
        <v>24</v>
      </c>
      <c r="B28" s="8" t="s">
        <v>989</v>
      </c>
      <c r="C28" s="9" t="str">
        <f>+'Datos '!B25</f>
        <v>SHEYLA IRALA</v>
      </c>
      <c r="D28" s="25">
        <f t="shared" si="1"/>
        <v>1</v>
      </c>
      <c r="E28" s="80">
        <f t="shared" si="2"/>
        <v>3</v>
      </c>
      <c r="H28" s="113" t="s">
        <v>587</v>
      </c>
      <c r="I28" s="113" t="s">
        <v>925</v>
      </c>
      <c r="K28" s="113" t="s">
        <v>716</v>
      </c>
      <c r="L28" s="113" t="s">
        <v>716</v>
      </c>
      <c r="AS28">
        <v>46218</v>
      </c>
      <c r="AT28" t="s">
        <v>615</v>
      </c>
      <c r="AU28" t="s">
        <v>640</v>
      </c>
    </row>
    <row r="29" spans="1:47" ht="15.75" x14ac:dyDescent="0.25">
      <c r="A29" s="8">
        <v>25</v>
      </c>
      <c r="B29" s="8" t="s">
        <v>931</v>
      </c>
      <c r="C29" s="133" t="str">
        <f>+'Datos '!B26</f>
        <v>BRAHIAN JARA</v>
      </c>
      <c r="D29" s="25">
        <f t="shared" si="1"/>
        <v>1</v>
      </c>
      <c r="E29" s="80">
        <f t="shared" si="2"/>
        <v>1</v>
      </c>
      <c r="F29" s="113" t="s">
        <v>986</v>
      </c>
      <c r="H29" s="113" t="s">
        <v>986</v>
      </c>
      <c r="J29" s="113" t="s">
        <v>986</v>
      </c>
      <c r="L29" s="113" t="s">
        <v>716</v>
      </c>
      <c r="M29" s="113" t="s">
        <v>986</v>
      </c>
      <c r="O29" s="113" t="s">
        <v>986</v>
      </c>
      <c r="AS29">
        <v>46219</v>
      </c>
      <c r="AT29" t="s">
        <v>615</v>
      </c>
      <c r="AU29" t="s">
        <v>640</v>
      </c>
    </row>
    <row r="30" spans="1:47" ht="15.75" x14ac:dyDescent="0.25">
      <c r="A30" s="8">
        <v>26</v>
      </c>
      <c r="B30" s="8" t="s">
        <v>931</v>
      </c>
      <c r="C30" s="9" t="str">
        <f>+'Datos '!B27</f>
        <v>JOSIAS MARTINEZ</v>
      </c>
      <c r="D30" s="25">
        <f t="shared" si="1"/>
        <v>1</v>
      </c>
      <c r="E30" s="80">
        <f t="shared" si="2"/>
        <v>2</v>
      </c>
      <c r="H30" s="113" t="s">
        <v>984</v>
      </c>
      <c r="J30" s="113" t="s">
        <v>984</v>
      </c>
      <c r="L30" s="113" t="s">
        <v>716</v>
      </c>
      <c r="M30" s="113" t="s">
        <v>716</v>
      </c>
      <c r="AS30">
        <v>46220</v>
      </c>
      <c r="AT30" t="s">
        <v>615</v>
      </c>
      <c r="AU30" t="s">
        <v>640</v>
      </c>
    </row>
    <row r="31" spans="1:47" ht="15.75" x14ac:dyDescent="0.25">
      <c r="A31" s="8">
        <v>27</v>
      </c>
      <c r="B31" s="8" t="s">
        <v>931</v>
      </c>
      <c r="C31" s="9" t="str">
        <f>+'Datos '!B28</f>
        <v>KARINA NOTARIO</v>
      </c>
      <c r="D31" s="25">
        <f>_xlfn.LET(_xlpm.rango, F31:AI31,
  _xlpm.presentes, COUNTIF(_xlpm.rango, "P") + COUNTIF(_xlpm.rango, "PF") + COUNTIF(_xlpm.rango, "PFC"),
  _xlpm.total, _xlpm.presentes + COUNTIF(_xlpm.rango, "A"),
  _xlpm.presentes / _xlpm.total
)</f>
        <v>1</v>
      </c>
      <c r="E31" s="80">
        <f t="shared" si="2"/>
        <v>1</v>
      </c>
      <c r="H31" s="113" t="s">
        <v>932</v>
      </c>
      <c r="L31" s="113" t="s">
        <v>716</v>
      </c>
      <c r="AS31">
        <v>46221</v>
      </c>
      <c r="AT31" t="s">
        <v>615</v>
      </c>
      <c r="AU31" t="s">
        <v>640</v>
      </c>
    </row>
    <row r="32" spans="1:47" ht="15.75" x14ac:dyDescent="0.25">
      <c r="A32" s="8">
        <v>28</v>
      </c>
      <c r="B32" s="8" t="s">
        <v>931</v>
      </c>
      <c r="C32" s="9" t="str">
        <f>+'Datos '!B29</f>
        <v>SAMIRA PARDO</v>
      </c>
      <c r="D32" s="25">
        <f t="shared" si="1"/>
        <v>0.66666666666666663</v>
      </c>
      <c r="E32" s="80">
        <f t="shared" si="2"/>
        <v>2</v>
      </c>
      <c r="K32" s="113" t="s">
        <v>987</v>
      </c>
      <c r="L32" s="113" t="s">
        <v>716</v>
      </c>
      <c r="M32" s="113" t="s">
        <v>716</v>
      </c>
      <c r="O32" s="113" t="s">
        <v>993</v>
      </c>
      <c r="AS32">
        <v>46222</v>
      </c>
      <c r="AT32" t="s">
        <v>615</v>
      </c>
      <c r="AU32" t="s">
        <v>640</v>
      </c>
    </row>
    <row r="33" spans="1:47" ht="15.75" x14ac:dyDescent="0.25">
      <c r="A33" s="8">
        <v>29</v>
      </c>
      <c r="B33" s="8" t="s">
        <v>931</v>
      </c>
      <c r="C33" s="9" t="str">
        <f>+'Datos '!B30</f>
        <v>JONATHAN PINHO</v>
      </c>
      <c r="D33" s="25">
        <f t="shared" si="1"/>
        <v>1</v>
      </c>
      <c r="E33" s="80">
        <f t="shared" si="2"/>
        <v>3</v>
      </c>
      <c r="H33" s="113" t="s">
        <v>587</v>
      </c>
      <c r="K33" s="113" t="s">
        <v>925</v>
      </c>
      <c r="L33" s="113" t="s">
        <v>716</v>
      </c>
      <c r="M33" s="113" t="s">
        <v>716</v>
      </c>
      <c r="AS33">
        <v>46223</v>
      </c>
      <c r="AT33" t="s">
        <v>615</v>
      </c>
      <c r="AU33" t="s">
        <v>640</v>
      </c>
    </row>
    <row r="34" spans="1:47" ht="15.75" x14ac:dyDescent="0.25">
      <c r="A34" s="8">
        <v>30</v>
      </c>
      <c r="B34" s="8" t="s">
        <v>995</v>
      </c>
      <c r="C34" s="9" t="str">
        <f>+'Datos '!B31</f>
        <v>LUCERO QUIÑONEZ</v>
      </c>
      <c r="D34" s="25">
        <f t="shared" si="1"/>
        <v>0.5</v>
      </c>
      <c r="E34" s="80">
        <f t="shared" si="2"/>
        <v>1</v>
      </c>
      <c r="L34" s="113" t="s">
        <v>716</v>
      </c>
      <c r="O34" s="113" t="s">
        <v>993</v>
      </c>
      <c r="AS34">
        <v>46224</v>
      </c>
      <c r="AT34" t="s">
        <v>615</v>
      </c>
      <c r="AU34" t="s">
        <v>640</v>
      </c>
    </row>
    <row r="35" spans="1:47" ht="15.75" x14ac:dyDescent="0.25">
      <c r="A35" s="8">
        <v>31</v>
      </c>
      <c r="B35" s="8" t="s">
        <v>989</v>
      </c>
      <c r="C35" s="9" t="str">
        <f>+'Datos '!B32</f>
        <v>ALEXIS RECALDE</v>
      </c>
      <c r="D35" s="25">
        <f t="shared" si="1"/>
        <v>1</v>
      </c>
      <c r="E35" s="80">
        <f t="shared" si="2"/>
        <v>0</v>
      </c>
      <c r="H35" s="113" t="s">
        <v>986</v>
      </c>
      <c r="J35" s="113" t="s">
        <v>986</v>
      </c>
      <c r="L35" s="113" t="s">
        <v>986</v>
      </c>
      <c r="AS35">
        <v>46225</v>
      </c>
      <c r="AT35" t="s">
        <v>615</v>
      </c>
      <c r="AU35" t="s">
        <v>640</v>
      </c>
    </row>
    <row r="36" spans="1:47" ht="15.75" x14ac:dyDescent="0.25">
      <c r="A36" s="8">
        <v>32</v>
      </c>
      <c r="B36" s="8" t="s">
        <v>931</v>
      </c>
      <c r="C36" s="9" t="str">
        <f>+'Datos '!B33</f>
        <v>VANIA ROA</v>
      </c>
      <c r="D36" s="25">
        <f t="shared" si="1"/>
        <v>1</v>
      </c>
      <c r="E36" s="80">
        <f t="shared" si="2"/>
        <v>1</v>
      </c>
      <c r="H36" s="113" t="s">
        <v>925</v>
      </c>
      <c r="J36" s="113" t="s">
        <v>986</v>
      </c>
      <c r="K36" s="113" t="s">
        <v>985</v>
      </c>
      <c r="L36" s="113" t="s">
        <v>986</v>
      </c>
      <c r="AS36">
        <v>46226</v>
      </c>
      <c r="AT36" t="s">
        <v>615</v>
      </c>
      <c r="AU36" t="s">
        <v>640</v>
      </c>
    </row>
    <row r="37" spans="1:47" ht="15.75" x14ac:dyDescent="0.25">
      <c r="A37" s="8">
        <v>33</v>
      </c>
      <c r="B37" s="8" t="s">
        <v>995</v>
      </c>
      <c r="C37" s="9" t="str">
        <f>+'Datos '!B34</f>
        <v>JOSIAS ROLON</v>
      </c>
      <c r="D37" s="25">
        <f t="shared" si="1"/>
        <v>1</v>
      </c>
      <c r="E37" s="80">
        <f t="shared" si="2"/>
        <v>1</v>
      </c>
      <c r="L37" s="113" t="s">
        <v>716</v>
      </c>
      <c r="Q37" t="s">
        <v>994</v>
      </c>
      <c r="AS37">
        <v>46227</v>
      </c>
      <c r="AT37" t="s">
        <v>616</v>
      </c>
      <c r="AU37" t="s">
        <v>640</v>
      </c>
    </row>
    <row r="38" spans="1:47" ht="15.75" x14ac:dyDescent="0.25">
      <c r="A38" s="8">
        <v>34</v>
      </c>
      <c r="B38" s="8" t="s">
        <v>931</v>
      </c>
      <c r="C38" s="9" t="str">
        <f>+'Datos '!B35</f>
        <v>HEIDY ROMERO</v>
      </c>
      <c r="D38" s="25">
        <f t="shared" si="1"/>
        <v>1</v>
      </c>
      <c r="E38" s="80">
        <f t="shared" si="2"/>
        <v>4</v>
      </c>
      <c r="H38" s="113" t="s">
        <v>716</v>
      </c>
      <c r="J38" s="113" t="s">
        <v>716</v>
      </c>
      <c r="L38" s="113" t="s">
        <v>716</v>
      </c>
      <c r="M38" s="113" t="s">
        <v>716</v>
      </c>
      <c r="AS38">
        <v>46227</v>
      </c>
      <c r="AT38" t="s">
        <v>626</v>
      </c>
      <c r="AU38" t="s">
        <v>644</v>
      </c>
    </row>
    <row r="39" spans="1:47" ht="15.75" x14ac:dyDescent="0.25">
      <c r="A39" s="8">
        <v>35</v>
      </c>
      <c r="B39" s="8" t="s">
        <v>931</v>
      </c>
      <c r="C39" s="9" t="str">
        <f>+'Datos '!B36</f>
        <v>LAURA ROUSSILLON</v>
      </c>
      <c r="D39" s="25">
        <f>_xlfn.LET(_xlpm.rango, F31:AI31,
  _xlpm.presentes, COUNTIF(_xlpm.rango, "P") + COUNTIF(_xlpm.rango, "PF") + COUNTIF(_xlpm.rango, "PFC"),
  _xlpm.total, _xlpm.presentes + COUNTIF(_xlpm.rango, "A"),
  _xlpm.presentes / _xlpm.total
)</f>
        <v>1</v>
      </c>
      <c r="E39" s="80">
        <f t="shared" si="2"/>
        <v>2</v>
      </c>
      <c r="H39" s="113" t="s">
        <v>716</v>
      </c>
      <c r="L39" s="113" t="s">
        <v>716</v>
      </c>
      <c r="M39" s="113" t="s">
        <v>932</v>
      </c>
      <c r="AS39">
        <v>46233</v>
      </c>
      <c r="AT39" t="s">
        <v>627</v>
      </c>
      <c r="AU39" t="s">
        <v>644</v>
      </c>
    </row>
    <row r="40" spans="1:47" ht="15.75" x14ac:dyDescent="0.25">
      <c r="A40" s="8">
        <v>36</v>
      </c>
      <c r="B40" s="8" t="s">
        <v>931</v>
      </c>
      <c r="C40" s="9" t="str">
        <f>+'Datos '!B37</f>
        <v>CHRISTOPHER SALCEDO</v>
      </c>
      <c r="D40" s="25" t="e">
        <f t="shared" si="1"/>
        <v>#DIV/0!</v>
      </c>
      <c r="E40" s="80">
        <f t="shared" si="2"/>
        <v>0</v>
      </c>
      <c r="L40" s="113" t="s">
        <v>932</v>
      </c>
      <c r="M40" s="113" t="s">
        <v>932</v>
      </c>
      <c r="AS40">
        <v>46248</v>
      </c>
      <c r="AT40" t="s">
        <v>628</v>
      </c>
      <c r="AU40" t="s">
        <v>644</v>
      </c>
    </row>
    <row r="41" spans="1:47" ht="15.75" x14ac:dyDescent="0.25">
      <c r="A41" s="8">
        <v>37</v>
      </c>
      <c r="B41" s="8" t="s">
        <v>931</v>
      </c>
      <c r="C41" s="9" t="str">
        <f>+'Datos '!B38</f>
        <v>ALEX SAMANIEGO</v>
      </c>
      <c r="D41" s="25">
        <f t="shared" si="1"/>
        <v>1</v>
      </c>
      <c r="E41" s="80">
        <f t="shared" si="2"/>
        <v>4</v>
      </c>
      <c r="H41" s="113" t="s">
        <v>925</v>
      </c>
      <c r="J41" s="113" t="s">
        <v>925</v>
      </c>
      <c r="K41" s="113" t="s">
        <v>925</v>
      </c>
      <c r="L41" s="113" t="s">
        <v>716</v>
      </c>
      <c r="M41" s="113" t="s">
        <v>926</v>
      </c>
      <c r="AS41">
        <v>46249</v>
      </c>
      <c r="AT41" t="s">
        <v>605</v>
      </c>
      <c r="AU41" t="s">
        <v>598</v>
      </c>
    </row>
    <row r="42" spans="1:47" ht="15.75" x14ac:dyDescent="0.25">
      <c r="A42" s="8">
        <v>38</v>
      </c>
      <c r="B42" s="8" t="s">
        <v>931</v>
      </c>
      <c r="C42" s="9" t="str">
        <f>+'Datos '!B39</f>
        <v>ROBERT SANCHEZ</v>
      </c>
      <c r="D42" s="25">
        <f t="shared" ref="D42:D46" si="3">_xlfn.LET(_xlpm.rango, F42:AI42, (COUNTIF(_xlpm.rango, "P") + COUNTIF(_xlpm.rango, "PF")) / (COUNTIF(_xlpm.rango, "P") + COUNTIF(_xlpm.rango, "A") + COUNTIF(_xlpm.rango, "PF")))</f>
        <v>1</v>
      </c>
      <c r="E42" s="80">
        <f t="shared" ref="E42:E46" si="4">COUNTIF(F42:V42,"PF")</f>
        <v>1</v>
      </c>
      <c r="H42" s="113" t="s">
        <v>587</v>
      </c>
      <c r="I42" s="113" t="s">
        <v>587</v>
      </c>
      <c r="J42" s="113" t="s">
        <v>716</v>
      </c>
      <c r="M42" s="113" t="s">
        <v>932</v>
      </c>
      <c r="AS42">
        <v>46249</v>
      </c>
      <c r="AT42" t="s">
        <v>629</v>
      </c>
      <c r="AU42" t="s">
        <v>644</v>
      </c>
    </row>
    <row r="43" spans="1:47" ht="15.75" x14ac:dyDescent="0.25">
      <c r="A43" s="8">
        <v>39</v>
      </c>
      <c r="B43" s="8" t="s">
        <v>989</v>
      </c>
      <c r="C43" s="9" t="str">
        <f>+'Datos '!B40</f>
        <v>MARIA SANTA</v>
      </c>
      <c r="D43" s="25">
        <f t="shared" si="3"/>
        <v>0.14285714285714285</v>
      </c>
      <c r="E43" s="80">
        <f t="shared" si="4"/>
        <v>1</v>
      </c>
      <c r="F43" s="113" t="s">
        <v>588</v>
      </c>
      <c r="G43" s="113" t="s">
        <v>588</v>
      </c>
      <c r="H43" s="113" t="s">
        <v>588</v>
      </c>
      <c r="I43" s="113" t="s">
        <v>978</v>
      </c>
      <c r="J43" s="113" t="s">
        <v>588</v>
      </c>
      <c r="K43" s="113" t="s">
        <v>588</v>
      </c>
      <c r="L43" s="113" t="s">
        <v>716</v>
      </c>
      <c r="O43" s="113" t="s">
        <v>993</v>
      </c>
      <c r="AS43">
        <v>46250</v>
      </c>
      <c r="AT43" t="s">
        <v>630</v>
      </c>
      <c r="AU43" t="s">
        <v>644</v>
      </c>
    </row>
    <row r="44" spans="1:47" ht="15.75" x14ac:dyDescent="0.25">
      <c r="A44" s="8">
        <v>40</v>
      </c>
      <c r="B44" s="8" t="s">
        <v>931</v>
      </c>
      <c r="C44" s="9" t="str">
        <f>+'Datos '!B41</f>
        <v>FREDY SILVA</v>
      </c>
      <c r="D44" s="25" t="e">
        <f t="shared" si="3"/>
        <v>#DIV/0!</v>
      </c>
      <c r="E44" s="80">
        <f t="shared" si="4"/>
        <v>0</v>
      </c>
      <c r="H44" s="113" t="s">
        <v>932</v>
      </c>
      <c r="J44" s="113" t="s">
        <v>932</v>
      </c>
      <c r="L44" s="113" t="s">
        <v>932</v>
      </c>
      <c r="M44" s="113" t="s">
        <v>932</v>
      </c>
      <c r="AS44">
        <v>46256</v>
      </c>
      <c r="AT44" t="s">
        <v>631</v>
      </c>
      <c r="AU44" t="s">
        <v>644</v>
      </c>
    </row>
    <row r="45" spans="1:47" ht="15.75" x14ac:dyDescent="0.25">
      <c r="A45" s="8">
        <v>41</v>
      </c>
      <c r="B45" s="8" t="s">
        <v>931</v>
      </c>
      <c r="C45" s="9" t="str">
        <f>+'Datos '!B42</f>
        <v>LIZZIE VERA</v>
      </c>
      <c r="D45" s="25">
        <f t="shared" si="3"/>
        <v>1</v>
      </c>
      <c r="E45" s="80">
        <f t="shared" si="4"/>
        <v>1</v>
      </c>
      <c r="H45" s="113" t="s">
        <v>716</v>
      </c>
      <c r="J45" s="113" t="s">
        <v>932</v>
      </c>
      <c r="L45" s="113" t="s">
        <v>932</v>
      </c>
      <c r="M45" s="113" t="s">
        <v>932</v>
      </c>
      <c r="AS45">
        <v>46259</v>
      </c>
      <c r="AT45" t="s">
        <v>632</v>
      </c>
      <c r="AU45" t="s">
        <v>644</v>
      </c>
    </row>
    <row r="46" spans="1:47" ht="15.75" x14ac:dyDescent="0.25">
      <c r="A46" s="8">
        <v>42</v>
      </c>
      <c r="B46" s="8" t="s">
        <v>931</v>
      </c>
      <c r="C46" s="9" t="str">
        <f>+'Datos '!B43</f>
        <v>JONATHAN VILLASANTI</v>
      </c>
      <c r="D46" s="25">
        <f t="shared" si="3"/>
        <v>0.16666666666666666</v>
      </c>
      <c r="E46" s="80">
        <f t="shared" si="4"/>
        <v>1</v>
      </c>
      <c r="F46" s="113" t="s">
        <v>588</v>
      </c>
      <c r="G46" s="113" t="s">
        <v>588</v>
      </c>
      <c r="H46" s="113" t="s">
        <v>588</v>
      </c>
      <c r="I46" s="113" t="s">
        <v>978</v>
      </c>
      <c r="J46" s="113" t="s">
        <v>588</v>
      </c>
      <c r="K46" s="113" t="s">
        <v>588</v>
      </c>
      <c r="L46" s="113" t="s">
        <v>716</v>
      </c>
      <c r="AS46">
        <v>46286</v>
      </c>
      <c r="AT46" t="s">
        <v>633</v>
      </c>
      <c r="AU46" t="s">
        <v>638</v>
      </c>
    </row>
    <row r="47" spans="1:47" ht="15.75" x14ac:dyDescent="0.25">
      <c r="A47" s="8">
        <v>43</v>
      </c>
      <c r="B47" s="8" t="s">
        <v>989</v>
      </c>
      <c r="C47" s="9" t="str">
        <f>+'Datos '!B44</f>
        <v>THIAGO DUARTE</v>
      </c>
      <c r="D47" s="25">
        <f t="shared" ref="D47" si="5">_xlfn.LET(_xlpm.rango, F47:AI47, (COUNTIF(_xlpm.rango, "P") + COUNTIF(_xlpm.rango, "PF")) / (COUNTIF(_xlpm.rango, "P") + COUNTIF(_xlpm.rango, "A") + COUNTIF(_xlpm.rango, "PF")))</f>
        <v>1</v>
      </c>
      <c r="E47" s="80">
        <f t="shared" ref="E47" si="6">COUNTIF(F47:V47,"PF")</f>
        <v>3</v>
      </c>
      <c r="H47" s="113" t="s">
        <v>716</v>
      </c>
      <c r="L47" s="113" t="s">
        <v>716</v>
      </c>
      <c r="M47" s="113" t="s">
        <v>716</v>
      </c>
      <c r="AS47">
        <v>46287</v>
      </c>
      <c r="AT47" t="s">
        <v>633</v>
      </c>
      <c r="AU47" t="s">
        <v>638</v>
      </c>
    </row>
    <row r="48" spans="1:47" x14ac:dyDescent="0.25">
      <c r="H48" s="113" t="s">
        <v>973</v>
      </c>
      <c r="J48" s="113" t="s">
        <v>974</v>
      </c>
      <c r="L48" s="113" t="s">
        <v>976</v>
      </c>
      <c r="AS48">
        <v>46294</v>
      </c>
      <c r="AT48" t="s">
        <v>634</v>
      </c>
      <c r="AU48" t="s">
        <v>644</v>
      </c>
    </row>
    <row r="49" spans="8:47" x14ac:dyDescent="0.25">
      <c r="H49" s="113" t="s">
        <v>716</v>
      </c>
      <c r="I49" s="113" t="s">
        <v>981</v>
      </c>
      <c r="AS49">
        <v>46307</v>
      </c>
      <c r="AT49" t="s">
        <v>635</v>
      </c>
      <c r="AU49" t="s">
        <v>644</v>
      </c>
    </row>
    <row r="50" spans="8:47" x14ac:dyDescent="0.25">
      <c r="H50" s="113" t="s">
        <v>977</v>
      </c>
      <c r="I50" s="113" t="s">
        <v>980</v>
      </c>
      <c r="AS50">
        <v>46318</v>
      </c>
      <c r="AT50" t="s">
        <v>636</v>
      </c>
      <c r="AU50" t="s">
        <v>644</v>
      </c>
    </row>
    <row r="51" spans="8:47" x14ac:dyDescent="0.25">
      <c r="H51" s="113" t="s">
        <v>587</v>
      </c>
      <c r="I51" s="113" t="s">
        <v>979</v>
      </c>
      <c r="AS51">
        <v>46351</v>
      </c>
      <c r="AT51" t="s">
        <v>637</v>
      </c>
      <c r="AU51" t="s">
        <v>644</v>
      </c>
    </row>
    <row r="52" spans="8:47" x14ac:dyDescent="0.25">
      <c r="H52" s="113" t="s">
        <v>588</v>
      </c>
      <c r="I52" s="113" t="s">
        <v>978</v>
      </c>
      <c r="AS52">
        <v>46356</v>
      </c>
      <c r="AT52" t="s">
        <v>607</v>
      </c>
      <c r="AU52" t="s">
        <v>643</v>
      </c>
    </row>
    <row r="53" spans="8:47" x14ac:dyDescent="0.25">
      <c r="J53" s="113" t="s">
        <v>932</v>
      </c>
      <c r="L53" s="113" t="s">
        <v>932</v>
      </c>
      <c r="AS53">
        <v>46364</v>
      </c>
      <c r="AT53" t="s">
        <v>608</v>
      </c>
      <c r="AU53" t="s">
        <v>598</v>
      </c>
    </row>
    <row r="54" spans="8:47" x14ac:dyDescent="0.25">
      <c r="AS54">
        <v>46367</v>
      </c>
      <c r="AT54" t="s">
        <v>609</v>
      </c>
      <c r="AU54" t="s">
        <v>642</v>
      </c>
    </row>
    <row r="55" spans="8:47" x14ac:dyDescent="0.25">
      <c r="AS55">
        <v>46381</v>
      </c>
      <c r="AT55" t="s">
        <v>610</v>
      </c>
      <c r="AU55" t="s">
        <v>598</v>
      </c>
    </row>
  </sheetData>
  <autoFilter ref="A1:O55" xr:uid="{00000000-0001-0000-0000-000000000000}"/>
  <mergeCells count="1">
    <mergeCell ref="S2:U2"/>
  </mergeCells>
  <conditionalFormatting sqref="AT4:XFD4 AS1:AS1048576 A4:AR4">
    <cfRule type="duplicateValues" dxfId="18" priority="15"/>
  </conditionalFormatting>
  <conditionalFormatting sqref="A4:XFD4">
    <cfRule type="timePeriod" dxfId="17" priority="22" timePeriod="yesterday">
      <formula>FLOOR(A4,1)=TODAY()-1</formula>
    </cfRule>
  </conditionalFormatting>
  <conditionalFormatting sqref="D2:E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4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 W4:AH4 F5:AI5 F25:J25 L25 F26:L47 F49:H49 L49 F50:L50 F51:H51 J51:L51 F52:L1048576 F4:L24 M4:U4">
    <cfRule type="cellIs" dxfId="16" priority="17" operator="equal">
      <formula>"A"</formula>
    </cfRule>
  </conditionalFormatting>
  <conditionalFormatting sqref="F5:AI5 N6:AI24 F1:P1048576">
    <cfRule type="cellIs" dxfId="15" priority="16" operator="equal">
      <formula>"PF"</formula>
    </cfRule>
  </conditionalFormatting>
  <conditionalFormatting sqref="Q2:R2 N6:AI24 F1:P1048576">
    <cfRule type="cellIs" dxfId="14" priority="20" operator="equal">
      <formula>"A"</formula>
    </cfRule>
  </conditionalFormatting>
  <conditionalFormatting sqref="F1:P1048576">
    <cfRule type="cellIs" dxfId="13" priority="1" operator="equal">
      <formula>"A"</formula>
    </cfRule>
  </conditionalFormatting>
  <conditionalFormatting sqref="K17">
    <cfRule type="cellIs" dxfId="12" priority="4" operator="equal">
      <formula>"A"</formula>
    </cfRule>
  </conditionalFormatting>
  <conditionalFormatting sqref="M10">
    <cfRule type="cellIs" dxfId="11" priority="11" operator="equal">
      <formula>"A"</formula>
    </cfRule>
  </conditionalFormatting>
  <conditionalFormatting sqref="M15:M18">
    <cfRule type="cellIs" dxfId="10" priority="3" operator="equal">
      <formula>"A"</formula>
    </cfRule>
  </conditionalFormatting>
  <conditionalFormatting sqref="M38">
    <cfRule type="cellIs" dxfId="9" priority="2" operator="equal">
      <formula>"A"</formula>
    </cfRule>
  </conditionalFormatting>
  <conditionalFormatting sqref="M40">
    <cfRule type="cellIs" dxfId="8" priority="12" operator="equal">
      <formula>"A"</formula>
    </cfRule>
  </conditionalFormatting>
  <conditionalFormatting sqref="M42">
    <cfRule type="cellIs" dxfId="7" priority="10" operator="equal">
      <formula>"A"</formula>
    </cfRule>
  </conditionalFormatting>
  <conditionalFormatting sqref="M44:M45">
    <cfRule type="cellIs" dxfId="6" priority="6" operator="equal">
      <formula>"A"</formula>
    </cfRule>
  </conditionalFormatting>
  <conditionalFormatting sqref="Q2:S2 A2:B3 K2 M2:N2 G2:H2 V2:XFD3 D4:XFD4">
    <cfRule type="duplicateValues" dxfId="5" priority="27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CCDF-4C0A-41EE-8145-2AEDAC77B7B7}">
  <dimension ref="A1:AA23"/>
  <sheetViews>
    <sheetView topLeftCell="J1" workbookViewId="0">
      <selection activeCell="C2" sqref="C2:AA2"/>
    </sheetView>
  </sheetViews>
  <sheetFormatPr baseColWidth="10" defaultColWidth="9.140625" defaultRowHeight="15" x14ac:dyDescent="0.25"/>
  <cols>
    <col min="1" max="1" width="3" bestFit="1" customWidth="1"/>
    <col min="2" max="2" width="41.140625" bestFit="1" customWidth="1"/>
    <col min="3" max="5" width="11.42578125" customWidth="1"/>
    <col min="6" max="6" width="12.7109375" customWidth="1"/>
    <col min="7" max="12" width="11.42578125" customWidth="1"/>
    <col min="13" max="13" width="10.140625" bestFit="1" customWidth="1"/>
    <col min="14" max="14" width="14.28515625" customWidth="1"/>
    <col min="15" max="15" width="10.140625" bestFit="1" customWidth="1"/>
    <col min="16" max="16" width="8.140625" bestFit="1" customWidth="1"/>
    <col min="17" max="17" width="11.28515625" bestFit="1" customWidth="1"/>
    <col min="18" max="18" width="10.28515625" bestFit="1" customWidth="1"/>
    <col min="19" max="19" width="11.42578125" customWidth="1"/>
    <col min="20" max="20" width="7.7109375" bestFit="1" customWidth="1"/>
    <col min="21" max="21" width="7.5703125" bestFit="1" customWidth="1"/>
    <col min="22" max="22" width="8.5703125" bestFit="1" customWidth="1"/>
    <col min="23" max="23" width="7.42578125" bestFit="1" customWidth="1"/>
    <col min="24" max="24" width="8.140625" bestFit="1" customWidth="1"/>
    <col min="26" max="26" width="8.28515625" bestFit="1" customWidth="1"/>
  </cols>
  <sheetData>
    <row r="1" spans="1:27" ht="15.75" customHeight="1" x14ac:dyDescent="0.25">
      <c r="C1" s="124"/>
      <c r="D1" s="124"/>
      <c r="E1" s="124"/>
      <c r="F1" s="124"/>
      <c r="G1" s="124"/>
      <c r="H1" s="124"/>
      <c r="I1" s="49"/>
      <c r="J1" s="125"/>
      <c r="K1" s="125"/>
      <c r="L1" s="125"/>
      <c r="M1" s="125"/>
      <c r="N1" s="126"/>
      <c r="O1" s="126"/>
      <c r="P1" s="126"/>
      <c r="Q1" s="126"/>
      <c r="R1" s="125"/>
      <c r="S1" s="125"/>
      <c r="T1" s="125"/>
      <c r="U1" s="125"/>
    </row>
    <row r="2" spans="1:27" s="52" customFormat="1" ht="69" customHeight="1" x14ac:dyDescent="0.2">
      <c r="A2" s="50" t="s">
        <v>20</v>
      </c>
      <c r="B2" s="50" t="s">
        <v>21</v>
      </c>
      <c r="C2" s="106" t="s">
        <v>757</v>
      </c>
      <c r="D2" s="106" t="s">
        <v>761</v>
      </c>
      <c r="E2" s="106" t="s">
        <v>768</v>
      </c>
      <c r="F2" s="106" t="s">
        <v>772</v>
      </c>
      <c r="G2" s="106" t="s">
        <v>779</v>
      </c>
      <c r="H2" s="106" t="s">
        <v>783</v>
      </c>
      <c r="I2" s="106" t="s">
        <v>789</v>
      </c>
      <c r="J2" s="105" t="s">
        <v>793</v>
      </c>
      <c r="K2" s="105" t="s">
        <v>795</v>
      </c>
      <c r="L2" s="105" t="s">
        <v>801</v>
      </c>
      <c r="M2" s="105" t="s">
        <v>806</v>
      </c>
      <c r="N2" s="105" t="s">
        <v>813</v>
      </c>
      <c r="O2" s="105" t="s">
        <v>817</v>
      </c>
      <c r="P2" s="105" t="s">
        <v>822</v>
      </c>
      <c r="Q2" s="105" t="s">
        <v>826</v>
      </c>
      <c r="R2" s="105" t="s">
        <v>833</v>
      </c>
      <c r="S2" s="105" t="s">
        <v>838</v>
      </c>
      <c r="T2" s="105" t="s">
        <v>845</v>
      </c>
      <c r="U2" s="105" t="s">
        <v>849</v>
      </c>
      <c r="V2" s="105" t="s">
        <v>857</v>
      </c>
      <c r="W2" s="105" t="s">
        <v>859</v>
      </c>
      <c r="X2" s="105" t="s">
        <v>864</v>
      </c>
      <c r="Y2" s="105" t="s">
        <v>869</v>
      </c>
      <c r="Z2" s="105" t="s">
        <v>875</v>
      </c>
      <c r="AA2" s="105" t="s">
        <v>878</v>
      </c>
    </row>
    <row r="3" spans="1:27" x14ac:dyDescent="0.25">
      <c r="A3" s="10">
        <v>1</v>
      </c>
      <c r="B3" s="10" t="str">
        <f>+'03-ASISTENCIA'!C4</f>
        <v>Apellido/s Nombre/s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2"/>
    </row>
    <row r="4" spans="1:27" x14ac:dyDescent="0.25">
      <c r="A4" s="10">
        <v>2</v>
      </c>
      <c r="B4" s="10" t="str">
        <f>+'03-ASISTENCIA'!C5</f>
        <v>NAHIARA ARCE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"/>
    </row>
    <row r="5" spans="1:27" x14ac:dyDescent="0.25">
      <c r="A5" s="10">
        <v>3</v>
      </c>
      <c r="B5" s="10" t="str">
        <f>+'03-ASISTENCIA'!C6</f>
        <v>GUADALUPE ARCE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"/>
    </row>
    <row r="6" spans="1:27" x14ac:dyDescent="0.25">
      <c r="A6" s="10">
        <v>4</v>
      </c>
      <c r="B6" s="10" t="str">
        <f>+'03-ASISTENCIA'!C7</f>
        <v>ALMA AYALA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"/>
    </row>
    <row r="7" spans="1:27" x14ac:dyDescent="0.25">
      <c r="A7" s="10">
        <v>5</v>
      </c>
      <c r="B7" s="10" t="str">
        <f>+'03-ASISTENCIA'!C8</f>
        <v>GUADALUPE BARRETO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2"/>
    </row>
    <row r="8" spans="1:27" x14ac:dyDescent="0.25">
      <c r="A8" s="10">
        <v>6</v>
      </c>
      <c r="B8" s="10" t="str">
        <f>+'03-ASISTENCIA'!C9</f>
        <v>LUIS BARRIOS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2"/>
    </row>
    <row r="9" spans="1:27" x14ac:dyDescent="0.25">
      <c r="A9" s="10">
        <v>7</v>
      </c>
      <c r="B9" s="10" t="str">
        <f>+'03-ASISTENCIA'!C10</f>
        <v>LUANA BENITEZ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2"/>
    </row>
    <row r="10" spans="1:27" x14ac:dyDescent="0.25">
      <c r="A10" s="10">
        <v>8</v>
      </c>
      <c r="B10" s="10" t="str">
        <f>+'03-ASISTENCIA'!C11</f>
        <v>CARLOS CABALLERO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2"/>
    </row>
    <row r="11" spans="1:27" x14ac:dyDescent="0.25">
      <c r="A11" s="10">
        <v>9</v>
      </c>
      <c r="B11" s="10" t="str">
        <f>+'03-ASISTENCIA'!C12</f>
        <v>THAIS CACERES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2"/>
    </row>
    <row r="12" spans="1:27" x14ac:dyDescent="0.25">
      <c r="A12" s="10">
        <v>10</v>
      </c>
      <c r="B12" s="10" t="str">
        <f>+'03-ASISTENCIA'!C13</f>
        <v>MAXIMO DIAZ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2"/>
    </row>
    <row r="13" spans="1:27" x14ac:dyDescent="0.25">
      <c r="A13" s="10">
        <v>11</v>
      </c>
      <c r="B13" s="10" t="str">
        <f>+'03-ASISTENCIA'!C14</f>
        <v>BASTTIAN ESTIGARRIBIA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2"/>
    </row>
    <row r="14" spans="1:27" x14ac:dyDescent="0.25">
      <c r="A14" s="10">
        <v>12</v>
      </c>
      <c r="B14" s="10" t="str">
        <f>+'03-ASISTENCIA'!C15</f>
        <v>IVONNE FERNANDEZ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2"/>
    </row>
    <row r="15" spans="1:27" x14ac:dyDescent="0.25">
      <c r="A15" s="10">
        <v>13</v>
      </c>
      <c r="B15" s="10" t="str">
        <f>+'03-ASISTENCIA'!C16</f>
        <v>EMILIA FERNANDEZ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2"/>
    </row>
    <row r="16" spans="1:27" x14ac:dyDescent="0.25">
      <c r="A16" s="10">
        <v>14</v>
      </c>
      <c r="B16" s="10" t="str">
        <f>+'03-ASISTENCIA'!C17</f>
        <v>TAMARA FLORENTIN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2"/>
    </row>
    <row r="17" spans="1:27" x14ac:dyDescent="0.25">
      <c r="A17" s="10">
        <v>15</v>
      </c>
      <c r="B17" s="10" t="str">
        <f>+'03-ASISTENCIA'!C18</f>
        <v>AYLEN FLORENTIN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2"/>
    </row>
    <row r="18" spans="1:27" x14ac:dyDescent="0.25">
      <c r="A18" s="10">
        <v>16</v>
      </c>
      <c r="B18" s="10" t="str">
        <f>+'03-ASISTENCIA'!C19</f>
        <v>PAULA FRANCO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10">
        <v>17</v>
      </c>
      <c r="B19" s="10" t="str">
        <f>+'03-ASISTENCIA'!C20</f>
        <v>JEANELLY GAONA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10">
        <v>18</v>
      </c>
      <c r="B20" s="10" t="str">
        <f>+'03-ASISTENCIA'!C21</f>
        <v>LUANA GAONA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10">
        <v>19</v>
      </c>
      <c r="B21" s="10" t="str">
        <f>+'03-ASISTENCIA'!C22</f>
        <v>ABIGAIL GARCIA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10">
        <v>20</v>
      </c>
      <c r="B22" s="10" t="str">
        <f>+'03-ASISTENCIA'!C23</f>
        <v>LAUTARO GARCIA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10">
        <v>21</v>
      </c>
      <c r="B23" s="10" t="str">
        <f>+'03-ASISTENCIA'!C24</f>
        <v>SANTIAGO GIMENEZ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</sheetData>
  <mergeCells count="5">
    <mergeCell ref="C1:H1"/>
    <mergeCell ref="J1:M1"/>
    <mergeCell ref="N1:Q1"/>
    <mergeCell ref="R1:S1"/>
    <mergeCell ref="T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007E-D5C4-4A85-8416-D6DB67D02372}">
  <dimension ref="A1:F12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1" width="3.140625" customWidth="1"/>
    <col min="2" max="2" width="26.5703125" bestFit="1" customWidth="1"/>
    <col min="3" max="3" width="24.42578125" customWidth="1"/>
    <col min="4" max="4" width="50.140625" customWidth="1"/>
    <col min="5" max="5" width="32.7109375" bestFit="1" customWidth="1"/>
    <col min="6" max="6" width="42.140625" bestFit="1" customWidth="1"/>
  </cols>
  <sheetData>
    <row r="1" spans="1:6" x14ac:dyDescent="0.25">
      <c r="A1" s="127" t="s">
        <v>719</v>
      </c>
      <c r="B1" s="127"/>
    </row>
    <row r="2" spans="1:6" x14ac:dyDescent="0.25">
      <c r="B2" t="s">
        <v>584</v>
      </c>
      <c r="C2" t="s">
        <v>720</v>
      </c>
      <c r="D2" t="s">
        <v>721</v>
      </c>
      <c r="E2" t="s">
        <v>736</v>
      </c>
      <c r="F2" t="s">
        <v>732</v>
      </c>
    </row>
    <row r="3" spans="1:6" x14ac:dyDescent="0.25">
      <c r="B3" s="91">
        <v>46146</v>
      </c>
      <c r="C3" t="s">
        <v>997</v>
      </c>
      <c r="D3" t="s">
        <v>998</v>
      </c>
      <c r="E3" t="str">
        <f>+VLOOKUP(D3,indicadores,3,0)</f>
        <v>Alerta/Mejora</v>
      </c>
      <c r="F3" t="str">
        <f t="shared" ref="F3:F12" si="0">+VLOOKUP(D3,indicadores,4,0)</f>
        <v>Socio-Emocional</v>
      </c>
    </row>
    <row r="4" spans="1:6" x14ac:dyDescent="0.25">
      <c r="F4" t="e">
        <f t="shared" si="0"/>
        <v>#N/A</v>
      </c>
    </row>
    <row r="5" spans="1:6" x14ac:dyDescent="0.25">
      <c r="F5" t="e">
        <f t="shared" si="0"/>
        <v>#N/A</v>
      </c>
    </row>
    <row r="6" spans="1:6" x14ac:dyDescent="0.25">
      <c r="F6" t="e">
        <f t="shared" si="0"/>
        <v>#N/A</v>
      </c>
    </row>
    <row r="7" spans="1:6" x14ac:dyDescent="0.25">
      <c r="F7" t="e">
        <f t="shared" si="0"/>
        <v>#N/A</v>
      </c>
    </row>
    <row r="8" spans="1:6" x14ac:dyDescent="0.25">
      <c r="F8" t="e">
        <f t="shared" si="0"/>
        <v>#N/A</v>
      </c>
    </row>
    <row r="9" spans="1:6" x14ac:dyDescent="0.25">
      <c r="F9" t="e">
        <f t="shared" si="0"/>
        <v>#N/A</v>
      </c>
    </row>
    <row r="10" spans="1:6" x14ac:dyDescent="0.25">
      <c r="F10" t="e">
        <f t="shared" si="0"/>
        <v>#N/A</v>
      </c>
    </row>
    <row r="11" spans="1:6" x14ac:dyDescent="0.25">
      <c r="F11" t="e">
        <f t="shared" si="0"/>
        <v>#N/A</v>
      </c>
    </row>
    <row r="12" spans="1:6" x14ac:dyDescent="0.25">
      <c r="F12" t="e">
        <f t="shared" si="0"/>
        <v>#N/A</v>
      </c>
    </row>
  </sheetData>
  <mergeCells count="1">
    <mergeCell ref="A1:B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79E5C6-FC4A-4E98-BD0C-822392E5E69C}">
          <x14:formula1>
            <xm:f>'Datos '!$B$1:$B$21</xm:f>
          </x14:formula1>
          <xm:sqref>C3</xm:sqref>
        </x14:dataValidation>
        <x14:dataValidation type="list" allowBlank="1" showInputMessage="1" showErrorMessage="1" xr:uid="{9B8D3483-4B9E-4DDC-BD0E-EDB037539F2E}">
          <x14:formula1>
            <xm:f>'08- INDICADORES AC'!$B$1:$B$52</xm:f>
          </x14:formula1>
          <xm:sqref>D3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1D36-A029-4EEB-95CC-AC2289FAE0B1}">
  <dimension ref="B3:I12"/>
  <sheetViews>
    <sheetView showGridLines="0" workbookViewId="0">
      <selection activeCell="G15" sqref="G15"/>
    </sheetView>
  </sheetViews>
  <sheetFormatPr baseColWidth="10" defaultRowHeight="15" x14ac:dyDescent="0.25"/>
  <cols>
    <col min="2" max="2" width="17.5703125" bestFit="1" customWidth="1"/>
    <col min="3" max="3" width="17" bestFit="1" customWidth="1"/>
    <col min="5" max="5" width="17.85546875" bestFit="1" customWidth="1"/>
    <col min="6" max="6" width="13.7109375" bestFit="1" customWidth="1"/>
    <col min="7" max="8" width="12.5703125" bestFit="1" customWidth="1"/>
  </cols>
  <sheetData>
    <row r="3" spans="2:9" x14ac:dyDescent="0.25">
      <c r="B3" s="94" t="s">
        <v>737</v>
      </c>
      <c r="C3" t="s">
        <v>741</v>
      </c>
      <c r="E3" s="94" t="s">
        <v>743</v>
      </c>
      <c r="F3" s="94" t="s">
        <v>743</v>
      </c>
    </row>
    <row r="4" spans="2:9" x14ac:dyDescent="0.25">
      <c r="B4" s="55" t="s">
        <v>734</v>
      </c>
      <c r="C4">
        <v>1</v>
      </c>
      <c r="E4" s="94" t="s">
        <v>737</v>
      </c>
      <c r="F4" t="s">
        <v>734</v>
      </c>
      <c r="G4" t="s">
        <v>739</v>
      </c>
    </row>
    <row r="5" spans="2:9" x14ac:dyDescent="0.25">
      <c r="B5" s="55" t="s">
        <v>739</v>
      </c>
      <c r="C5">
        <v>1</v>
      </c>
      <c r="E5" s="55" t="s">
        <v>735</v>
      </c>
      <c r="F5">
        <v>1</v>
      </c>
      <c r="G5">
        <v>1</v>
      </c>
    </row>
    <row r="6" spans="2:9" x14ac:dyDescent="0.25">
      <c r="E6" s="55" t="s">
        <v>739</v>
      </c>
      <c r="F6">
        <v>1</v>
      </c>
      <c r="G6">
        <v>1</v>
      </c>
    </row>
    <row r="8" spans="2:9" x14ac:dyDescent="0.25">
      <c r="B8" s="94" t="s">
        <v>737</v>
      </c>
      <c r="C8" t="s">
        <v>742</v>
      </c>
    </row>
    <row r="9" spans="2:9" x14ac:dyDescent="0.25">
      <c r="B9" s="55" t="s">
        <v>739</v>
      </c>
    </row>
    <row r="12" spans="2:9" x14ac:dyDescent="0.25">
      <c r="I12" s="90">
        <v>46136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883B-638C-42E7-873B-7FA5041F6F13}">
  <dimension ref="A1:EL24"/>
  <sheetViews>
    <sheetView workbookViewId="0">
      <selection activeCell="L4" sqref="L4"/>
    </sheetView>
  </sheetViews>
  <sheetFormatPr baseColWidth="10" defaultColWidth="9.140625" defaultRowHeight="15" x14ac:dyDescent="0.25"/>
  <cols>
    <col min="1" max="1" width="9.42578125" bestFit="1" customWidth="1"/>
    <col min="2" max="2" width="2.5703125" bestFit="1" customWidth="1"/>
    <col min="3" max="3" width="33.28515625" bestFit="1" customWidth="1"/>
    <col min="4" max="4" width="9.7109375" style="24" bestFit="1" customWidth="1"/>
    <col min="5" max="5" width="6.140625" style="24" bestFit="1" customWidth="1"/>
    <col min="6" max="22" width="5.85546875" style="1" customWidth="1"/>
    <col min="23" max="34" width="3.7109375" bestFit="1" customWidth="1"/>
    <col min="142" max="142" width="10.7109375" bestFit="1" customWidth="1"/>
  </cols>
  <sheetData>
    <row r="1" spans="1:142" ht="6" customHeight="1" x14ac:dyDescent="0.25"/>
    <row r="2" spans="1:142" s="26" customFormat="1" ht="31.5" x14ac:dyDescent="0.35">
      <c r="C2" s="29" t="s">
        <v>592</v>
      </c>
      <c r="D2" s="35">
        <f>+AVERAGE(D5:D24)</f>
        <v>0.99</v>
      </c>
      <c r="E2" s="79"/>
      <c r="F2" s="82"/>
      <c r="G2" s="82"/>
      <c r="H2" s="128"/>
      <c r="I2" s="128"/>
      <c r="J2" s="128"/>
      <c r="K2" s="128"/>
      <c r="L2" s="128"/>
      <c r="M2" s="82"/>
      <c r="N2" s="83" t="s">
        <v>590</v>
      </c>
      <c r="O2" s="82"/>
      <c r="P2" s="82"/>
      <c r="Q2" s="84"/>
      <c r="R2" s="84" t="s">
        <v>591</v>
      </c>
      <c r="S2" s="128">
        <v>2026</v>
      </c>
      <c r="T2" s="128"/>
      <c r="U2" s="128"/>
      <c r="V2" s="82"/>
    </row>
    <row r="3" spans="1:142" s="26" customFormat="1" ht="21.75" thickBot="1" x14ac:dyDescent="0.4">
      <c r="C3" s="29"/>
      <c r="D3" s="35"/>
      <c r="E3" s="79"/>
      <c r="F3" s="82"/>
      <c r="G3" s="82"/>
      <c r="H3" s="85"/>
      <c r="I3" s="85"/>
      <c r="J3" s="85"/>
      <c r="K3" s="85"/>
      <c r="L3" s="85"/>
      <c r="M3" s="82"/>
      <c r="N3" s="83"/>
      <c r="O3" s="82"/>
      <c r="P3" s="82"/>
      <c r="Q3" s="84"/>
      <c r="R3" s="84"/>
      <c r="S3" s="85"/>
      <c r="T3" s="85"/>
      <c r="U3" s="85"/>
      <c r="V3" s="82"/>
    </row>
    <row r="4" spans="1:142" s="20" customFormat="1" ht="120.75" customHeight="1" thickBot="1" x14ac:dyDescent="0.3">
      <c r="A4" s="30" t="s">
        <v>585</v>
      </c>
      <c r="B4" s="30"/>
      <c r="C4" s="30" t="s">
        <v>586</v>
      </c>
      <c r="D4" s="31" t="s">
        <v>589</v>
      </c>
      <c r="E4" s="81" t="s">
        <v>717</v>
      </c>
      <c r="F4" s="57" t="str">
        <f>+'04-RSA'!C2</f>
        <v>- Identifica principios éticos y morales.</v>
      </c>
      <c r="G4" s="57" t="str">
        <f>+'04-RSA'!D2</f>
        <v>- Diferencia moral y moralidad.</v>
      </c>
      <c r="H4" s="57" t="str">
        <f>+'04-RSA'!E2</f>
        <v>- Reconoce problemáticas éticas globales.</v>
      </c>
      <c r="I4" s="57" t="str">
        <f>+'04-RSA'!F2</f>
        <v>- Analiza causas de la mortalidad infantil.</v>
      </c>
      <c r="J4" s="57" t="str">
        <f>+'04-RSA'!G2</f>
        <v>- Valora el código de convivencia.</v>
      </c>
      <c r="K4" s="57" t="str">
        <f>+'04-RSA'!H2</f>
        <v>- Propone normas de respeto mutuo.</v>
      </c>
      <c r="L4" s="57" t="str">
        <f>+'04-RSA'!J2</f>
        <v>- Identifica consecuencias psicológicas.</v>
      </c>
      <c r="M4" s="51" t="str">
        <f>+'04-RSA'!K2</f>
        <v>- Propone acciones de prevención.</v>
      </c>
      <c r="N4" s="51" t="str">
        <f>+'04-RSA'!L2</f>
        <v>- Diferencia mediación de negociación.</v>
      </c>
      <c r="O4" s="51" t="str">
        <f>+'04-RSA'!M2</f>
        <v>- Aplica pasos de la negociación asertiva.</v>
      </c>
      <c r="P4" s="51" t="str">
        <f>+'04-RSA'!N2</f>
        <v>- Define el concepto de canasta básica.</v>
      </c>
      <c r="Q4" s="87" t="str">
        <f>+'04-RSA'!O2</f>
        <v>- Analiza el impacto de la pobreza.</v>
      </c>
      <c r="R4" s="87" t="str">
        <f>+'04-RSA'!P2</f>
        <v>- Identifica tipos de violencia familiar.</v>
      </c>
      <c r="S4" s="87" t="str">
        <f>+'04-RSA'!Q2</f>
        <v>- Conoce rutas de denuncia en Paraguay.</v>
      </c>
      <c r="T4" s="87" t="str">
        <f>+'04-RSA'!R2</f>
        <v>- Explica la universalidad de los derechos.</v>
      </c>
      <c r="U4" s="51" t="str">
        <f>+'04-RSA'!S2</f>
        <v>- Distingue progresividad de irreversibilidad.</v>
      </c>
      <c r="V4" s="51" t="str">
        <f>+'04-RSA'!T2</f>
        <v>- Reconoce formas de explotación infantil.</v>
      </c>
      <c r="W4" s="21" t="str">
        <f>+'04-RSA'!V2</f>
        <v>- Identifica factores de exclusión femenina.</v>
      </c>
      <c r="X4" s="21" t="str">
        <f>+'04-RSA'!W2</f>
        <v>- Propone acciones para la igualdad.</v>
      </c>
      <c r="Y4" s="21" t="str">
        <f>+'04-RSA'!X2</f>
        <v>- Identifica la función tributaria.</v>
      </c>
      <c r="Z4" s="21" t="str">
        <f>+'04-RSA'!Y2</f>
        <v>- Valora la función social de los tributos.</v>
      </c>
      <c r="AA4" s="21" t="str">
        <f>+'04-RSA'!Z2</f>
        <v>- Reconoce funciones del Ministerio de Hacienda.</v>
      </c>
      <c r="AB4" s="21" t="str">
        <f>+'04-RSA'!AA2</f>
        <v>- Diferencia roles de Intendentes y Gobernadores.</v>
      </c>
      <c r="AC4" s="21">
        <f>+'04-RSA'!AB2</f>
        <v>0</v>
      </c>
      <c r="AD4" s="21">
        <f>+'04-RSA'!AC2</f>
        <v>0</v>
      </c>
      <c r="AE4" s="21">
        <f>+'04-RSA'!AD2</f>
        <v>0</v>
      </c>
      <c r="AF4" s="21">
        <f>+'04-RSA'!AE2</f>
        <v>0</v>
      </c>
      <c r="AG4" s="21">
        <f>+'04-RSA'!AF2</f>
        <v>0</v>
      </c>
      <c r="AH4" s="21">
        <f>+'04-RSA'!AG2</f>
        <v>0</v>
      </c>
      <c r="AI4" s="19"/>
      <c r="EL4" s="23">
        <f ca="1">+TODAY()</f>
        <v>46146</v>
      </c>
    </row>
    <row r="5" spans="1:142" ht="15.75" x14ac:dyDescent="0.25">
      <c r="A5" s="8">
        <v>1</v>
      </c>
      <c r="B5" s="8"/>
      <c r="C5" s="9" t="str">
        <f>+'Datos '!B2</f>
        <v>NAHIARA ARCE</v>
      </c>
      <c r="D5" s="25">
        <f>+'03-ASISTENCIA'!D5</f>
        <v>1</v>
      </c>
      <c r="E5" s="80">
        <f>+'03-ASISTENCIA'!E5</f>
        <v>2</v>
      </c>
      <c r="F5" s="86">
        <f>+'04-RSA'!C4</f>
        <v>0</v>
      </c>
      <c r="G5" s="86">
        <f>+'04-RSA'!D4</f>
        <v>0</v>
      </c>
      <c r="H5" s="86">
        <f>+'04-RSA'!E4</f>
        <v>0</v>
      </c>
      <c r="I5" s="86">
        <f>+'04-RSA'!F4</f>
        <v>0</v>
      </c>
      <c r="J5" s="86">
        <f>+'04-RSA'!G4</f>
        <v>0</v>
      </c>
      <c r="K5" s="86">
        <f>+'04-RSA'!H4</f>
        <v>0</v>
      </c>
      <c r="L5" s="86">
        <f>+'04-RSA'!J4</f>
        <v>0</v>
      </c>
      <c r="M5" s="86">
        <f>+'04-RSA'!K4</f>
        <v>0</v>
      </c>
      <c r="N5" s="86">
        <f>+'04-RSA'!L4</f>
        <v>0</v>
      </c>
      <c r="O5" s="86">
        <f>+'04-RSA'!M4</f>
        <v>0</v>
      </c>
      <c r="P5" s="86">
        <f>+'04-RSA'!N4</f>
        <v>0</v>
      </c>
      <c r="Q5" s="86">
        <f>+'04-RSA'!O4</f>
        <v>0</v>
      </c>
      <c r="R5" s="86">
        <f>+'04-RSA'!P4</f>
        <v>0</v>
      </c>
      <c r="S5" s="86">
        <f>+'04-RSA'!Q4</f>
        <v>0</v>
      </c>
      <c r="T5" s="86">
        <f>+'04-RSA'!R4</f>
        <v>0</v>
      </c>
      <c r="U5" s="86">
        <f>+'04-RSA'!S4</f>
        <v>0</v>
      </c>
      <c r="V5" s="86">
        <f>+'04-RSA'!T4</f>
        <v>0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142" ht="15.75" x14ac:dyDescent="0.25">
      <c r="A6" s="8">
        <v>2</v>
      </c>
      <c r="B6" s="8"/>
      <c r="C6" s="9" t="str">
        <f>+'Datos '!B3</f>
        <v>GUADALUPE ARCE</v>
      </c>
      <c r="D6" s="25">
        <f>+'03-ASISTENCIA'!D6</f>
        <v>0.8</v>
      </c>
      <c r="E6" s="80">
        <f>+'03-ASISTENCIA'!E6</f>
        <v>3</v>
      </c>
      <c r="F6" s="86">
        <f>+'04-RSA'!C5</f>
        <v>0</v>
      </c>
      <c r="G6" s="86">
        <f>+'04-RSA'!D5</f>
        <v>0</v>
      </c>
      <c r="H6" s="86">
        <f>+'04-RSA'!E5</f>
        <v>0</v>
      </c>
      <c r="I6" s="86">
        <f>+'04-RSA'!F5</f>
        <v>0</v>
      </c>
      <c r="J6" s="86">
        <f>+'04-RSA'!G5</f>
        <v>0</v>
      </c>
      <c r="K6" s="86">
        <f>+'04-RSA'!H5</f>
        <v>0</v>
      </c>
      <c r="L6" s="86">
        <f>+'04-RSA'!J5</f>
        <v>0</v>
      </c>
      <c r="M6" s="86">
        <f>+'04-RSA'!K5</f>
        <v>0</v>
      </c>
      <c r="N6" s="86">
        <f>+'04-RSA'!L5</f>
        <v>0</v>
      </c>
      <c r="O6" s="86">
        <f>+'04-RSA'!M5</f>
        <v>0</v>
      </c>
      <c r="P6" s="86">
        <f>+'04-RSA'!N5</f>
        <v>0</v>
      </c>
      <c r="Q6" s="86">
        <f>+'04-RSA'!O5</f>
        <v>0</v>
      </c>
      <c r="R6" s="86">
        <f>+'04-RSA'!P5</f>
        <v>0</v>
      </c>
      <c r="S6" s="86">
        <f>+'04-RSA'!Q5</f>
        <v>0</v>
      </c>
      <c r="T6" s="86">
        <f>+'04-RSA'!R5</f>
        <v>0</v>
      </c>
      <c r="U6" s="86">
        <f>+'04-RSA'!S5</f>
        <v>0</v>
      </c>
      <c r="V6" s="86">
        <f>+'04-RSA'!T5</f>
        <v>0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142" ht="15.75" x14ac:dyDescent="0.25">
      <c r="A7" s="8">
        <v>3</v>
      </c>
      <c r="B7" s="8"/>
      <c r="C7" s="9" t="str">
        <f>+'Datos '!B4</f>
        <v>ALMA AYALA</v>
      </c>
      <c r="D7" s="25">
        <f>+'03-ASISTENCIA'!D7</f>
        <v>1</v>
      </c>
      <c r="E7" s="80">
        <f>+'03-ASISTENCIA'!E7</f>
        <v>4</v>
      </c>
      <c r="F7" s="86">
        <f>+'04-RSA'!C6</f>
        <v>0</v>
      </c>
      <c r="G7" s="86">
        <f>+'04-RSA'!D6</f>
        <v>0</v>
      </c>
      <c r="H7" s="86">
        <f>+'04-RSA'!E6</f>
        <v>0</v>
      </c>
      <c r="I7" s="86">
        <f>+'04-RSA'!F6</f>
        <v>0</v>
      </c>
      <c r="J7" s="86">
        <f>+'04-RSA'!G6</f>
        <v>0</v>
      </c>
      <c r="K7" s="86">
        <f>+'04-RSA'!H6</f>
        <v>0</v>
      </c>
      <c r="L7" s="86">
        <f>+'04-RSA'!J6</f>
        <v>0</v>
      </c>
      <c r="M7" s="86">
        <f>+'04-RSA'!K6</f>
        <v>0</v>
      </c>
      <c r="N7" s="86">
        <f>+'04-RSA'!L6</f>
        <v>0</v>
      </c>
      <c r="O7" s="86">
        <f>+'04-RSA'!M6</f>
        <v>0</v>
      </c>
      <c r="P7" s="86">
        <f>+'04-RSA'!N6</f>
        <v>0</v>
      </c>
      <c r="Q7" s="86">
        <f>+'04-RSA'!O6</f>
        <v>0</v>
      </c>
      <c r="R7" s="86">
        <f>+'04-RSA'!P6</f>
        <v>0</v>
      </c>
      <c r="S7" s="86">
        <f>+'04-RSA'!Q6</f>
        <v>0</v>
      </c>
      <c r="T7" s="86">
        <f>+'04-RSA'!R6</f>
        <v>0</v>
      </c>
      <c r="U7" s="86">
        <f>+'04-RSA'!S6</f>
        <v>0</v>
      </c>
      <c r="V7" s="86">
        <f>+'04-RSA'!T6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142" ht="15.75" x14ac:dyDescent="0.25">
      <c r="A8" s="8">
        <v>4</v>
      </c>
      <c r="B8" s="8"/>
      <c r="C8" s="9" t="str">
        <f>+'Datos '!B5</f>
        <v>GUADALUPE BARRETO</v>
      </c>
      <c r="D8" s="25">
        <f>+'03-ASISTENCIA'!D8</f>
        <v>1</v>
      </c>
      <c r="E8" s="80">
        <f>+'03-ASISTENCIA'!E8</f>
        <v>3</v>
      </c>
      <c r="F8" s="86">
        <f>+'04-RSA'!C7</f>
        <v>0</v>
      </c>
      <c r="G8" s="86">
        <f>+'04-RSA'!D7</f>
        <v>0</v>
      </c>
      <c r="H8" s="86">
        <f>+'04-RSA'!E7</f>
        <v>0</v>
      </c>
      <c r="I8" s="86">
        <f>+'04-RSA'!F7</f>
        <v>0</v>
      </c>
      <c r="J8" s="86">
        <f>+'04-RSA'!G7</f>
        <v>0</v>
      </c>
      <c r="K8" s="86">
        <f>+'04-RSA'!H7</f>
        <v>0</v>
      </c>
      <c r="L8" s="86">
        <f>+'04-RSA'!J7</f>
        <v>0</v>
      </c>
      <c r="M8" s="86">
        <f>+'04-RSA'!K7</f>
        <v>0</v>
      </c>
      <c r="N8" s="86">
        <f>+'04-RSA'!L7</f>
        <v>0</v>
      </c>
      <c r="O8" s="86">
        <f>+'04-RSA'!M7</f>
        <v>0</v>
      </c>
      <c r="P8" s="86">
        <f>+'04-RSA'!N7</f>
        <v>0</v>
      </c>
      <c r="Q8" s="86">
        <f>+'04-RSA'!O7</f>
        <v>0</v>
      </c>
      <c r="R8" s="86">
        <f>+'04-RSA'!P7</f>
        <v>0</v>
      </c>
      <c r="S8" s="86">
        <f>+'04-RSA'!Q7</f>
        <v>0</v>
      </c>
      <c r="T8" s="86">
        <f>+'04-RSA'!R7</f>
        <v>0</v>
      </c>
      <c r="U8" s="86">
        <f>+'04-RSA'!S7</f>
        <v>0</v>
      </c>
      <c r="V8" s="86">
        <f>+'04-RSA'!T7</f>
        <v>0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142" ht="15.75" x14ac:dyDescent="0.25">
      <c r="A9" s="8">
        <v>5</v>
      </c>
      <c r="B9" s="8"/>
      <c r="C9" s="9" t="str">
        <f>+'Datos '!B6</f>
        <v>LUIS BARRIOS</v>
      </c>
      <c r="D9" s="25">
        <f>+'03-ASISTENCIA'!D9</f>
        <v>1</v>
      </c>
      <c r="E9" s="80">
        <f>+'03-ASISTENCIA'!E9</f>
        <v>4</v>
      </c>
      <c r="F9" s="86">
        <f>+'04-RSA'!C8</f>
        <v>0</v>
      </c>
      <c r="G9" s="86">
        <f>+'04-RSA'!D8</f>
        <v>0</v>
      </c>
      <c r="H9" s="86">
        <f>+'04-RSA'!E8</f>
        <v>0</v>
      </c>
      <c r="I9" s="86">
        <f>+'04-RSA'!F8</f>
        <v>0</v>
      </c>
      <c r="J9" s="86">
        <f>+'04-RSA'!G8</f>
        <v>0</v>
      </c>
      <c r="K9" s="86">
        <f>+'04-RSA'!H8</f>
        <v>0</v>
      </c>
      <c r="L9" s="86">
        <f>+'04-RSA'!J8</f>
        <v>0</v>
      </c>
      <c r="M9" s="86">
        <f>+'04-RSA'!K8</f>
        <v>0</v>
      </c>
      <c r="N9" s="86">
        <f>+'04-RSA'!L8</f>
        <v>0</v>
      </c>
      <c r="O9" s="86">
        <f>+'04-RSA'!M8</f>
        <v>0</v>
      </c>
      <c r="P9" s="86">
        <f>+'04-RSA'!N8</f>
        <v>0</v>
      </c>
      <c r="Q9" s="86">
        <f>+'04-RSA'!O8</f>
        <v>0</v>
      </c>
      <c r="R9" s="86">
        <f>+'04-RSA'!P8</f>
        <v>0</v>
      </c>
      <c r="S9" s="86">
        <f>+'04-RSA'!Q8</f>
        <v>0</v>
      </c>
      <c r="T9" s="86">
        <f>+'04-RSA'!R8</f>
        <v>0</v>
      </c>
      <c r="U9" s="86">
        <f>+'04-RSA'!S8</f>
        <v>0</v>
      </c>
      <c r="V9" s="86">
        <f>+'04-RSA'!T8</f>
        <v>0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142" ht="15.75" x14ac:dyDescent="0.25">
      <c r="A10" s="8">
        <v>6</v>
      </c>
      <c r="B10" s="8"/>
      <c r="C10" s="9" t="str">
        <f>+'Datos '!B7</f>
        <v>LUANA BENITEZ</v>
      </c>
      <c r="D10" s="25">
        <f>+'03-ASISTENCIA'!D10</f>
        <v>1</v>
      </c>
      <c r="E10" s="80">
        <f>+'03-ASISTENCIA'!E10</f>
        <v>3</v>
      </c>
      <c r="F10" s="86">
        <f>+'04-RSA'!C9</f>
        <v>0</v>
      </c>
      <c r="G10" s="86">
        <f>+'04-RSA'!D9</f>
        <v>0</v>
      </c>
      <c r="H10" s="86">
        <f>+'04-RSA'!E9</f>
        <v>0</v>
      </c>
      <c r="I10" s="86">
        <f>+'04-RSA'!F9</f>
        <v>0</v>
      </c>
      <c r="J10" s="86">
        <f>+'04-RSA'!G9</f>
        <v>0</v>
      </c>
      <c r="K10" s="86">
        <f>+'04-RSA'!H9</f>
        <v>0</v>
      </c>
      <c r="L10" s="86">
        <f>+'04-RSA'!J9</f>
        <v>0</v>
      </c>
      <c r="M10" s="86">
        <f>+'04-RSA'!K9</f>
        <v>0</v>
      </c>
      <c r="N10" s="86">
        <f>+'04-RSA'!L9</f>
        <v>0</v>
      </c>
      <c r="O10" s="86">
        <f>+'04-RSA'!M9</f>
        <v>0</v>
      </c>
      <c r="P10" s="86">
        <f>+'04-RSA'!N9</f>
        <v>0</v>
      </c>
      <c r="Q10" s="86">
        <f>+'04-RSA'!O9</f>
        <v>0</v>
      </c>
      <c r="R10" s="86">
        <f>+'04-RSA'!P9</f>
        <v>0</v>
      </c>
      <c r="S10" s="86">
        <f>+'04-RSA'!Q9</f>
        <v>0</v>
      </c>
      <c r="T10" s="86">
        <f>+'04-RSA'!R9</f>
        <v>0</v>
      </c>
      <c r="U10" s="86">
        <f>+'04-RSA'!S9</f>
        <v>0</v>
      </c>
      <c r="V10" s="86">
        <f>+'04-RSA'!T9</f>
        <v>0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142" ht="15.75" x14ac:dyDescent="0.25">
      <c r="A11" s="8">
        <v>7</v>
      </c>
      <c r="B11" s="8"/>
      <c r="C11" s="9" t="str">
        <f>+'Datos '!B8</f>
        <v>CARLOS CABALLERO</v>
      </c>
      <c r="D11" s="25">
        <f>+'03-ASISTENCIA'!D11</f>
        <v>1</v>
      </c>
      <c r="E11" s="80">
        <f>+'03-ASISTENCIA'!E11</f>
        <v>2</v>
      </c>
      <c r="F11" s="86">
        <f>+'04-RSA'!C10</f>
        <v>0</v>
      </c>
      <c r="G11" s="86">
        <f>+'04-RSA'!D10</f>
        <v>0</v>
      </c>
      <c r="H11" s="86">
        <f>+'04-RSA'!E10</f>
        <v>0</v>
      </c>
      <c r="I11" s="86">
        <f>+'04-RSA'!F10</f>
        <v>0</v>
      </c>
      <c r="J11" s="86">
        <f>+'04-RSA'!G10</f>
        <v>0</v>
      </c>
      <c r="K11" s="86">
        <f>+'04-RSA'!H10</f>
        <v>0</v>
      </c>
      <c r="L11" s="86">
        <f>+'04-RSA'!J10</f>
        <v>0</v>
      </c>
      <c r="M11" s="86">
        <f>+'04-RSA'!K10</f>
        <v>0</v>
      </c>
      <c r="N11" s="86">
        <f>+'04-RSA'!L10</f>
        <v>0</v>
      </c>
      <c r="O11" s="86">
        <f>+'04-RSA'!M10</f>
        <v>0</v>
      </c>
      <c r="P11" s="86">
        <f>+'04-RSA'!N10</f>
        <v>0</v>
      </c>
      <c r="Q11" s="86">
        <f>+'04-RSA'!O10</f>
        <v>0</v>
      </c>
      <c r="R11" s="86">
        <f>+'04-RSA'!P10</f>
        <v>0</v>
      </c>
      <c r="S11" s="86">
        <f>+'04-RSA'!Q10</f>
        <v>0</v>
      </c>
      <c r="T11" s="86">
        <f>+'04-RSA'!R10</f>
        <v>0</v>
      </c>
      <c r="U11" s="86">
        <f>+'04-RSA'!S10</f>
        <v>0</v>
      </c>
      <c r="V11" s="86">
        <f>+'04-RSA'!T10</f>
        <v>0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142" ht="15.75" x14ac:dyDescent="0.25">
      <c r="A12" s="8">
        <v>8</v>
      </c>
      <c r="B12" s="8"/>
      <c r="C12" s="9" t="str">
        <f>+'Datos '!B9</f>
        <v>THAIS CACERES</v>
      </c>
      <c r="D12" s="25">
        <f>+'03-ASISTENCIA'!D12</f>
        <v>1</v>
      </c>
      <c r="E12" s="80">
        <f>+'03-ASISTENCIA'!E12</f>
        <v>3</v>
      </c>
      <c r="F12" s="86">
        <f>+'04-RSA'!C11</f>
        <v>0</v>
      </c>
      <c r="G12" s="86">
        <f>+'04-RSA'!D11</f>
        <v>0</v>
      </c>
      <c r="H12" s="86">
        <f>+'04-RSA'!E11</f>
        <v>0</v>
      </c>
      <c r="I12" s="86">
        <f>+'04-RSA'!F11</f>
        <v>0</v>
      </c>
      <c r="J12" s="86">
        <f>+'04-RSA'!G11</f>
        <v>0</v>
      </c>
      <c r="K12" s="86">
        <f>+'04-RSA'!H11</f>
        <v>0</v>
      </c>
      <c r="L12" s="86">
        <f>+'04-RSA'!J11</f>
        <v>0</v>
      </c>
      <c r="M12" s="86">
        <f>+'04-RSA'!K11</f>
        <v>0</v>
      </c>
      <c r="N12" s="86">
        <f>+'04-RSA'!L11</f>
        <v>0</v>
      </c>
      <c r="O12" s="86">
        <f>+'04-RSA'!M11</f>
        <v>0</v>
      </c>
      <c r="P12" s="86">
        <f>+'04-RSA'!N11</f>
        <v>0</v>
      </c>
      <c r="Q12" s="86">
        <f>+'04-RSA'!O11</f>
        <v>0</v>
      </c>
      <c r="R12" s="86">
        <f>+'04-RSA'!P11</f>
        <v>0</v>
      </c>
      <c r="S12" s="86">
        <f>+'04-RSA'!Q11</f>
        <v>0</v>
      </c>
      <c r="T12" s="86">
        <f>+'04-RSA'!R11</f>
        <v>0</v>
      </c>
      <c r="U12" s="86">
        <f>+'04-RSA'!S11</f>
        <v>0</v>
      </c>
      <c r="V12" s="86">
        <f>+'04-RSA'!T11</f>
        <v>0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142" ht="15.75" x14ac:dyDescent="0.25">
      <c r="A13" s="8">
        <v>9</v>
      </c>
      <c r="B13" s="8" t="s">
        <v>694</v>
      </c>
      <c r="C13" s="9" t="str">
        <f>+'Datos '!B10</f>
        <v>MAXIMO DIAZ</v>
      </c>
      <c r="D13" s="25">
        <f>+'03-ASISTENCIA'!D13</f>
        <v>1</v>
      </c>
      <c r="E13" s="80">
        <f>+'03-ASISTENCIA'!E13</f>
        <v>2</v>
      </c>
      <c r="F13" s="86">
        <f>+'04-RSA'!C12</f>
        <v>0</v>
      </c>
      <c r="G13" s="86">
        <f>+'04-RSA'!D12</f>
        <v>0</v>
      </c>
      <c r="H13" s="86">
        <f>+'04-RSA'!E12</f>
        <v>0</v>
      </c>
      <c r="I13" s="86">
        <f>+'04-RSA'!F12</f>
        <v>0</v>
      </c>
      <c r="J13" s="86">
        <f>+'04-RSA'!G12</f>
        <v>0</v>
      </c>
      <c r="K13" s="86">
        <f>+'04-RSA'!H12</f>
        <v>0</v>
      </c>
      <c r="L13" s="86">
        <f>+'04-RSA'!J12</f>
        <v>0</v>
      </c>
      <c r="M13" s="86">
        <f>+'04-RSA'!K12</f>
        <v>0</v>
      </c>
      <c r="N13" s="86">
        <f>+'04-RSA'!L12</f>
        <v>0</v>
      </c>
      <c r="O13" s="86">
        <f>+'04-RSA'!M12</f>
        <v>0</v>
      </c>
      <c r="P13" s="86">
        <f>+'04-RSA'!N12</f>
        <v>0</v>
      </c>
      <c r="Q13" s="86">
        <f>+'04-RSA'!O12</f>
        <v>0</v>
      </c>
      <c r="R13" s="86">
        <f>+'04-RSA'!P12</f>
        <v>0</v>
      </c>
      <c r="S13" s="86">
        <f>+'04-RSA'!Q12</f>
        <v>0</v>
      </c>
      <c r="T13" s="86">
        <f>+'04-RSA'!R12</f>
        <v>0</v>
      </c>
      <c r="U13" s="86">
        <f>+'04-RSA'!S12</f>
        <v>0</v>
      </c>
      <c r="V13" s="86">
        <f>+'04-RSA'!T12</f>
        <v>0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142" ht="15.75" x14ac:dyDescent="0.25">
      <c r="A14" s="8">
        <v>10</v>
      </c>
      <c r="B14" s="8"/>
      <c r="C14" s="9" t="str">
        <f>+'Datos '!B11</f>
        <v>BASTTIAN ESTIGARRIBIA</v>
      </c>
      <c r="D14" s="25">
        <f>+'03-ASISTENCIA'!D14</f>
        <v>1</v>
      </c>
      <c r="E14" s="80">
        <f>+'03-ASISTENCIA'!E14</f>
        <v>4</v>
      </c>
      <c r="F14" s="86">
        <f>+'04-RSA'!C13</f>
        <v>0</v>
      </c>
      <c r="G14" s="86">
        <f>+'04-RSA'!D13</f>
        <v>0</v>
      </c>
      <c r="H14" s="86">
        <f>+'04-RSA'!E13</f>
        <v>0</v>
      </c>
      <c r="I14" s="86">
        <f>+'04-RSA'!F13</f>
        <v>0</v>
      </c>
      <c r="J14" s="86">
        <f>+'04-RSA'!G13</f>
        <v>0</v>
      </c>
      <c r="K14" s="86">
        <f>+'04-RSA'!H13</f>
        <v>0</v>
      </c>
      <c r="L14" s="86">
        <f>+'04-RSA'!J13</f>
        <v>0</v>
      </c>
      <c r="M14" s="86">
        <f>+'04-RSA'!K13</f>
        <v>0</v>
      </c>
      <c r="N14" s="86">
        <f>+'04-RSA'!L13</f>
        <v>0</v>
      </c>
      <c r="O14" s="86">
        <f>+'04-RSA'!M13</f>
        <v>0</v>
      </c>
      <c r="P14" s="86">
        <f>+'04-RSA'!N13</f>
        <v>0</v>
      </c>
      <c r="Q14" s="86">
        <f>+'04-RSA'!O13</f>
        <v>0</v>
      </c>
      <c r="R14" s="86">
        <f>+'04-RSA'!P13</f>
        <v>0</v>
      </c>
      <c r="S14" s="86">
        <f>+'04-RSA'!Q13</f>
        <v>0</v>
      </c>
      <c r="T14" s="86">
        <f>+'04-RSA'!R13</f>
        <v>0</v>
      </c>
      <c r="U14" s="86">
        <f>+'04-RSA'!S13</f>
        <v>0</v>
      </c>
      <c r="V14" s="86">
        <f>+'04-RSA'!T13</f>
        <v>0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142" ht="15.75" x14ac:dyDescent="0.25">
      <c r="A15" s="8">
        <v>11</v>
      </c>
      <c r="B15" s="8"/>
      <c r="C15" s="9" t="str">
        <f>+'Datos '!B12</f>
        <v>IVONNE FERNANDEZ</v>
      </c>
      <c r="D15" s="25">
        <f>+'03-ASISTENCIA'!D15</f>
        <v>1</v>
      </c>
      <c r="E15" s="80">
        <f>+'03-ASISTENCIA'!E15</f>
        <v>4</v>
      </c>
      <c r="F15" s="86">
        <f>+'04-RSA'!C14</f>
        <v>0</v>
      </c>
      <c r="G15" s="86">
        <f>+'04-RSA'!D14</f>
        <v>0</v>
      </c>
      <c r="H15" s="86">
        <f>+'04-RSA'!E14</f>
        <v>0</v>
      </c>
      <c r="I15" s="86">
        <f>+'04-RSA'!F14</f>
        <v>0</v>
      </c>
      <c r="J15" s="86">
        <f>+'04-RSA'!G14</f>
        <v>0</v>
      </c>
      <c r="K15" s="86">
        <f>+'04-RSA'!H14</f>
        <v>0</v>
      </c>
      <c r="L15" s="86">
        <f>+'04-RSA'!J14</f>
        <v>0</v>
      </c>
      <c r="M15" s="86">
        <f>+'04-RSA'!K14</f>
        <v>0</v>
      </c>
      <c r="N15" s="86">
        <f>+'04-RSA'!L14</f>
        <v>0</v>
      </c>
      <c r="O15" s="86">
        <f>+'04-RSA'!M14</f>
        <v>0</v>
      </c>
      <c r="P15" s="86">
        <f>+'04-RSA'!N14</f>
        <v>0</v>
      </c>
      <c r="Q15" s="86">
        <f>+'04-RSA'!O14</f>
        <v>0</v>
      </c>
      <c r="R15" s="86">
        <f>+'04-RSA'!P14</f>
        <v>0</v>
      </c>
      <c r="S15" s="86">
        <f>+'04-RSA'!Q14</f>
        <v>0</v>
      </c>
      <c r="T15" s="86">
        <f>+'04-RSA'!R14</f>
        <v>0</v>
      </c>
      <c r="U15" s="86">
        <f>+'04-RSA'!S14</f>
        <v>0</v>
      </c>
      <c r="V15" s="86">
        <f>+'04-RSA'!T14</f>
        <v>0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142" ht="15.75" x14ac:dyDescent="0.25">
      <c r="A16" s="8">
        <v>12</v>
      </c>
      <c r="B16" s="8"/>
      <c r="C16" s="9" t="str">
        <f>+'Datos '!B13</f>
        <v>EMILIA FERNANDEZ</v>
      </c>
      <c r="D16" s="25">
        <f>+'03-ASISTENCIA'!D16</f>
        <v>1</v>
      </c>
      <c r="E16" s="80">
        <f>+'03-ASISTENCIA'!E16</f>
        <v>2</v>
      </c>
      <c r="F16" s="86">
        <f>+'04-RSA'!C15</f>
        <v>0</v>
      </c>
      <c r="G16" s="86">
        <f>+'04-RSA'!D15</f>
        <v>0</v>
      </c>
      <c r="H16" s="86">
        <f>+'04-RSA'!E15</f>
        <v>0</v>
      </c>
      <c r="I16" s="86">
        <f>+'04-RSA'!F15</f>
        <v>0</v>
      </c>
      <c r="J16" s="86">
        <f>+'04-RSA'!G15</f>
        <v>0</v>
      </c>
      <c r="K16" s="86">
        <f>+'04-RSA'!H15</f>
        <v>0</v>
      </c>
      <c r="L16" s="86">
        <f>+'04-RSA'!J15</f>
        <v>0</v>
      </c>
      <c r="M16" s="86">
        <f>+'04-RSA'!K15</f>
        <v>0</v>
      </c>
      <c r="N16" s="86">
        <f>+'04-RSA'!L15</f>
        <v>0</v>
      </c>
      <c r="O16" s="86">
        <f>+'04-RSA'!M15</f>
        <v>0</v>
      </c>
      <c r="P16" s="86">
        <f>+'04-RSA'!N15</f>
        <v>0</v>
      </c>
      <c r="Q16" s="86">
        <f>+'04-RSA'!O15</f>
        <v>0</v>
      </c>
      <c r="R16" s="86">
        <f>+'04-RSA'!P15</f>
        <v>0</v>
      </c>
      <c r="S16" s="86">
        <f>+'04-RSA'!Q15</f>
        <v>0</v>
      </c>
      <c r="T16" s="86">
        <f>+'04-RSA'!R15</f>
        <v>0</v>
      </c>
      <c r="U16" s="86">
        <f>+'04-RSA'!S15</f>
        <v>0</v>
      </c>
      <c r="V16" s="86">
        <f>+'04-RSA'!T15</f>
        <v>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8">
        <v>13</v>
      </c>
      <c r="B17" s="8"/>
      <c r="C17" s="9" t="str">
        <f>+'Datos '!B14</f>
        <v>TAMARA FLORENTIN</v>
      </c>
      <c r="D17" s="25">
        <f>+'03-ASISTENCIA'!D17</f>
        <v>1</v>
      </c>
      <c r="E17" s="80">
        <f>+'03-ASISTENCIA'!E17</f>
        <v>3</v>
      </c>
      <c r="F17" s="86">
        <f>+'04-RSA'!C16</f>
        <v>0</v>
      </c>
      <c r="G17" s="86">
        <f>+'04-RSA'!D16</f>
        <v>0</v>
      </c>
      <c r="H17" s="86">
        <f>+'04-RSA'!E16</f>
        <v>0</v>
      </c>
      <c r="I17" s="86">
        <f>+'04-RSA'!F16</f>
        <v>0</v>
      </c>
      <c r="J17" s="86">
        <f>+'04-RSA'!G16</f>
        <v>0</v>
      </c>
      <c r="K17" s="86">
        <f>+'04-RSA'!H16</f>
        <v>0</v>
      </c>
      <c r="L17" s="86">
        <f>+'04-RSA'!J16</f>
        <v>0</v>
      </c>
      <c r="M17" s="86">
        <f>+'04-RSA'!K16</f>
        <v>0</v>
      </c>
      <c r="N17" s="86">
        <f>+'04-RSA'!L16</f>
        <v>0</v>
      </c>
      <c r="O17" s="86">
        <f>+'04-RSA'!M16</f>
        <v>0</v>
      </c>
      <c r="P17" s="86">
        <f>+'04-RSA'!N16</f>
        <v>0</v>
      </c>
      <c r="Q17" s="86">
        <f>+'04-RSA'!O16</f>
        <v>0</v>
      </c>
      <c r="R17" s="86">
        <f>+'04-RSA'!P16</f>
        <v>0</v>
      </c>
      <c r="S17" s="86">
        <f>+'04-RSA'!Q16</f>
        <v>0</v>
      </c>
      <c r="T17" s="86">
        <f>+'04-RSA'!R16</f>
        <v>0</v>
      </c>
      <c r="U17" s="86">
        <f>+'04-RSA'!S16</f>
        <v>0</v>
      </c>
      <c r="V17" s="86">
        <f>+'04-RSA'!T16</f>
        <v>0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8">
        <v>14</v>
      </c>
      <c r="B18" s="8"/>
      <c r="C18" s="9" t="str">
        <f>+'Datos '!B15</f>
        <v>AYLEN FLORENTIN</v>
      </c>
      <c r="D18" s="25">
        <f>+'03-ASISTENCIA'!D18</f>
        <v>1</v>
      </c>
      <c r="E18" s="80">
        <f>+'03-ASISTENCIA'!E18</f>
        <v>4</v>
      </c>
      <c r="F18" s="86">
        <f>+'04-RSA'!C17</f>
        <v>0</v>
      </c>
      <c r="G18" s="86">
        <f>+'04-RSA'!D17</f>
        <v>0</v>
      </c>
      <c r="H18" s="86">
        <f>+'04-RSA'!E17</f>
        <v>0</v>
      </c>
      <c r="I18" s="86">
        <f>+'04-RSA'!F17</f>
        <v>0</v>
      </c>
      <c r="J18" s="86">
        <f>+'04-RSA'!G17</f>
        <v>0</v>
      </c>
      <c r="K18" s="86">
        <f>+'04-RSA'!H17</f>
        <v>0</v>
      </c>
      <c r="L18" s="86">
        <f>+'04-RSA'!J17</f>
        <v>0</v>
      </c>
      <c r="M18" s="86">
        <f>+'04-RSA'!K17</f>
        <v>0</v>
      </c>
      <c r="N18" s="86">
        <f>+'04-RSA'!L17</f>
        <v>0</v>
      </c>
      <c r="O18" s="86">
        <f>+'04-RSA'!M17</f>
        <v>0</v>
      </c>
      <c r="P18" s="86">
        <f>+'04-RSA'!N17</f>
        <v>0</v>
      </c>
      <c r="Q18" s="86">
        <f>+'04-RSA'!O17</f>
        <v>0</v>
      </c>
      <c r="R18" s="86">
        <f>+'04-RSA'!P17</f>
        <v>0</v>
      </c>
      <c r="S18" s="86">
        <f>+'04-RSA'!Q17</f>
        <v>0</v>
      </c>
      <c r="T18" s="86">
        <f>+'04-RSA'!R17</f>
        <v>0</v>
      </c>
      <c r="U18" s="86">
        <f>+'04-RSA'!S17</f>
        <v>0</v>
      </c>
      <c r="V18" s="86">
        <f>+'04-RSA'!T17</f>
        <v>0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8">
        <v>15</v>
      </c>
      <c r="B19" s="8"/>
      <c r="C19" s="9" t="str">
        <f>+'Datos '!B16</f>
        <v>PAULA FRANCO</v>
      </c>
      <c r="D19" s="25">
        <f>+'03-ASISTENCIA'!D19</f>
        <v>1</v>
      </c>
      <c r="E19" s="80">
        <f>+'03-ASISTENCIA'!E19</f>
        <v>3</v>
      </c>
      <c r="F19" s="86">
        <f>+'04-RSA'!C18</f>
        <v>0</v>
      </c>
      <c r="G19" s="86">
        <f>+'04-RSA'!D18</f>
        <v>0</v>
      </c>
      <c r="H19" s="86">
        <f>+'04-RSA'!E18</f>
        <v>0</v>
      </c>
      <c r="I19" s="86">
        <f>+'04-RSA'!F18</f>
        <v>0</v>
      </c>
      <c r="J19" s="86">
        <f>+'04-RSA'!G18</f>
        <v>0</v>
      </c>
      <c r="K19" s="86">
        <f>+'04-RSA'!H18</f>
        <v>0</v>
      </c>
      <c r="L19" s="86">
        <f>+'04-RSA'!J18</f>
        <v>0</v>
      </c>
      <c r="M19" s="86">
        <f>+'04-RSA'!K18</f>
        <v>0</v>
      </c>
      <c r="N19" s="86">
        <f>+'04-RSA'!L18</f>
        <v>0</v>
      </c>
      <c r="O19" s="86">
        <f>+'04-RSA'!M18</f>
        <v>0</v>
      </c>
      <c r="P19" s="86">
        <f>+'04-RSA'!N18</f>
        <v>0</v>
      </c>
      <c r="Q19" s="86">
        <f>+'04-RSA'!O18</f>
        <v>0</v>
      </c>
      <c r="R19" s="86">
        <f>+'04-RSA'!P18</f>
        <v>0</v>
      </c>
      <c r="S19" s="86">
        <f>+'04-RSA'!Q18</f>
        <v>0</v>
      </c>
      <c r="T19" s="86">
        <f>+'04-RSA'!R18</f>
        <v>0</v>
      </c>
      <c r="U19" s="86">
        <f>+'04-RSA'!S18</f>
        <v>0</v>
      </c>
      <c r="V19" s="86">
        <f>+'04-RSA'!T18</f>
        <v>0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8">
        <v>16</v>
      </c>
      <c r="B20" s="8"/>
      <c r="C20" s="9" t="str">
        <f>+'Datos '!B17</f>
        <v>JEANELLY GAONA</v>
      </c>
      <c r="D20" s="25">
        <f>+'03-ASISTENCIA'!D20</f>
        <v>1</v>
      </c>
      <c r="E20" s="80">
        <f>+'03-ASISTENCIA'!E20</f>
        <v>3</v>
      </c>
      <c r="F20" s="86">
        <f>+'04-RSA'!C19</f>
        <v>0</v>
      </c>
      <c r="G20" s="86">
        <f>+'04-RSA'!D19</f>
        <v>0</v>
      </c>
      <c r="H20" s="86">
        <f>+'04-RSA'!E19</f>
        <v>0</v>
      </c>
      <c r="I20" s="86">
        <f>+'04-RSA'!F19</f>
        <v>0</v>
      </c>
      <c r="J20" s="86">
        <f>+'04-RSA'!G19</f>
        <v>0</v>
      </c>
      <c r="K20" s="86">
        <f>+'04-RSA'!H19</f>
        <v>0</v>
      </c>
      <c r="L20" s="86">
        <f>+'04-RSA'!J19</f>
        <v>0</v>
      </c>
      <c r="M20" s="86">
        <f>+'04-RSA'!K19</f>
        <v>0</v>
      </c>
      <c r="N20" s="86">
        <f>+'04-RSA'!L19</f>
        <v>0</v>
      </c>
      <c r="O20" s="86">
        <f>+'04-RSA'!M19</f>
        <v>0</v>
      </c>
      <c r="P20" s="86">
        <f>+'04-RSA'!N19</f>
        <v>0</v>
      </c>
      <c r="Q20" s="86">
        <f>+'04-RSA'!O19</f>
        <v>0</v>
      </c>
      <c r="R20" s="86">
        <f>+'04-RSA'!P19</f>
        <v>0</v>
      </c>
      <c r="S20" s="86">
        <f>+'04-RSA'!Q19</f>
        <v>0</v>
      </c>
      <c r="T20" s="86">
        <f>+'04-RSA'!R19</f>
        <v>0</v>
      </c>
      <c r="U20" s="86">
        <f>+'04-RSA'!S19</f>
        <v>0</v>
      </c>
      <c r="V20" s="86">
        <f>+'04-RSA'!T19</f>
        <v>0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8">
        <v>17</v>
      </c>
      <c r="B21" s="8"/>
      <c r="C21" s="9" t="str">
        <f>+'Datos '!B18</f>
        <v>LUANA GAONA</v>
      </c>
      <c r="D21" s="25">
        <f>+'03-ASISTENCIA'!D21</f>
        <v>1</v>
      </c>
      <c r="E21" s="80">
        <f>+'03-ASISTENCIA'!E21</f>
        <v>3</v>
      </c>
      <c r="F21" s="86">
        <f>+'04-RSA'!C20</f>
        <v>0</v>
      </c>
      <c r="G21" s="86">
        <f>+'04-RSA'!D20</f>
        <v>0</v>
      </c>
      <c r="H21" s="86">
        <f>+'04-RSA'!E20</f>
        <v>0</v>
      </c>
      <c r="I21" s="86">
        <f>+'04-RSA'!F20</f>
        <v>0</v>
      </c>
      <c r="J21" s="86">
        <f>+'04-RSA'!G20</f>
        <v>0</v>
      </c>
      <c r="K21" s="86">
        <f>+'04-RSA'!H20</f>
        <v>0</v>
      </c>
      <c r="L21" s="86">
        <f>+'04-RSA'!J20</f>
        <v>0</v>
      </c>
      <c r="M21" s="86">
        <f>+'04-RSA'!K20</f>
        <v>0</v>
      </c>
      <c r="N21" s="86">
        <f>+'04-RSA'!L20</f>
        <v>0</v>
      </c>
      <c r="O21" s="86">
        <f>+'04-RSA'!M20</f>
        <v>0</v>
      </c>
      <c r="P21" s="86">
        <f>+'04-RSA'!N20</f>
        <v>0</v>
      </c>
      <c r="Q21" s="86">
        <f>+'04-RSA'!O20</f>
        <v>0</v>
      </c>
      <c r="R21" s="86">
        <f>+'04-RSA'!P20</f>
        <v>0</v>
      </c>
      <c r="S21" s="86">
        <f>+'04-RSA'!Q20</f>
        <v>0</v>
      </c>
      <c r="T21" s="86">
        <f>+'04-RSA'!R20</f>
        <v>0</v>
      </c>
      <c r="U21" s="86">
        <f>+'04-RSA'!S20</f>
        <v>0</v>
      </c>
      <c r="V21" s="86">
        <f>+'04-RSA'!T20</f>
        <v>0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8">
        <v>18</v>
      </c>
      <c r="B22" s="8"/>
      <c r="C22" s="9" t="str">
        <f>+'Datos '!B19</f>
        <v>ABIGAIL GARCIA</v>
      </c>
      <c r="D22" s="25">
        <f>+'03-ASISTENCIA'!D22</f>
        <v>1</v>
      </c>
      <c r="E22" s="80">
        <f>+'03-ASISTENCIA'!E22</f>
        <v>3</v>
      </c>
      <c r="F22" s="86">
        <f>+'04-RSA'!C21</f>
        <v>0</v>
      </c>
      <c r="G22" s="86">
        <f>+'04-RSA'!D21</f>
        <v>0</v>
      </c>
      <c r="H22" s="86">
        <f>+'04-RSA'!E21</f>
        <v>0</v>
      </c>
      <c r="I22" s="86">
        <f>+'04-RSA'!F21</f>
        <v>0</v>
      </c>
      <c r="J22" s="86">
        <f>+'04-RSA'!G21</f>
        <v>0</v>
      </c>
      <c r="K22" s="86">
        <f>+'04-RSA'!H21</f>
        <v>0</v>
      </c>
      <c r="L22" s="86">
        <f>+'04-RSA'!J21</f>
        <v>0</v>
      </c>
      <c r="M22" s="86">
        <f>+'04-RSA'!K21</f>
        <v>0</v>
      </c>
      <c r="N22" s="86">
        <f>+'04-RSA'!L21</f>
        <v>0</v>
      </c>
      <c r="O22" s="86">
        <f>+'04-RSA'!M21</f>
        <v>0</v>
      </c>
      <c r="P22" s="86">
        <f>+'04-RSA'!N21</f>
        <v>0</v>
      </c>
      <c r="Q22" s="86">
        <f>+'04-RSA'!O21</f>
        <v>0</v>
      </c>
      <c r="R22" s="86">
        <f>+'04-RSA'!P21</f>
        <v>0</v>
      </c>
      <c r="S22" s="86">
        <f>+'04-RSA'!Q21</f>
        <v>0</v>
      </c>
      <c r="T22" s="86">
        <f>+'04-RSA'!R21</f>
        <v>0</v>
      </c>
      <c r="U22" s="86">
        <f>+'04-RSA'!S21</f>
        <v>0</v>
      </c>
      <c r="V22" s="86">
        <f>+'04-RSA'!T21</f>
        <v>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8">
        <v>19</v>
      </c>
      <c r="B23" s="8"/>
      <c r="C23" s="9" t="str">
        <f>+'Datos '!B20</f>
        <v>LAUTARO GARCIA</v>
      </c>
      <c r="D23" s="25">
        <f>+'03-ASISTENCIA'!D23</f>
        <v>1</v>
      </c>
      <c r="E23" s="80">
        <f>+'03-ASISTENCIA'!E23</f>
        <v>2</v>
      </c>
      <c r="F23" s="86">
        <f>+'04-RSA'!C22</f>
        <v>0</v>
      </c>
      <c r="G23" s="86">
        <f>+'04-RSA'!D22</f>
        <v>0</v>
      </c>
      <c r="H23" s="86">
        <f>+'04-RSA'!E22</f>
        <v>0</v>
      </c>
      <c r="I23" s="86">
        <f>+'04-RSA'!F22</f>
        <v>0</v>
      </c>
      <c r="J23" s="86">
        <f>+'04-RSA'!G22</f>
        <v>0</v>
      </c>
      <c r="K23" s="86">
        <f>+'04-RSA'!H22</f>
        <v>0</v>
      </c>
      <c r="L23" s="86">
        <f>+'04-RSA'!J22</f>
        <v>0</v>
      </c>
      <c r="M23" s="86">
        <f>+'04-RSA'!K22</f>
        <v>0</v>
      </c>
      <c r="N23" s="86">
        <f>+'04-RSA'!L22</f>
        <v>0</v>
      </c>
      <c r="O23" s="86">
        <f>+'04-RSA'!M22</f>
        <v>0</v>
      </c>
      <c r="P23" s="86">
        <f>+'04-RSA'!N22</f>
        <v>0</v>
      </c>
      <c r="Q23" s="86">
        <f>+'04-RSA'!O22</f>
        <v>0</v>
      </c>
      <c r="R23" s="86">
        <f>+'04-RSA'!P22</f>
        <v>0</v>
      </c>
      <c r="S23" s="86">
        <f>+'04-RSA'!Q22</f>
        <v>0</v>
      </c>
      <c r="T23" s="86">
        <f>+'04-RSA'!R22</f>
        <v>0</v>
      </c>
      <c r="U23" s="86">
        <f>+'04-RSA'!S22</f>
        <v>0</v>
      </c>
      <c r="V23" s="86">
        <f>+'04-RSA'!T22</f>
        <v>0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8">
        <v>20</v>
      </c>
      <c r="B24" s="8"/>
      <c r="C24" s="9" t="str">
        <f>+'Datos '!B21</f>
        <v>SANTIAGO GIMENEZ</v>
      </c>
      <c r="D24" s="25">
        <f>+'03-ASISTENCIA'!D24</f>
        <v>1</v>
      </c>
      <c r="E24" s="80">
        <f>+'03-ASISTENCIA'!E24</f>
        <v>3</v>
      </c>
      <c r="F24" s="86">
        <f>+'04-RSA'!C23</f>
        <v>0</v>
      </c>
      <c r="G24" s="86">
        <f>+'04-RSA'!D23</f>
        <v>0</v>
      </c>
      <c r="H24" s="86">
        <f>+'04-RSA'!E23</f>
        <v>0</v>
      </c>
      <c r="I24" s="86">
        <f>+'04-RSA'!F23</f>
        <v>0</v>
      </c>
      <c r="J24" s="86">
        <f>+'04-RSA'!G23</f>
        <v>0</v>
      </c>
      <c r="K24" s="86">
        <f>+'04-RSA'!H23</f>
        <v>0</v>
      </c>
      <c r="L24" s="86">
        <f>+'04-RSA'!J23</f>
        <v>0</v>
      </c>
      <c r="M24" s="86">
        <f>+'04-RSA'!K23</f>
        <v>0</v>
      </c>
      <c r="N24" s="86">
        <f>+'04-RSA'!L23</f>
        <v>0</v>
      </c>
      <c r="O24" s="86">
        <f>+'04-RSA'!M23</f>
        <v>0</v>
      </c>
      <c r="P24" s="86">
        <f>+'04-RSA'!N23</f>
        <v>0</v>
      </c>
      <c r="Q24" s="86">
        <f>+'04-RSA'!O23</f>
        <v>0</v>
      </c>
      <c r="R24" s="86">
        <f>+'04-RSA'!P23</f>
        <v>0</v>
      </c>
      <c r="S24" s="86">
        <f>+'04-RSA'!Q23</f>
        <v>0</v>
      </c>
      <c r="T24" s="86">
        <f>+'04-RSA'!R23</f>
        <v>0</v>
      </c>
      <c r="U24" s="86">
        <f>+'04-RSA'!S23</f>
        <v>0</v>
      </c>
      <c r="V24" s="86">
        <f>+'04-RSA'!T23</f>
        <v>0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</sheetData>
  <mergeCells count="2">
    <mergeCell ref="S2:U2"/>
    <mergeCell ref="H2:L2"/>
  </mergeCells>
  <conditionalFormatting sqref="A4:XFD4">
    <cfRule type="timePeriod" dxfId="4" priority="6" timePeriod="yesterday">
      <formula>FLOOR(A4,1)=TODAY()-1</formula>
    </cfRule>
  </conditionalFormatting>
  <conditionalFormatting sqref="D2:E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 G4:AH24 F4:L1048576">
    <cfRule type="cellIs" dxfId="3" priority="2" operator="equal">
      <formula>"A"</formula>
    </cfRule>
  </conditionalFormatting>
  <conditionalFormatting sqref="F5:AH24">
    <cfRule type="cellIs" dxfId="2" priority="1" operator="equal">
      <formula>"PF"</formula>
    </cfRule>
  </conditionalFormatting>
  <conditionalFormatting sqref="H2:H3 Q2:S3 A2:B3 M2:N3 V2:XFD3 D4:XFD4">
    <cfRule type="duplicateValues" dxfId="1" priority="7"/>
  </conditionalFormatting>
  <conditionalFormatting sqref="Q2:R3">
    <cfRule type="cellIs" dxfId="0" priority="5" operator="equal">
      <formula>"A"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62FB-C69B-4B69-BD69-B32F2AAB4A1F}">
  <sheetPr>
    <tabColor theme="9" tint="0.39997558519241921"/>
  </sheetPr>
  <dimension ref="A1:C52"/>
  <sheetViews>
    <sheetView topLeftCell="A35" workbookViewId="0">
      <selection activeCell="D45" sqref="D45"/>
    </sheetView>
  </sheetViews>
  <sheetFormatPr baseColWidth="10" defaultColWidth="9.140625" defaultRowHeight="15" x14ac:dyDescent="0.25"/>
  <cols>
    <col min="1" max="1" width="19.7109375" customWidth="1"/>
    <col min="2" max="2" width="35.42578125" customWidth="1"/>
    <col min="3" max="3" width="35" customWidth="1"/>
  </cols>
  <sheetData>
    <row r="1" spans="1:3" ht="30" x14ac:dyDescent="0.25">
      <c r="A1" s="36" t="s">
        <v>611</v>
      </c>
      <c r="B1" s="36" t="s">
        <v>595</v>
      </c>
      <c r="C1" s="37" t="s">
        <v>596</v>
      </c>
    </row>
    <row r="2" spans="1:3" x14ac:dyDescent="0.25">
      <c r="A2" s="38">
        <v>46023</v>
      </c>
      <c r="B2" s="33" t="s">
        <v>597</v>
      </c>
      <c r="C2" s="34" t="s">
        <v>598</v>
      </c>
    </row>
    <row r="3" spans="1:3" ht="28.5" x14ac:dyDescent="0.25">
      <c r="A3" s="38">
        <v>46063</v>
      </c>
      <c r="B3" s="33" t="s">
        <v>612</v>
      </c>
      <c r="C3" s="34" t="s">
        <v>641</v>
      </c>
    </row>
    <row r="4" spans="1:3" x14ac:dyDescent="0.25">
      <c r="A4" s="38">
        <v>46076</v>
      </c>
      <c r="B4" s="36" t="s">
        <v>599</v>
      </c>
      <c r="C4" s="34" t="s">
        <v>641</v>
      </c>
    </row>
    <row r="5" spans="1:3" ht="28.5" x14ac:dyDescent="0.25">
      <c r="A5" s="39">
        <v>46077</v>
      </c>
      <c r="B5" s="34" t="s">
        <v>617</v>
      </c>
      <c r="C5" s="34" t="s">
        <v>644</v>
      </c>
    </row>
    <row r="6" spans="1:3" x14ac:dyDescent="0.25">
      <c r="A6" s="38">
        <v>46082</v>
      </c>
      <c r="B6" s="33" t="s">
        <v>600</v>
      </c>
      <c r="C6" s="34" t="s">
        <v>598</v>
      </c>
    </row>
    <row r="7" spans="1:3" ht="28.5" x14ac:dyDescent="0.25">
      <c r="A7" s="39">
        <v>46082</v>
      </c>
      <c r="B7" s="34" t="s">
        <v>618</v>
      </c>
      <c r="C7" s="34" t="s">
        <v>644</v>
      </c>
    </row>
    <row r="8" spans="1:3" ht="28.5" x14ac:dyDescent="0.25">
      <c r="A8" s="39">
        <v>46102</v>
      </c>
      <c r="B8" s="34" t="s">
        <v>619</v>
      </c>
      <c r="C8" s="34" t="s">
        <v>644</v>
      </c>
    </row>
    <row r="9" spans="1:3" x14ac:dyDescent="0.25">
      <c r="A9" s="38">
        <v>46114</v>
      </c>
      <c r="B9" s="33" t="s">
        <v>613</v>
      </c>
      <c r="C9" s="34" t="s">
        <v>598</v>
      </c>
    </row>
    <row r="10" spans="1:3" x14ac:dyDescent="0.25">
      <c r="A10" s="38">
        <v>46115</v>
      </c>
      <c r="B10" s="33" t="s">
        <v>614</v>
      </c>
      <c r="C10" s="34" t="s">
        <v>598</v>
      </c>
    </row>
    <row r="11" spans="1:3" x14ac:dyDescent="0.25">
      <c r="A11" s="39">
        <v>46135</v>
      </c>
      <c r="B11" s="34" t="s">
        <v>620</v>
      </c>
      <c r="C11" s="34" t="s">
        <v>644</v>
      </c>
    </row>
    <row r="12" spans="1:3" ht="28.5" x14ac:dyDescent="0.25">
      <c r="A12" s="39">
        <v>46138</v>
      </c>
      <c r="B12" s="34" t="s">
        <v>621</v>
      </c>
      <c r="C12" s="34" t="s">
        <v>644</v>
      </c>
    </row>
    <row r="13" spans="1:3" x14ac:dyDescent="0.25">
      <c r="A13" s="39">
        <v>46142</v>
      </c>
      <c r="B13" s="34" t="s">
        <v>622</v>
      </c>
      <c r="C13" s="34" t="s">
        <v>644</v>
      </c>
    </row>
    <row r="14" spans="1:3" x14ac:dyDescent="0.25">
      <c r="A14" s="38">
        <v>46143</v>
      </c>
      <c r="B14" s="33" t="s">
        <v>601</v>
      </c>
      <c r="C14" s="34" t="s">
        <v>598</v>
      </c>
    </row>
    <row r="15" spans="1:3" x14ac:dyDescent="0.25">
      <c r="A15" s="38">
        <v>46156</v>
      </c>
      <c r="B15" s="33" t="s">
        <v>602</v>
      </c>
      <c r="C15" s="34" t="s">
        <v>598</v>
      </c>
    </row>
    <row r="16" spans="1:3" x14ac:dyDescent="0.25">
      <c r="A16" s="39">
        <v>46156</v>
      </c>
      <c r="B16" s="34" t="s">
        <v>639</v>
      </c>
      <c r="C16" s="34" t="s">
        <v>644</v>
      </c>
    </row>
    <row r="17" spans="1:3" x14ac:dyDescent="0.25">
      <c r="A17" s="38">
        <v>46157</v>
      </c>
      <c r="B17" s="33" t="s">
        <v>602</v>
      </c>
      <c r="C17" s="34" t="s">
        <v>598</v>
      </c>
    </row>
    <row r="18" spans="1:3" x14ac:dyDescent="0.25">
      <c r="A18" s="39">
        <v>46157</v>
      </c>
      <c r="B18" s="34" t="s">
        <v>602</v>
      </c>
      <c r="C18" s="34" t="s">
        <v>644</v>
      </c>
    </row>
    <row r="19" spans="1:3" x14ac:dyDescent="0.25">
      <c r="A19" s="39">
        <v>46171</v>
      </c>
      <c r="B19" s="34" t="s">
        <v>623</v>
      </c>
      <c r="C19" s="34" t="s">
        <v>644</v>
      </c>
    </row>
    <row r="20" spans="1:3" x14ac:dyDescent="0.25">
      <c r="A20" s="38">
        <v>46185</v>
      </c>
      <c r="B20" s="33" t="s">
        <v>603</v>
      </c>
      <c r="C20" s="34" t="s">
        <v>598</v>
      </c>
    </row>
    <row r="21" spans="1:3" ht="28.5" x14ac:dyDescent="0.25">
      <c r="A21" s="39">
        <v>46185</v>
      </c>
      <c r="B21" s="34" t="s">
        <v>624</v>
      </c>
      <c r="C21" s="34" t="s">
        <v>645</v>
      </c>
    </row>
    <row r="22" spans="1:3" x14ac:dyDescent="0.25">
      <c r="A22" s="39">
        <v>46192</v>
      </c>
      <c r="B22" s="34" t="s">
        <v>625</v>
      </c>
      <c r="C22" s="34" t="s">
        <v>638</v>
      </c>
    </row>
    <row r="23" spans="1:3" x14ac:dyDescent="0.25">
      <c r="A23" s="38">
        <v>46216</v>
      </c>
      <c r="B23" s="36" t="s">
        <v>615</v>
      </c>
      <c r="C23" s="34" t="s">
        <v>640</v>
      </c>
    </row>
    <row r="24" spans="1:3" x14ac:dyDescent="0.25">
      <c r="A24" s="38">
        <v>46217</v>
      </c>
      <c r="B24" s="36" t="s">
        <v>615</v>
      </c>
      <c r="C24" s="34" t="s">
        <v>640</v>
      </c>
    </row>
    <row r="25" spans="1:3" x14ac:dyDescent="0.25">
      <c r="A25" s="38">
        <v>46218</v>
      </c>
      <c r="B25" s="36" t="s">
        <v>615</v>
      </c>
      <c r="C25" s="34" t="s">
        <v>640</v>
      </c>
    </row>
    <row r="26" spans="1:3" x14ac:dyDescent="0.25">
      <c r="A26" s="38">
        <v>46219</v>
      </c>
      <c r="B26" s="36" t="s">
        <v>615</v>
      </c>
      <c r="C26" s="34" t="s">
        <v>640</v>
      </c>
    </row>
    <row r="27" spans="1:3" x14ac:dyDescent="0.25">
      <c r="A27" s="38">
        <v>46220</v>
      </c>
      <c r="B27" s="36" t="s">
        <v>615</v>
      </c>
      <c r="C27" s="34" t="s">
        <v>640</v>
      </c>
    </row>
    <row r="28" spans="1:3" x14ac:dyDescent="0.25">
      <c r="A28" s="38">
        <v>46221</v>
      </c>
      <c r="B28" s="36" t="s">
        <v>615</v>
      </c>
      <c r="C28" s="34" t="s">
        <v>640</v>
      </c>
    </row>
    <row r="29" spans="1:3" x14ac:dyDescent="0.25">
      <c r="A29" s="38">
        <v>46222</v>
      </c>
      <c r="B29" s="36" t="s">
        <v>615</v>
      </c>
      <c r="C29" s="34" t="s">
        <v>640</v>
      </c>
    </row>
    <row r="30" spans="1:3" x14ac:dyDescent="0.25">
      <c r="A30" s="38">
        <v>46223</v>
      </c>
      <c r="B30" s="36" t="s">
        <v>615</v>
      </c>
      <c r="C30" s="34" t="s">
        <v>640</v>
      </c>
    </row>
    <row r="31" spans="1:3" x14ac:dyDescent="0.25">
      <c r="A31" s="38">
        <v>46224</v>
      </c>
      <c r="B31" s="36" t="s">
        <v>615</v>
      </c>
      <c r="C31" s="34" t="s">
        <v>640</v>
      </c>
    </row>
    <row r="32" spans="1:3" x14ac:dyDescent="0.25">
      <c r="A32" s="38">
        <v>46225</v>
      </c>
      <c r="B32" s="36" t="s">
        <v>615</v>
      </c>
      <c r="C32" s="34" t="s">
        <v>640</v>
      </c>
    </row>
    <row r="33" spans="1:3" x14ac:dyDescent="0.25">
      <c r="A33" s="38">
        <v>46226</v>
      </c>
      <c r="B33" s="36" t="s">
        <v>615</v>
      </c>
      <c r="C33" s="34" t="s">
        <v>640</v>
      </c>
    </row>
    <row r="34" spans="1:3" x14ac:dyDescent="0.25">
      <c r="A34" s="38">
        <v>46227</v>
      </c>
      <c r="B34" s="36" t="s">
        <v>616</v>
      </c>
      <c r="C34" s="34" t="s">
        <v>640</v>
      </c>
    </row>
    <row r="35" spans="1:3" ht="28.5" x14ac:dyDescent="0.25">
      <c r="A35" s="39">
        <v>46227</v>
      </c>
      <c r="B35" s="34" t="s">
        <v>626</v>
      </c>
      <c r="C35" s="34" t="s">
        <v>644</v>
      </c>
    </row>
    <row r="36" spans="1:3" ht="28.5" x14ac:dyDescent="0.25">
      <c r="A36" s="39">
        <v>46233</v>
      </c>
      <c r="B36" s="34" t="s">
        <v>627</v>
      </c>
      <c r="C36" s="34" t="s">
        <v>644</v>
      </c>
    </row>
    <row r="37" spans="1:3" x14ac:dyDescent="0.25">
      <c r="A37" s="39">
        <v>46248</v>
      </c>
      <c r="B37" s="34" t="s">
        <v>628</v>
      </c>
      <c r="C37" s="34" t="s">
        <v>644</v>
      </c>
    </row>
    <row r="38" spans="1:3" x14ac:dyDescent="0.25">
      <c r="A38" s="38">
        <v>46249</v>
      </c>
      <c r="B38" s="33" t="s">
        <v>605</v>
      </c>
      <c r="C38" s="34" t="s">
        <v>598</v>
      </c>
    </row>
    <row r="39" spans="1:3" ht="28.5" x14ac:dyDescent="0.25">
      <c r="A39" s="39">
        <v>46249</v>
      </c>
      <c r="B39" s="34" t="s">
        <v>629</v>
      </c>
      <c r="C39" s="34" t="s">
        <v>644</v>
      </c>
    </row>
    <row r="40" spans="1:3" ht="28.5" x14ac:dyDescent="0.25">
      <c r="A40" s="39">
        <v>46250</v>
      </c>
      <c r="B40" s="34" t="s">
        <v>630</v>
      </c>
      <c r="C40" s="34" t="s">
        <v>644</v>
      </c>
    </row>
    <row r="41" spans="1:3" x14ac:dyDescent="0.25">
      <c r="A41" s="39">
        <v>46256</v>
      </c>
      <c r="B41" s="34" t="s">
        <v>631</v>
      </c>
      <c r="C41" s="34" t="s">
        <v>644</v>
      </c>
    </row>
    <row r="42" spans="1:3" x14ac:dyDescent="0.25">
      <c r="A42" s="39">
        <v>46259</v>
      </c>
      <c r="B42" s="34" t="s">
        <v>632</v>
      </c>
      <c r="C42" s="34" t="s">
        <v>644</v>
      </c>
    </row>
    <row r="43" spans="1:3" x14ac:dyDescent="0.25">
      <c r="A43" s="42">
        <v>46286</v>
      </c>
      <c r="B43" s="43" t="s">
        <v>633</v>
      </c>
      <c r="C43" s="43" t="s">
        <v>638</v>
      </c>
    </row>
    <row r="44" spans="1:3" x14ac:dyDescent="0.25">
      <c r="A44" s="38">
        <v>46294</v>
      </c>
      <c r="B44" s="33" t="s">
        <v>606</v>
      </c>
      <c r="C44" s="34" t="s">
        <v>598</v>
      </c>
    </row>
    <row r="45" spans="1:3" ht="28.5" x14ac:dyDescent="0.25">
      <c r="A45" s="39">
        <v>46294</v>
      </c>
      <c r="B45" s="34" t="s">
        <v>634</v>
      </c>
      <c r="C45" s="34" t="s">
        <v>644</v>
      </c>
    </row>
    <row r="46" spans="1:3" ht="28.5" x14ac:dyDescent="0.25">
      <c r="A46" s="39">
        <v>46307</v>
      </c>
      <c r="B46" s="34" t="s">
        <v>635</v>
      </c>
      <c r="C46" s="34" t="s">
        <v>644</v>
      </c>
    </row>
    <row r="47" spans="1:3" ht="28.5" x14ac:dyDescent="0.25">
      <c r="A47" s="39">
        <v>46318</v>
      </c>
      <c r="B47" s="34" t="s">
        <v>636</v>
      </c>
      <c r="C47" s="34" t="s">
        <v>644</v>
      </c>
    </row>
    <row r="48" spans="1:3" ht="28.5" x14ac:dyDescent="0.25">
      <c r="A48" s="39">
        <v>46351</v>
      </c>
      <c r="B48" s="34" t="s">
        <v>637</v>
      </c>
      <c r="C48" s="34" t="s">
        <v>644</v>
      </c>
    </row>
    <row r="49" spans="1:3" x14ac:dyDescent="0.25">
      <c r="A49" s="38">
        <v>46356</v>
      </c>
      <c r="B49" s="36" t="s">
        <v>607</v>
      </c>
      <c r="C49" s="34" t="s">
        <v>643</v>
      </c>
    </row>
    <row r="50" spans="1:3" x14ac:dyDescent="0.25">
      <c r="A50" s="38">
        <v>46364</v>
      </c>
      <c r="B50" s="33" t="s">
        <v>608</v>
      </c>
      <c r="C50" s="34" t="s">
        <v>598</v>
      </c>
    </row>
    <row r="51" spans="1:3" ht="28.5" x14ac:dyDescent="0.25">
      <c r="A51" s="38">
        <v>46367</v>
      </c>
      <c r="B51" s="33" t="s">
        <v>609</v>
      </c>
      <c r="C51" s="34" t="s">
        <v>642</v>
      </c>
    </row>
    <row r="52" spans="1:3" x14ac:dyDescent="0.25">
      <c r="A52" s="38">
        <v>46381</v>
      </c>
      <c r="B52" s="33" t="s">
        <v>610</v>
      </c>
      <c r="C52" s="34" t="s">
        <v>598</v>
      </c>
    </row>
  </sheetData>
  <sortState xmlns:xlrd2="http://schemas.microsoft.com/office/spreadsheetml/2017/richdata2" ref="A2:C52">
    <sortCondition ref="A2:A5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A2C8-A7D6-4143-AB55-2C5AB0422672}">
  <dimension ref="B1:E52"/>
  <sheetViews>
    <sheetView topLeftCell="B1" workbookViewId="0">
      <selection activeCell="B1" sqref="A1:XFD1048576"/>
    </sheetView>
  </sheetViews>
  <sheetFormatPr baseColWidth="10" defaultColWidth="9.140625" defaultRowHeight="15" x14ac:dyDescent="0.25"/>
  <cols>
    <col min="2" max="2" width="58.42578125" customWidth="1"/>
    <col min="3" max="3" width="60.140625" customWidth="1"/>
    <col min="4" max="4" width="20.140625" style="55" bestFit="1" customWidth="1"/>
    <col min="5" max="5" width="19.28515625" customWidth="1"/>
  </cols>
  <sheetData>
    <row r="1" spans="2:5" x14ac:dyDescent="0.25">
      <c r="B1" s="37" t="s">
        <v>722</v>
      </c>
      <c r="C1" s="37" t="s">
        <v>722</v>
      </c>
      <c r="D1" s="36" t="s">
        <v>732</v>
      </c>
      <c r="E1" s="56" t="s">
        <v>648</v>
      </c>
    </row>
    <row r="2" spans="2:5" x14ac:dyDescent="0.25">
      <c r="B2" s="89" t="str">
        <f>+CONCATENATE(LEFT(D2,3),"-",C2)</f>
        <v>Ale-02. Presenta lagunas en conocimientos previos.</v>
      </c>
      <c r="C2" s="89" t="s">
        <v>728</v>
      </c>
      <c r="D2" s="88" t="s">
        <v>734</v>
      </c>
      <c r="E2" s="93" t="s">
        <v>649</v>
      </c>
    </row>
    <row r="3" spans="2:5" x14ac:dyDescent="0.25">
      <c r="B3" s="89" t="str">
        <f t="shared" ref="B3:B52" si="0">+CONCATENATE(LEFT(D3,3),"-",C3)</f>
        <v>Ale-04. Se limita a memorizar sin comprender.</v>
      </c>
      <c r="C3" s="89" t="s">
        <v>729</v>
      </c>
      <c r="D3" s="88" t="s">
        <v>734</v>
      </c>
      <c r="E3" s="93" t="s">
        <v>649</v>
      </c>
    </row>
    <row r="4" spans="2:5" x14ac:dyDescent="0.25">
      <c r="B4" s="89" t="str">
        <f t="shared" si="0"/>
        <v>Ale-06. Entrega tareas incompletas o descuidadas.</v>
      </c>
      <c r="C4" s="89" t="s">
        <v>730</v>
      </c>
      <c r="D4" s="88" t="s">
        <v>734</v>
      </c>
      <c r="E4" s="93" t="s">
        <v>649</v>
      </c>
    </row>
    <row r="5" spans="2:5" x14ac:dyDescent="0.25">
      <c r="B5" s="89" t="str">
        <f t="shared" si="0"/>
        <v>Ale-08. Se bloquea ante desafíos matemáticos.</v>
      </c>
      <c r="C5" s="89" t="s">
        <v>731</v>
      </c>
      <c r="D5" s="88" t="s">
        <v>734</v>
      </c>
      <c r="E5" s="93" t="s">
        <v>649</v>
      </c>
    </row>
    <row r="6" spans="2:5" x14ac:dyDescent="0.25">
      <c r="B6" s="89" t="str">
        <f t="shared" si="0"/>
        <v>Ale-10. Tiene dificultades de expresión oral/escrita.</v>
      </c>
      <c r="C6" s="89" t="s">
        <v>650</v>
      </c>
      <c r="D6" s="88" t="s">
        <v>734</v>
      </c>
      <c r="E6" s="93" t="s">
        <v>649</v>
      </c>
    </row>
    <row r="7" spans="2:5" x14ac:dyDescent="0.25">
      <c r="B7" s="89" t="str">
        <f t="shared" si="0"/>
        <v>Ale-12. Muestra rechazo o desinterés por la lectura.</v>
      </c>
      <c r="C7" s="89" t="s">
        <v>652</v>
      </c>
      <c r="D7" s="88" t="s">
        <v>734</v>
      </c>
      <c r="E7" s="93" t="s">
        <v>649</v>
      </c>
    </row>
    <row r="8" spans="2:5" x14ac:dyDescent="0.25">
      <c r="B8" s="89" t="str">
        <f t="shared" si="0"/>
        <v>Ale-14. Requiere supervisión constante para avanzar.</v>
      </c>
      <c r="C8" s="89" t="s">
        <v>654</v>
      </c>
      <c r="D8" s="88" t="s">
        <v>734</v>
      </c>
      <c r="E8" s="93" t="s">
        <v>649</v>
      </c>
    </row>
    <row r="9" spans="2:5" x14ac:dyDescent="0.25">
      <c r="B9" s="89" t="str">
        <f t="shared" si="0"/>
        <v>Ale-16. Muestra apatía por temas nuevos.</v>
      </c>
      <c r="C9" s="89" t="s">
        <v>656</v>
      </c>
      <c r="D9" s="88" t="s">
        <v>734</v>
      </c>
      <c r="E9" s="93" t="s">
        <v>649</v>
      </c>
    </row>
    <row r="10" spans="2:5" x14ac:dyDescent="0.25">
      <c r="B10" s="89" t="str">
        <f t="shared" si="0"/>
        <v>Ale-18. Desafía activamente la autoridad.</v>
      </c>
      <c r="C10" s="89" t="s">
        <v>659</v>
      </c>
      <c r="D10" s="88" t="s">
        <v>734</v>
      </c>
      <c r="E10" s="93" t="s">
        <v>657</v>
      </c>
    </row>
    <row r="11" spans="2:5" x14ac:dyDescent="0.25">
      <c r="B11" s="89" t="str">
        <f t="shared" si="0"/>
        <v>Ale-20. Presenta retardos o inasistencias frecuentes.</v>
      </c>
      <c r="C11" s="89" t="s">
        <v>661</v>
      </c>
      <c r="D11" s="88" t="s">
        <v>734</v>
      </c>
      <c r="E11" s="93" t="s">
        <v>657</v>
      </c>
    </row>
    <row r="12" spans="2:5" x14ac:dyDescent="0.25">
      <c r="B12" s="89" t="str">
        <f t="shared" si="0"/>
        <v>Ale-22. Daña el mobiliario o materiales escolares.</v>
      </c>
      <c r="C12" s="89" t="s">
        <v>663</v>
      </c>
      <c r="D12" s="88" t="s">
        <v>734</v>
      </c>
      <c r="E12" s="93" t="s">
        <v>657</v>
      </c>
    </row>
    <row r="13" spans="2:5" x14ac:dyDescent="0.25">
      <c r="B13" s="89" t="str">
        <f t="shared" si="0"/>
        <v>Ale-24. Interrumpe constantemente el flujo de clase.</v>
      </c>
      <c r="C13" s="89" t="s">
        <v>665</v>
      </c>
      <c r="D13" s="88" t="s">
        <v>734</v>
      </c>
      <c r="E13" s="93" t="s">
        <v>657</v>
      </c>
    </row>
    <row r="14" spans="2:5" x14ac:dyDescent="0.25">
      <c r="B14" s="89" t="str">
        <f t="shared" si="0"/>
        <v>Ale-26. Emplea lenguaje soez o despectivo.</v>
      </c>
      <c r="C14" s="89" t="s">
        <v>667</v>
      </c>
      <c r="D14" s="88" t="s">
        <v>734</v>
      </c>
      <c r="E14" s="93" t="s">
        <v>657</v>
      </c>
    </row>
    <row r="15" spans="2:5" x14ac:dyDescent="0.25">
      <c r="B15" s="89" t="str">
        <f t="shared" si="0"/>
        <v>Ale-28. Miente o culpa a otros por sus actos.</v>
      </c>
      <c r="C15" s="89" t="s">
        <v>669</v>
      </c>
      <c r="D15" s="88" t="s">
        <v>734</v>
      </c>
      <c r="E15" s="93" t="s">
        <v>657</v>
      </c>
    </row>
    <row r="16" spans="2:5" x14ac:dyDescent="0.25">
      <c r="B16" s="89" t="str">
        <f t="shared" si="0"/>
        <v>Ale-30. Se distrae con dispositivos electrónicos.</v>
      </c>
      <c r="C16" s="89" t="s">
        <v>671</v>
      </c>
      <c r="D16" s="88" t="s">
        <v>734</v>
      </c>
      <c r="E16" s="93" t="s">
        <v>657</v>
      </c>
    </row>
    <row r="17" spans="2:5" x14ac:dyDescent="0.25">
      <c r="B17" s="89" t="str">
        <f t="shared" si="0"/>
        <v>Ale-32. Fomenta el desorden o el caos en el grupo.</v>
      </c>
      <c r="C17" s="89" t="s">
        <v>673</v>
      </c>
      <c r="D17" s="88" t="s">
        <v>734</v>
      </c>
      <c r="E17" s="93" t="s">
        <v>657</v>
      </c>
    </row>
    <row r="18" spans="2:5" x14ac:dyDescent="0.25">
      <c r="B18" s="89" t="str">
        <f t="shared" si="0"/>
        <v>Ale-34. Se rinde fácilmente ante la frustración.</v>
      </c>
      <c r="C18" s="89" t="s">
        <v>676</v>
      </c>
      <c r="D18" s="88" t="s">
        <v>734</v>
      </c>
      <c r="E18" s="93" t="s">
        <v>674</v>
      </c>
    </row>
    <row r="19" spans="2:5" x14ac:dyDescent="0.25">
      <c r="B19" s="89" t="str">
        <f t="shared" si="0"/>
        <v>Ale-36. Trabaja de forma aislada o es individualista.</v>
      </c>
      <c r="C19" s="89" t="s">
        <v>678</v>
      </c>
      <c r="D19" s="88" t="s">
        <v>734</v>
      </c>
      <c r="E19" s="93" t="s">
        <v>674</v>
      </c>
    </row>
    <row r="20" spans="2:5" x14ac:dyDescent="0.25">
      <c r="B20" s="89" t="str">
        <f t="shared" si="0"/>
        <v>Ale-38. Ignora o se burla de los sentimientos de otros.</v>
      </c>
      <c r="C20" s="89" t="s">
        <v>680</v>
      </c>
      <c r="D20" s="88" t="s">
        <v>734</v>
      </c>
      <c r="E20" s="93" t="s">
        <v>674</v>
      </c>
    </row>
    <row r="21" spans="2:5" x14ac:dyDescent="0.25">
      <c r="B21" s="89" t="str">
        <f t="shared" si="0"/>
        <v>Ale-40. Ejerce presión negativa o bullying.</v>
      </c>
      <c r="C21" s="89" t="s">
        <v>682</v>
      </c>
      <c r="D21" s="88" t="s">
        <v>734</v>
      </c>
      <c r="E21" s="93" t="s">
        <v>674</v>
      </c>
    </row>
    <row r="22" spans="2:5" x14ac:dyDescent="0.25">
      <c r="B22" s="89" t="str">
        <f t="shared" si="0"/>
        <v>Ale-42. Reacciona de forma agresiva o impulsiva.</v>
      </c>
      <c r="C22" s="89" t="s">
        <v>684</v>
      </c>
      <c r="D22" s="88" t="s">
        <v>734</v>
      </c>
      <c r="E22" s="93" t="s">
        <v>674</v>
      </c>
    </row>
    <row r="23" spans="2:5" x14ac:dyDescent="0.25">
      <c r="B23" s="89" t="str">
        <f t="shared" si="0"/>
        <v>Ale-44. Expresa inseguridad constante ("no puedo").</v>
      </c>
      <c r="C23" s="89" t="s">
        <v>686</v>
      </c>
      <c r="D23" s="88" t="s">
        <v>734</v>
      </c>
      <c r="E23" s="93" t="s">
        <v>674</v>
      </c>
    </row>
    <row r="24" spans="2:5" x14ac:dyDescent="0.25">
      <c r="B24" s="89" t="str">
        <f t="shared" si="0"/>
        <v>Ale-46. Requiere estímulos externos para trabajar.</v>
      </c>
      <c r="C24" s="89" t="s">
        <v>689</v>
      </c>
      <c r="D24" s="88" t="s">
        <v>734</v>
      </c>
      <c r="E24" s="93" t="s">
        <v>687</v>
      </c>
    </row>
    <row r="25" spans="2:5" x14ac:dyDescent="0.25">
      <c r="B25" s="89" t="str">
        <f t="shared" si="0"/>
        <v>Ale-48. Abandona proyectos a mitad de camino.</v>
      </c>
      <c r="C25" s="89" t="s">
        <v>691</v>
      </c>
      <c r="D25" s="88" t="s">
        <v>734</v>
      </c>
      <c r="E25" s="93" t="s">
        <v>687</v>
      </c>
    </row>
    <row r="26" spans="2:5" x14ac:dyDescent="0.25">
      <c r="B26" s="89" t="str">
        <f t="shared" si="0"/>
        <v>Ale-50. Se muestra a la defensiva ante críticas.</v>
      </c>
      <c r="C26" s="89" t="s">
        <v>693</v>
      </c>
      <c r="D26" s="88" t="s">
        <v>734</v>
      </c>
      <c r="E26" s="93" t="s">
        <v>687</v>
      </c>
    </row>
    <row r="27" spans="2:5" ht="3.75" customHeight="1" x14ac:dyDescent="0.25">
      <c r="B27" s="89"/>
      <c r="C27" s="89"/>
      <c r="D27" s="88"/>
      <c r="E27" s="93"/>
    </row>
    <row r="28" spans="2:5" x14ac:dyDescent="0.25">
      <c r="B28" s="89" t="str">
        <f t="shared" si="0"/>
        <v>For-01. Domina los conceptos clave del grado.</v>
      </c>
      <c r="C28" s="34" t="s">
        <v>723</v>
      </c>
      <c r="D28" s="33" t="s">
        <v>733</v>
      </c>
      <c r="E28" s="92" t="s">
        <v>649</v>
      </c>
    </row>
    <row r="29" spans="2:5" x14ac:dyDescent="0.25">
      <c r="B29" s="89" t="str">
        <f t="shared" si="0"/>
        <v>For-03. Posee un pensamiento crítico y analítico.</v>
      </c>
      <c r="C29" s="34" t="s">
        <v>724</v>
      </c>
      <c r="D29" s="33" t="s">
        <v>733</v>
      </c>
      <c r="E29" s="92" t="s">
        <v>649</v>
      </c>
    </row>
    <row r="30" spans="2:5" x14ac:dyDescent="0.25">
      <c r="B30" s="89" t="str">
        <f t="shared" si="0"/>
        <v>For-05. Entrega trabajos con alta calidad y orden.</v>
      </c>
      <c r="C30" s="34" t="s">
        <v>725</v>
      </c>
      <c r="D30" s="33" t="s">
        <v>733</v>
      </c>
      <c r="E30" s="92" t="s">
        <v>649</v>
      </c>
    </row>
    <row r="31" spans="2:5" x14ac:dyDescent="0.25">
      <c r="B31" s="89" t="str">
        <f t="shared" si="0"/>
        <v>For-07. Resuelve problemas lógicos con fluidez.</v>
      </c>
      <c r="C31" s="34" t="s">
        <v>726</v>
      </c>
      <c r="D31" s="33" t="s">
        <v>733</v>
      </c>
      <c r="E31" s="92" t="s">
        <v>649</v>
      </c>
    </row>
    <row r="32" spans="2:5" x14ac:dyDescent="0.25">
      <c r="B32" s="89" t="str">
        <f t="shared" si="0"/>
        <v>For-09. Utiliza vocabulario técnico preciso.</v>
      </c>
      <c r="C32" s="34" t="s">
        <v>727</v>
      </c>
      <c r="D32" s="33" t="s">
        <v>733</v>
      </c>
      <c r="E32" s="92" t="s">
        <v>649</v>
      </c>
    </row>
    <row r="33" spans="2:5" x14ac:dyDescent="0.25">
      <c r="B33" s="89" t="str">
        <f t="shared" si="0"/>
        <v>For-11. Posee excelentes hábitos de lectura.</v>
      </c>
      <c r="C33" s="34" t="s">
        <v>651</v>
      </c>
      <c r="D33" s="33" t="s">
        <v>733</v>
      </c>
      <c r="E33" s="92" t="s">
        <v>649</v>
      </c>
    </row>
    <row r="34" spans="2:5" x14ac:dyDescent="0.25">
      <c r="B34" s="89" t="str">
        <f t="shared" si="0"/>
        <v>For-13. Es autónomo en la realización de tareas.</v>
      </c>
      <c r="C34" s="34" t="s">
        <v>653</v>
      </c>
      <c r="D34" s="33" t="s">
        <v>733</v>
      </c>
      <c r="E34" s="92" t="s">
        <v>649</v>
      </c>
    </row>
    <row r="35" spans="2:5" x14ac:dyDescent="0.25">
      <c r="B35" s="89" t="str">
        <f t="shared" si="0"/>
        <v>For-15. Investiga más allá de lo solicitado.</v>
      </c>
      <c r="C35" s="34" t="s">
        <v>655</v>
      </c>
      <c r="D35" s="33" t="s">
        <v>733</v>
      </c>
      <c r="E35" s="92" t="s">
        <v>649</v>
      </c>
    </row>
    <row r="36" spans="2:5" x14ac:dyDescent="0.25">
      <c r="B36" s="89" t="str">
        <f t="shared" si="0"/>
        <v>For-17. Respeta las normas de convivencia.</v>
      </c>
      <c r="C36" s="34" t="s">
        <v>658</v>
      </c>
      <c r="D36" s="33" t="s">
        <v>733</v>
      </c>
      <c r="E36" s="92" t="s">
        <v>657</v>
      </c>
    </row>
    <row r="37" spans="2:5" x14ac:dyDescent="0.25">
      <c r="B37" s="89" t="str">
        <f t="shared" si="0"/>
        <v>For-19. Es puntual en todas sus obligaciones.</v>
      </c>
      <c r="C37" s="34" t="s">
        <v>660</v>
      </c>
      <c r="D37" s="33" t="s">
        <v>733</v>
      </c>
      <c r="E37" s="92" t="s">
        <v>657</v>
      </c>
    </row>
    <row r="38" spans="2:5" x14ac:dyDescent="0.25">
      <c r="B38" s="89" t="str">
        <f t="shared" si="0"/>
        <v>For-21. Cuida el material propio y ajeno.</v>
      </c>
      <c r="C38" s="34" t="s">
        <v>662</v>
      </c>
      <c r="D38" s="33" t="s">
        <v>733</v>
      </c>
      <c r="E38" s="92" t="s">
        <v>657</v>
      </c>
    </row>
    <row r="39" spans="2:5" x14ac:dyDescent="0.25">
      <c r="B39" s="89" t="str">
        <f t="shared" si="0"/>
        <v>For-23. Escucha con atención y no interrumpe.</v>
      </c>
      <c r="C39" s="34" t="s">
        <v>664</v>
      </c>
      <c r="D39" s="33" t="s">
        <v>733</v>
      </c>
      <c r="E39" s="92" t="s">
        <v>657</v>
      </c>
    </row>
    <row r="40" spans="2:5" x14ac:dyDescent="0.25">
      <c r="B40" s="89" t="str">
        <f t="shared" si="0"/>
        <v>For-25. Utiliza el lenguaje de forma respetuosa.</v>
      </c>
      <c r="C40" s="34" t="s">
        <v>666</v>
      </c>
      <c r="D40" s="33" t="s">
        <v>733</v>
      </c>
      <c r="E40" s="92" t="s">
        <v>657</v>
      </c>
    </row>
    <row r="41" spans="2:5" x14ac:dyDescent="0.25">
      <c r="B41" s="89" t="str">
        <f t="shared" si="0"/>
        <v>For-27. Reconoce sus errores honestamente.</v>
      </c>
      <c r="C41" s="34" t="s">
        <v>668</v>
      </c>
      <c r="D41" s="33" t="s">
        <v>733</v>
      </c>
      <c r="E41" s="92" t="s">
        <v>657</v>
      </c>
    </row>
    <row r="42" spans="2:5" x14ac:dyDescent="0.25">
      <c r="B42" s="89" t="str">
        <f t="shared" si="0"/>
        <v>For-29. Usa la tecnología con fines educativos.</v>
      </c>
      <c r="C42" s="34" t="s">
        <v>670</v>
      </c>
      <c r="D42" s="33" t="s">
        <v>733</v>
      </c>
      <c r="E42" s="92" t="s">
        <v>657</v>
      </c>
    </row>
    <row r="43" spans="2:5" x14ac:dyDescent="0.25">
      <c r="B43" s="89" t="str">
        <f t="shared" si="0"/>
        <v>For-31. Mantiene el orden en espacios comunes.</v>
      </c>
      <c r="C43" s="34" t="s">
        <v>672</v>
      </c>
      <c r="D43" s="33" t="s">
        <v>733</v>
      </c>
      <c r="E43" s="92" t="s">
        <v>657</v>
      </c>
    </row>
    <row r="44" spans="2:5" x14ac:dyDescent="0.25">
      <c r="B44" s="89" t="str">
        <f t="shared" si="0"/>
        <v>For-33. Muestra resiliencia ante el fracaso.</v>
      </c>
      <c r="C44" s="34" t="s">
        <v>675</v>
      </c>
      <c r="D44" s="33" t="s">
        <v>733</v>
      </c>
      <c r="E44" s="92" t="s">
        <v>674</v>
      </c>
    </row>
    <row r="45" spans="2:5" x14ac:dyDescent="0.25">
      <c r="B45" s="89" t="str">
        <f t="shared" si="0"/>
        <v>For-35. Trabaja de forma colaborativa y equitativa.</v>
      </c>
      <c r="C45" s="34" t="s">
        <v>677</v>
      </c>
      <c r="D45" s="33" t="s">
        <v>733</v>
      </c>
      <c r="E45" s="92" t="s">
        <v>674</v>
      </c>
    </row>
    <row r="46" spans="2:5" x14ac:dyDescent="0.25">
      <c r="B46" s="89" t="str">
        <f t="shared" si="0"/>
        <v>For-37. Es empático con las necesidades ajenas.</v>
      </c>
      <c r="C46" s="34" t="s">
        <v>679</v>
      </c>
      <c r="D46" s="33" t="s">
        <v>733</v>
      </c>
      <c r="E46" s="92" t="s">
        <v>674</v>
      </c>
    </row>
    <row r="47" spans="2:5" x14ac:dyDescent="0.25">
      <c r="B47" s="89" t="str">
        <f t="shared" si="0"/>
        <v>For-39. Posee un liderazgo positivo y ético.</v>
      </c>
      <c r="C47" s="34" t="s">
        <v>681</v>
      </c>
      <c r="D47" s="33" t="s">
        <v>733</v>
      </c>
      <c r="E47" s="92" t="s">
        <v>674</v>
      </c>
    </row>
    <row r="48" spans="2:5" x14ac:dyDescent="0.25">
      <c r="B48" s="89" t="str">
        <f t="shared" si="0"/>
        <v>For-41. Se comunica de manera asertiva.</v>
      </c>
      <c r="C48" s="34" t="s">
        <v>683</v>
      </c>
      <c r="D48" s="33" t="s">
        <v>733</v>
      </c>
      <c r="E48" s="92" t="s">
        <v>674</v>
      </c>
    </row>
    <row r="49" spans="2:5" x14ac:dyDescent="0.25">
      <c r="B49" s="89" t="str">
        <f t="shared" si="0"/>
        <v>For-43. Tiene una autoestima académica sólida.</v>
      </c>
      <c r="C49" s="34" t="s">
        <v>685</v>
      </c>
      <c r="D49" s="33" t="s">
        <v>733</v>
      </c>
      <c r="E49" s="92" t="s">
        <v>674</v>
      </c>
    </row>
    <row r="50" spans="2:5" x14ac:dyDescent="0.25">
      <c r="B50" s="89" t="str">
        <f t="shared" si="0"/>
        <v>For-45. Muestra curiosidad e iniciativa propia.</v>
      </c>
      <c r="C50" s="34" t="s">
        <v>688</v>
      </c>
      <c r="D50" s="33" t="s">
        <v>733</v>
      </c>
      <c r="E50" s="92" t="s">
        <v>687</v>
      </c>
    </row>
    <row r="51" spans="2:5" x14ac:dyDescent="0.25">
      <c r="B51" s="89" t="str">
        <f t="shared" si="0"/>
        <v>For-47. Es persistente en tareas complejas.</v>
      </c>
      <c r="C51" s="34" t="s">
        <v>690</v>
      </c>
      <c r="D51" s="33" t="s">
        <v>733</v>
      </c>
      <c r="E51" s="92" t="s">
        <v>687</v>
      </c>
    </row>
    <row r="52" spans="2:5" x14ac:dyDescent="0.25">
      <c r="B52" s="89" t="str">
        <f t="shared" si="0"/>
        <v>For-49. Acepta retroalimentación constructiva.</v>
      </c>
      <c r="C52" s="34" t="s">
        <v>692</v>
      </c>
      <c r="D52" s="33" t="s">
        <v>733</v>
      </c>
      <c r="E52" s="92" t="s">
        <v>687</v>
      </c>
    </row>
  </sheetData>
  <sortState xmlns:xlrd2="http://schemas.microsoft.com/office/spreadsheetml/2017/richdata2" ref="B2:E52">
    <sortCondition ref="D1:D5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2744-52A0-4796-89D1-190BEC84E29B}">
  <dimension ref="A1:R61"/>
  <sheetViews>
    <sheetView topLeftCell="L10" zoomScale="85" zoomScaleNormal="85" workbookViewId="0">
      <selection activeCell="V28" sqref="V28"/>
    </sheetView>
  </sheetViews>
  <sheetFormatPr baseColWidth="10" defaultRowHeight="15" x14ac:dyDescent="0.25"/>
  <cols>
    <col min="1" max="1" width="18.28515625" bestFit="1" customWidth="1"/>
    <col min="2" max="2" width="58.42578125" hidden="1" customWidth="1"/>
    <col min="3" max="3" width="60.140625" customWidth="1"/>
    <col min="4" max="4" width="20.140625" style="55" bestFit="1" customWidth="1"/>
    <col min="5" max="5" width="17.140625" style="22" bestFit="1" customWidth="1"/>
    <col min="6" max="6" width="6.85546875" customWidth="1"/>
    <col min="7" max="7" width="3.7109375" bestFit="1" customWidth="1"/>
    <col min="8" max="10" width="3.7109375" customWidth="1"/>
    <col min="11" max="11" width="5.42578125" customWidth="1"/>
    <col min="12" max="12" width="22.42578125" bestFit="1" customWidth="1"/>
    <col min="13" max="13" width="29.28515625" bestFit="1" customWidth="1"/>
    <col min="14" max="14" width="22.42578125" bestFit="1" customWidth="1"/>
    <col min="15" max="15" width="14.85546875" bestFit="1" customWidth="1"/>
    <col min="16" max="16" width="12.5703125" bestFit="1" customWidth="1"/>
    <col min="17" max="17" width="5.28515625" customWidth="1"/>
  </cols>
  <sheetData>
    <row r="1" spans="1:16" ht="30" x14ac:dyDescent="0.25">
      <c r="A1" s="56" t="s">
        <v>648</v>
      </c>
      <c r="B1" s="37" t="s">
        <v>722</v>
      </c>
      <c r="C1" s="37" t="s">
        <v>722</v>
      </c>
      <c r="D1" s="36" t="s">
        <v>732</v>
      </c>
      <c r="E1" s="96" t="s">
        <v>744</v>
      </c>
      <c r="F1" t="s">
        <v>918</v>
      </c>
      <c r="G1">
        <f>+'Datos '!G37</f>
        <v>37</v>
      </c>
    </row>
    <row r="2" spans="1:16" x14ac:dyDescent="0.25">
      <c r="A2" s="93" t="s">
        <v>649</v>
      </c>
      <c r="B2" s="89" t="str">
        <f>+CONCATENATE(LEFT(D2,3),"-",C2)</f>
        <v>Ale-02. Presenta lagunas en conocimientos previos.</v>
      </c>
      <c r="C2" s="89" t="s">
        <v>728</v>
      </c>
      <c r="D2" s="88" t="s">
        <v>734</v>
      </c>
      <c r="E2" s="95">
        <v>37</v>
      </c>
      <c r="F2">
        <f>IF(D2="Alerta/Mejora",
  IF(E2&lt;=3, 5, IF(E2&lt;=7, 4, IF(E2&lt;=11, 3, IF(E2&lt;=15, 2, 1)))),
  IF(E2&gt;=34, 5, IF(E2&gt;=30, 4, IF(E2&gt;=26, 3, IF(E2&gt;=22, 2, 1))))
)</f>
        <v>1</v>
      </c>
      <c r="G2">
        <f>+G$1-E2</f>
        <v>0</v>
      </c>
    </row>
    <row r="3" spans="1:16" x14ac:dyDescent="0.25">
      <c r="A3" s="93" t="s">
        <v>649</v>
      </c>
      <c r="B3" s="89" t="str">
        <f t="shared" ref="B3:B52" si="0">+CONCATENATE(LEFT(D3,3),"-",C3)</f>
        <v>Ale-04. Se limita a memorizar sin comprender.</v>
      </c>
      <c r="C3" s="89" t="s">
        <v>729</v>
      </c>
      <c r="D3" s="88" t="s">
        <v>734</v>
      </c>
      <c r="E3" s="95">
        <f>37-19</f>
        <v>18</v>
      </c>
      <c r="F3">
        <f t="shared" ref="F3:F52" si="1">IF(D3="Alerta/Mejora",
  IF(E3&lt;=3, 5, IF(E3&lt;=7, 4, IF(E3&lt;=11, 3, IF(E3&lt;=15, 2, 1)))),
  IF(E3&gt;=34, 5, IF(E3&gt;=30, 4, IF(E3&gt;=26, 3, IF(E3&gt;=22, 2, 1))))
)</f>
        <v>1</v>
      </c>
      <c r="G3">
        <f t="shared" ref="G3:G26" si="2">+G$1-E3</f>
        <v>19</v>
      </c>
      <c r="I3" s="108">
        <v>0</v>
      </c>
      <c r="J3" s="108">
        <v>21</v>
      </c>
      <c r="K3" s="109">
        <v>1</v>
      </c>
      <c r="M3" s="94" t="s">
        <v>927</v>
      </c>
      <c r="N3" s="94" t="s">
        <v>740</v>
      </c>
    </row>
    <row r="4" spans="1:16" x14ac:dyDescent="0.25">
      <c r="A4" s="93" t="s">
        <v>649</v>
      </c>
      <c r="B4" s="89" t="str">
        <f t="shared" si="0"/>
        <v>Ale-06. Entrega tareas incompletas o descuidadas.</v>
      </c>
      <c r="C4" s="89" t="s">
        <v>730</v>
      </c>
      <c r="D4" s="88" t="s">
        <v>734</v>
      </c>
      <c r="E4" s="95">
        <v>4</v>
      </c>
      <c r="F4">
        <f t="shared" si="1"/>
        <v>4</v>
      </c>
      <c r="G4">
        <f t="shared" si="2"/>
        <v>33</v>
      </c>
      <c r="I4" s="108">
        <v>22</v>
      </c>
      <c r="J4" s="108">
        <v>25</v>
      </c>
      <c r="K4" s="109">
        <v>2</v>
      </c>
      <c r="M4" s="94" t="s">
        <v>737</v>
      </c>
      <c r="N4" t="s">
        <v>734</v>
      </c>
      <c r="O4" t="s">
        <v>733</v>
      </c>
      <c r="P4" t="s">
        <v>739</v>
      </c>
    </row>
    <row r="5" spans="1:16" x14ac:dyDescent="0.25">
      <c r="A5" s="93" t="s">
        <v>649</v>
      </c>
      <c r="B5" s="89" t="str">
        <f t="shared" si="0"/>
        <v>Ale-08. Se bloquea ante desafíos matemáticos.</v>
      </c>
      <c r="C5" s="89" t="s">
        <v>731</v>
      </c>
      <c r="D5" s="88" t="s">
        <v>734</v>
      </c>
      <c r="E5" s="95">
        <v>18</v>
      </c>
      <c r="F5">
        <f t="shared" si="1"/>
        <v>1</v>
      </c>
      <c r="G5">
        <f t="shared" si="2"/>
        <v>19</v>
      </c>
      <c r="I5" s="108">
        <v>26</v>
      </c>
      <c r="J5" s="108">
        <v>29</v>
      </c>
      <c r="K5" s="109">
        <v>3</v>
      </c>
      <c r="M5" s="55" t="s">
        <v>649</v>
      </c>
      <c r="N5">
        <v>3.5</v>
      </c>
      <c r="O5">
        <v>11.25</v>
      </c>
      <c r="P5">
        <v>7.375</v>
      </c>
    </row>
    <row r="6" spans="1:16" x14ac:dyDescent="0.25">
      <c r="A6" s="93" t="s">
        <v>649</v>
      </c>
      <c r="B6" s="89" t="str">
        <f t="shared" si="0"/>
        <v>Ale-10. Tiene dificultades de expresión oral/escrita.</v>
      </c>
      <c r="C6" s="89" t="s">
        <v>650</v>
      </c>
      <c r="D6" s="88" t="s">
        <v>734</v>
      </c>
      <c r="E6" s="95">
        <v>14</v>
      </c>
      <c r="F6">
        <f t="shared" si="1"/>
        <v>2</v>
      </c>
      <c r="G6">
        <f t="shared" si="2"/>
        <v>23</v>
      </c>
      <c r="I6" s="108">
        <v>30</v>
      </c>
      <c r="J6" s="108">
        <v>33</v>
      </c>
      <c r="K6" s="109">
        <v>4</v>
      </c>
      <c r="M6" s="55" t="s">
        <v>687</v>
      </c>
      <c r="N6">
        <v>2.6666666666666665</v>
      </c>
      <c r="O6">
        <v>32.333333333333336</v>
      </c>
      <c r="P6">
        <v>17.5</v>
      </c>
    </row>
    <row r="7" spans="1:16" x14ac:dyDescent="0.25">
      <c r="A7" s="93" t="s">
        <v>649</v>
      </c>
      <c r="B7" s="89" t="str">
        <f t="shared" si="0"/>
        <v>Ale-12. Muestra rechazo o desinterés por la lectura.</v>
      </c>
      <c r="C7" s="89" t="s">
        <v>652</v>
      </c>
      <c r="D7" s="88" t="s">
        <v>734</v>
      </c>
      <c r="E7" s="95">
        <v>11</v>
      </c>
      <c r="F7">
        <f t="shared" si="1"/>
        <v>3</v>
      </c>
      <c r="G7">
        <f t="shared" si="2"/>
        <v>26</v>
      </c>
      <c r="I7" s="108">
        <v>34</v>
      </c>
      <c r="J7" s="108">
        <v>37</v>
      </c>
      <c r="K7" s="109">
        <v>5</v>
      </c>
      <c r="M7" s="55" t="s">
        <v>657</v>
      </c>
      <c r="N7">
        <v>4.125</v>
      </c>
      <c r="O7">
        <v>29.875</v>
      </c>
      <c r="P7">
        <v>17</v>
      </c>
    </row>
    <row r="8" spans="1:16" x14ac:dyDescent="0.25">
      <c r="A8" s="93" t="s">
        <v>649</v>
      </c>
      <c r="B8" s="89" t="str">
        <f t="shared" si="0"/>
        <v>Ale-14. Requiere supervisión constante para avanzar.</v>
      </c>
      <c r="C8" s="89" t="s">
        <v>654</v>
      </c>
      <c r="D8" s="88" t="s">
        <v>734</v>
      </c>
      <c r="E8" s="95">
        <f>37-18</f>
        <v>19</v>
      </c>
      <c r="F8">
        <f t="shared" si="1"/>
        <v>1</v>
      </c>
      <c r="G8">
        <f t="shared" si="2"/>
        <v>18</v>
      </c>
      <c r="M8" s="55" t="s">
        <v>674</v>
      </c>
      <c r="N8">
        <v>3.3333333333333335</v>
      </c>
      <c r="O8">
        <v>27</v>
      </c>
      <c r="P8">
        <v>15.166666666666666</v>
      </c>
    </row>
    <row r="9" spans="1:16" x14ac:dyDescent="0.25">
      <c r="A9" s="93" t="s">
        <v>649</v>
      </c>
      <c r="B9" s="89" t="str">
        <f t="shared" si="0"/>
        <v>Ale-16. Muestra apatía por temas nuevos.</v>
      </c>
      <c r="C9" s="89" t="s">
        <v>656</v>
      </c>
      <c r="D9" s="88" t="s">
        <v>734</v>
      </c>
      <c r="E9" s="95">
        <v>7</v>
      </c>
      <c r="F9">
        <f t="shared" si="1"/>
        <v>4</v>
      </c>
      <c r="G9">
        <f t="shared" si="2"/>
        <v>30</v>
      </c>
      <c r="M9" s="55" t="s">
        <v>739</v>
      </c>
      <c r="N9">
        <v>3.56</v>
      </c>
      <c r="O9">
        <v>23.52</v>
      </c>
      <c r="P9">
        <v>13.54</v>
      </c>
    </row>
    <row r="10" spans="1:16" x14ac:dyDescent="0.25">
      <c r="A10" s="93" t="s">
        <v>657</v>
      </c>
      <c r="B10" s="89" t="str">
        <f t="shared" si="0"/>
        <v>Ale-18. Desafía activamente la autoridad.</v>
      </c>
      <c r="C10" s="89" t="s">
        <v>659</v>
      </c>
      <c r="D10" s="88" t="s">
        <v>734</v>
      </c>
      <c r="E10" s="95">
        <v>16</v>
      </c>
      <c r="F10">
        <f t="shared" si="1"/>
        <v>1</v>
      </c>
      <c r="G10">
        <f t="shared" si="2"/>
        <v>21</v>
      </c>
    </row>
    <row r="11" spans="1:16" x14ac:dyDescent="0.25">
      <c r="A11" s="93" t="s">
        <v>657</v>
      </c>
      <c r="B11" s="89" t="str">
        <f t="shared" si="0"/>
        <v>Ale-20. Presenta retardos o inasistencias frecuentes.</v>
      </c>
      <c r="C11" s="89" t="s">
        <v>661</v>
      </c>
      <c r="D11" s="88" t="s">
        <v>734</v>
      </c>
      <c r="E11" s="95">
        <v>2</v>
      </c>
      <c r="F11">
        <f t="shared" si="1"/>
        <v>5</v>
      </c>
      <c r="G11">
        <f t="shared" si="2"/>
        <v>35</v>
      </c>
    </row>
    <row r="12" spans="1:16" x14ac:dyDescent="0.25">
      <c r="A12" s="93" t="s">
        <v>657</v>
      </c>
      <c r="B12" s="89" t="str">
        <f t="shared" si="0"/>
        <v>Ale-22. Daña el mobiliario o materiales escolares.</v>
      </c>
      <c r="C12" s="89" t="s">
        <v>663</v>
      </c>
      <c r="D12" s="88" t="s">
        <v>734</v>
      </c>
      <c r="E12" s="95">
        <v>1</v>
      </c>
      <c r="F12">
        <f t="shared" si="1"/>
        <v>5</v>
      </c>
      <c r="G12">
        <f t="shared" si="2"/>
        <v>36</v>
      </c>
    </row>
    <row r="13" spans="1:16" x14ac:dyDescent="0.25">
      <c r="A13" s="93" t="s">
        <v>657</v>
      </c>
      <c r="B13" s="89" t="str">
        <f t="shared" si="0"/>
        <v>Ale-24. Interrumpe constantemente el flujo de clase.</v>
      </c>
      <c r="C13" s="89" t="s">
        <v>665</v>
      </c>
      <c r="D13" s="88" t="s">
        <v>734</v>
      </c>
      <c r="E13" s="95">
        <v>2</v>
      </c>
      <c r="F13">
        <f t="shared" si="1"/>
        <v>5</v>
      </c>
      <c r="G13">
        <f t="shared" si="2"/>
        <v>35</v>
      </c>
    </row>
    <row r="14" spans="1:16" x14ac:dyDescent="0.25">
      <c r="A14" s="93" t="s">
        <v>657</v>
      </c>
      <c r="B14" s="89" t="str">
        <f t="shared" si="0"/>
        <v>Ale-26. Emplea lenguaje soez o despectivo.</v>
      </c>
      <c r="C14" s="89" t="s">
        <v>667</v>
      </c>
      <c r="D14" s="88" t="s">
        <v>734</v>
      </c>
      <c r="E14" s="95">
        <v>11</v>
      </c>
      <c r="F14">
        <f t="shared" si="1"/>
        <v>3</v>
      </c>
      <c r="G14">
        <f t="shared" si="2"/>
        <v>26</v>
      </c>
    </row>
    <row r="15" spans="1:16" x14ac:dyDescent="0.25">
      <c r="A15" s="93" t="s">
        <v>657</v>
      </c>
      <c r="B15" s="89" t="str">
        <f t="shared" si="0"/>
        <v>Ale-28. Miente o culpa a otros por sus actos.</v>
      </c>
      <c r="C15" s="89" t="s">
        <v>669</v>
      </c>
      <c r="D15" s="88" t="s">
        <v>734</v>
      </c>
      <c r="E15" s="95">
        <v>19</v>
      </c>
      <c r="F15">
        <f t="shared" si="1"/>
        <v>1</v>
      </c>
      <c r="G15">
        <f t="shared" si="2"/>
        <v>18</v>
      </c>
    </row>
    <row r="16" spans="1:16" x14ac:dyDescent="0.25">
      <c r="A16" s="93" t="s">
        <v>657</v>
      </c>
      <c r="B16" s="89" t="str">
        <f t="shared" si="0"/>
        <v>Ale-30. Se distrae con dispositivos electrónicos.</v>
      </c>
      <c r="C16" s="89" t="s">
        <v>671</v>
      </c>
      <c r="D16" s="88" t="s">
        <v>734</v>
      </c>
      <c r="E16" s="95">
        <v>16</v>
      </c>
      <c r="F16">
        <f t="shared" si="1"/>
        <v>1</v>
      </c>
      <c r="G16">
        <f t="shared" si="2"/>
        <v>21</v>
      </c>
    </row>
    <row r="17" spans="1:7" x14ac:dyDescent="0.25">
      <c r="A17" s="93" t="s">
        <v>657</v>
      </c>
      <c r="B17" s="89" t="str">
        <f t="shared" si="0"/>
        <v>Ale-32. Fomenta el desorden o el caos en el grupo.</v>
      </c>
      <c r="C17" s="89" t="s">
        <v>673</v>
      </c>
      <c r="D17" s="88" t="s">
        <v>734</v>
      </c>
      <c r="E17" s="95">
        <v>6</v>
      </c>
      <c r="F17">
        <f t="shared" si="1"/>
        <v>4</v>
      </c>
      <c r="G17">
        <f t="shared" si="2"/>
        <v>31</v>
      </c>
    </row>
    <row r="18" spans="1:7" x14ac:dyDescent="0.25">
      <c r="A18" s="93" t="s">
        <v>674</v>
      </c>
      <c r="B18" s="89" t="str">
        <f t="shared" si="0"/>
        <v>Ale-34. Se rinde fácilmente ante la frustración.</v>
      </c>
      <c r="C18" s="89" t="s">
        <v>676</v>
      </c>
      <c r="D18" s="88" t="s">
        <v>734</v>
      </c>
      <c r="E18" s="95">
        <v>19</v>
      </c>
      <c r="F18">
        <f t="shared" si="1"/>
        <v>1</v>
      </c>
      <c r="G18">
        <f t="shared" si="2"/>
        <v>18</v>
      </c>
    </row>
    <row r="19" spans="1:7" x14ac:dyDescent="0.25">
      <c r="A19" s="93" t="s">
        <v>674</v>
      </c>
      <c r="B19" s="89" t="str">
        <f t="shared" si="0"/>
        <v>Ale-36. Trabaja de forma aislada o es individualista.</v>
      </c>
      <c r="C19" s="89" t="s">
        <v>678</v>
      </c>
      <c r="D19" s="88" t="s">
        <v>734</v>
      </c>
      <c r="E19" s="95">
        <v>14</v>
      </c>
      <c r="F19">
        <f t="shared" si="1"/>
        <v>2</v>
      </c>
      <c r="G19">
        <f t="shared" si="2"/>
        <v>23</v>
      </c>
    </row>
    <row r="20" spans="1:7" x14ac:dyDescent="0.25">
      <c r="A20" s="93" t="s">
        <v>674</v>
      </c>
      <c r="B20" s="89" t="str">
        <f t="shared" si="0"/>
        <v>Ale-38. Ignora o se burla de los sentimientos de otros.</v>
      </c>
      <c r="C20" s="89" t="s">
        <v>680</v>
      </c>
      <c r="D20" s="88" t="s">
        <v>734</v>
      </c>
      <c r="E20" s="95">
        <v>15</v>
      </c>
      <c r="F20">
        <f t="shared" si="1"/>
        <v>2</v>
      </c>
      <c r="G20">
        <f t="shared" si="2"/>
        <v>22</v>
      </c>
    </row>
    <row r="21" spans="1:7" x14ac:dyDescent="0.25">
      <c r="A21" s="93" t="s">
        <v>674</v>
      </c>
      <c r="B21" s="89" t="str">
        <f t="shared" si="0"/>
        <v>Ale-40. Ejerce presión negativa o bullying.</v>
      </c>
      <c r="C21" s="89" t="s">
        <v>682</v>
      </c>
      <c r="D21" s="88" t="s">
        <v>734</v>
      </c>
      <c r="E21" s="95">
        <v>4</v>
      </c>
      <c r="F21">
        <f t="shared" si="1"/>
        <v>4</v>
      </c>
      <c r="G21">
        <f t="shared" si="2"/>
        <v>33</v>
      </c>
    </row>
    <row r="22" spans="1:7" x14ac:dyDescent="0.25">
      <c r="A22" s="93" t="s">
        <v>674</v>
      </c>
      <c r="B22" s="89" t="str">
        <f t="shared" si="0"/>
        <v>Ale-42. Reacciona de forma agresiva o impulsiva.</v>
      </c>
      <c r="C22" s="89" t="s">
        <v>684</v>
      </c>
      <c r="D22" s="88" t="s">
        <v>734</v>
      </c>
      <c r="E22" s="95">
        <v>11</v>
      </c>
      <c r="F22">
        <f t="shared" si="1"/>
        <v>3</v>
      </c>
      <c r="G22">
        <f t="shared" si="2"/>
        <v>26</v>
      </c>
    </row>
    <row r="23" spans="1:7" x14ac:dyDescent="0.25">
      <c r="A23" s="93" t="s">
        <v>674</v>
      </c>
      <c r="B23" s="89" t="str">
        <f t="shared" si="0"/>
        <v>Ale-44. Expresa inseguridad constante ("no puedo").</v>
      </c>
      <c r="C23" s="89" t="s">
        <v>686</v>
      </c>
      <c r="D23" s="88" t="s">
        <v>734</v>
      </c>
      <c r="E23" s="95">
        <v>19</v>
      </c>
      <c r="F23">
        <f t="shared" si="1"/>
        <v>1</v>
      </c>
      <c r="G23">
        <f t="shared" si="2"/>
        <v>18</v>
      </c>
    </row>
    <row r="24" spans="1:7" x14ac:dyDescent="0.25">
      <c r="A24" s="93" t="s">
        <v>687</v>
      </c>
      <c r="B24" s="89" t="str">
        <f t="shared" si="0"/>
        <v>Ale-46. Requiere estímulos externos para trabajar.</v>
      </c>
      <c r="C24" s="89" t="s">
        <v>689</v>
      </c>
      <c r="D24" s="88" t="s">
        <v>734</v>
      </c>
      <c r="E24" s="95">
        <v>16</v>
      </c>
      <c r="F24">
        <f t="shared" si="1"/>
        <v>1</v>
      </c>
      <c r="G24">
        <f t="shared" si="2"/>
        <v>21</v>
      </c>
    </row>
    <row r="25" spans="1:7" x14ac:dyDescent="0.25">
      <c r="A25" s="93" t="s">
        <v>687</v>
      </c>
      <c r="B25" s="89" t="str">
        <f t="shared" si="0"/>
        <v>Ale-48. Abandona proyectos a mitad de camino.</v>
      </c>
      <c r="C25" s="89" t="s">
        <v>691</v>
      </c>
      <c r="D25" s="88" t="s">
        <v>734</v>
      </c>
      <c r="E25" s="95">
        <v>19</v>
      </c>
      <c r="F25">
        <f t="shared" si="1"/>
        <v>1</v>
      </c>
      <c r="G25">
        <f t="shared" si="2"/>
        <v>18</v>
      </c>
    </row>
    <row r="26" spans="1:7" x14ac:dyDescent="0.25">
      <c r="A26" s="93" t="s">
        <v>687</v>
      </c>
      <c r="B26" s="89" t="str">
        <f t="shared" si="0"/>
        <v>Ale-50. Se muestra a la defensiva ante críticas.</v>
      </c>
      <c r="C26" s="89" t="s">
        <v>693</v>
      </c>
      <c r="D26" s="88" t="s">
        <v>734</v>
      </c>
      <c r="E26" s="95">
        <v>11</v>
      </c>
      <c r="F26">
        <f t="shared" si="1"/>
        <v>3</v>
      </c>
      <c r="G26">
        <f t="shared" si="2"/>
        <v>26</v>
      </c>
    </row>
    <row r="27" spans="1:7" x14ac:dyDescent="0.25">
      <c r="A27" s="93"/>
      <c r="B27" s="89"/>
      <c r="C27" s="89"/>
      <c r="D27" s="88"/>
      <c r="E27" s="95"/>
    </row>
    <row r="28" spans="1:7" x14ac:dyDescent="0.25">
      <c r="A28" s="92" t="s">
        <v>649</v>
      </c>
      <c r="B28" s="89" t="str">
        <f t="shared" si="0"/>
        <v>For-01. Domina los conceptos clave del grado.</v>
      </c>
      <c r="C28" s="34" t="s">
        <v>723</v>
      </c>
      <c r="D28" s="33" t="s">
        <v>733</v>
      </c>
      <c r="E28" s="95">
        <v>6</v>
      </c>
      <c r="F28">
        <f t="shared" si="1"/>
        <v>1</v>
      </c>
      <c r="G28">
        <f>+E28</f>
        <v>6</v>
      </c>
    </row>
    <row r="29" spans="1:7" x14ac:dyDescent="0.25">
      <c r="A29" s="92" t="s">
        <v>649</v>
      </c>
      <c r="B29" s="89" t="str">
        <f t="shared" si="0"/>
        <v>For-03. Posee un pensamiento crítico y analítico.</v>
      </c>
      <c r="C29" s="34" t="s">
        <v>724</v>
      </c>
      <c r="D29" s="33" t="s">
        <v>733</v>
      </c>
      <c r="E29" s="95">
        <v>11</v>
      </c>
      <c r="F29">
        <f>IF(D29="Alerta/Mejora",
  IF(E29&lt;=3, 5, IF(E29&lt;=7, 4, IF(E29&lt;=11, 3, IF(E29&lt;=15, 2, 1)))),
  IF(E29&gt;=34, 5, IF(E29&gt;=30, 4, IF(E29&gt;=26, 3, IF(E29&gt;=22, 2, 1))))
)</f>
        <v>1</v>
      </c>
      <c r="G29">
        <f t="shared" ref="G29:G52" si="3">+E29</f>
        <v>11</v>
      </c>
    </row>
    <row r="30" spans="1:7" x14ac:dyDescent="0.25">
      <c r="A30" s="92" t="s">
        <v>649</v>
      </c>
      <c r="B30" s="89" t="str">
        <f t="shared" si="0"/>
        <v>For-05. Entrega trabajos con alta calidad y orden.</v>
      </c>
      <c r="C30" s="34" t="s">
        <v>725</v>
      </c>
      <c r="D30" s="33" t="s">
        <v>733</v>
      </c>
      <c r="E30" s="95">
        <v>12</v>
      </c>
      <c r="F30">
        <f t="shared" si="1"/>
        <v>1</v>
      </c>
      <c r="G30">
        <f t="shared" si="3"/>
        <v>12</v>
      </c>
    </row>
    <row r="31" spans="1:7" x14ac:dyDescent="0.25">
      <c r="A31" s="92" t="s">
        <v>649</v>
      </c>
      <c r="B31" s="89" t="str">
        <f t="shared" si="0"/>
        <v>For-07. Resuelve problemas lógicos con fluidez.</v>
      </c>
      <c r="C31" s="34" t="s">
        <v>726</v>
      </c>
      <c r="D31" s="33" t="s">
        <v>733</v>
      </c>
      <c r="E31" s="95">
        <v>11</v>
      </c>
      <c r="F31">
        <f t="shared" si="1"/>
        <v>1</v>
      </c>
      <c r="G31">
        <f t="shared" si="3"/>
        <v>11</v>
      </c>
    </row>
    <row r="32" spans="1:7" x14ac:dyDescent="0.25">
      <c r="A32" s="92" t="s">
        <v>649</v>
      </c>
      <c r="B32" s="89" t="str">
        <f t="shared" si="0"/>
        <v>For-09. Utiliza vocabulario técnico preciso.</v>
      </c>
      <c r="C32" s="34" t="s">
        <v>727</v>
      </c>
      <c r="D32" s="33" t="s">
        <v>733</v>
      </c>
      <c r="E32" s="95">
        <v>10</v>
      </c>
      <c r="F32">
        <f t="shared" si="1"/>
        <v>1</v>
      </c>
      <c r="G32">
        <f t="shared" si="3"/>
        <v>10</v>
      </c>
    </row>
    <row r="33" spans="1:14" x14ac:dyDescent="0.25">
      <c r="A33" s="92" t="s">
        <v>649</v>
      </c>
      <c r="B33" s="89" t="str">
        <f t="shared" si="0"/>
        <v>For-11. Posee excelentes hábitos de lectura.</v>
      </c>
      <c r="C33" s="34" t="s">
        <v>651</v>
      </c>
      <c r="D33" s="33" t="s">
        <v>733</v>
      </c>
      <c r="E33" s="95">
        <v>10</v>
      </c>
      <c r="F33">
        <f t="shared" si="1"/>
        <v>1</v>
      </c>
      <c r="G33">
        <f t="shared" si="3"/>
        <v>10</v>
      </c>
    </row>
    <row r="34" spans="1:14" x14ac:dyDescent="0.25">
      <c r="A34" s="92" t="s">
        <v>649</v>
      </c>
      <c r="B34" s="89" t="str">
        <f t="shared" si="0"/>
        <v>For-13. Es autónomo en la realización de tareas.</v>
      </c>
      <c r="C34" s="34" t="s">
        <v>653</v>
      </c>
      <c r="D34" s="33" t="s">
        <v>733</v>
      </c>
      <c r="E34" s="95">
        <v>12</v>
      </c>
      <c r="F34">
        <f t="shared" si="1"/>
        <v>1</v>
      </c>
      <c r="G34">
        <f t="shared" si="3"/>
        <v>12</v>
      </c>
    </row>
    <row r="35" spans="1:14" x14ac:dyDescent="0.25">
      <c r="A35" s="92" t="s">
        <v>649</v>
      </c>
      <c r="B35" s="89" t="str">
        <f t="shared" si="0"/>
        <v>For-15. Investiga más allá de lo solicitado.</v>
      </c>
      <c r="C35" s="34" t="s">
        <v>655</v>
      </c>
      <c r="D35" s="33" t="s">
        <v>733</v>
      </c>
      <c r="E35" s="95">
        <v>13</v>
      </c>
      <c r="F35">
        <f t="shared" si="1"/>
        <v>1</v>
      </c>
      <c r="G35">
        <f t="shared" si="3"/>
        <v>13</v>
      </c>
    </row>
    <row r="36" spans="1:14" x14ac:dyDescent="0.25">
      <c r="A36" s="92" t="s">
        <v>657</v>
      </c>
      <c r="B36" s="89" t="str">
        <f t="shared" si="0"/>
        <v>For-17. Respeta las normas de convivencia.</v>
      </c>
      <c r="C36" s="34" t="s">
        <v>658</v>
      </c>
      <c r="D36" s="33" t="s">
        <v>733</v>
      </c>
      <c r="E36" s="95">
        <v>22</v>
      </c>
      <c r="F36">
        <f t="shared" si="1"/>
        <v>2</v>
      </c>
      <c r="G36">
        <f t="shared" si="3"/>
        <v>22</v>
      </c>
    </row>
    <row r="37" spans="1:14" x14ac:dyDescent="0.25">
      <c r="A37" s="92" t="s">
        <v>657</v>
      </c>
      <c r="B37" s="89" t="str">
        <f t="shared" si="0"/>
        <v>For-19. Es puntual en todas sus obligaciones.</v>
      </c>
      <c r="C37" s="34" t="s">
        <v>660</v>
      </c>
      <c r="D37" s="33" t="s">
        <v>733</v>
      </c>
      <c r="E37" s="95">
        <v>10</v>
      </c>
      <c r="F37">
        <f t="shared" si="1"/>
        <v>1</v>
      </c>
      <c r="G37">
        <f t="shared" si="3"/>
        <v>10</v>
      </c>
    </row>
    <row r="38" spans="1:14" x14ac:dyDescent="0.25">
      <c r="A38" s="92" t="s">
        <v>657</v>
      </c>
      <c r="B38" s="89" t="str">
        <f t="shared" si="0"/>
        <v>For-21. Cuida el material propio y ajeno.</v>
      </c>
      <c r="C38" s="34" t="s">
        <v>662</v>
      </c>
      <c r="D38" s="33" t="s">
        <v>733</v>
      </c>
      <c r="E38" s="95">
        <v>23</v>
      </c>
      <c r="F38">
        <f t="shared" si="1"/>
        <v>2</v>
      </c>
      <c r="G38">
        <f t="shared" si="3"/>
        <v>23</v>
      </c>
    </row>
    <row r="39" spans="1:14" x14ac:dyDescent="0.25">
      <c r="A39" s="92" t="s">
        <v>657</v>
      </c>
      <c r="B39" s="89" t="str">
        <f t="shared" si="0"/>
        <v>For-23. Escucha con atención y no interrumpe.</v>
      </c>
      <c r="C39" s="34" t="s">
        <v>664</v>
      </c>
      <c r="D39" s="33" t="s">
        <v>733</v>
      </c>
      <c r="E39" s="95">
        <v>20</v>
      </c>
      <c r="F39">
        <f t="shared" si="1"/>
        <v>1</v>
      </c>
      <c r="G39">
        <f t="shared" si="3"/>
        <v>20</v>
      </c>
    </row>
    <row r="40" spans="1:14" x14ac:dyDescent="0.25">
      <c r="A40" s="92" t="s">
        <v>657</v>
      </c>
      <c r="B40" s="89" t="str">
        <f t="shared" si="0"/>
        <v>For-25. Utiliza el lenguaje de forma respetuosa.</v>
      </c>
      <c r="C40" s="34" t="s">
        <v>666</v>
      </c>
      <c r="D40" s="33" t="s">
        <v>733</v>
      </c>
      <c r="E40" s="95">
        <v>13</v>
      </c>
      <c r="F40">
        <f t="shared" si="1"/>
        <v>1</v>
      </c>
      <c r="G40">
        <f t="shared" si="3"/>
        <v>13</v>
      </c>
    </row>
    <row r="41" spans="1:14" x14ac:dyDescent="0.25">
      <c r="A41" s="92" t="s">
        <v>657</v>
      </c>
      <c r="B41" s="89" t="str">
        <f t="shared" si="0"/>
        <v>For-27. Reconoce sus errores honestamente.</v>
      </c>
      <c r="C41" s="34" t="s">
        <v>668</v>
      </c>
      <c r="D41" s="33" t="s">
        <v>733</v>
      </c>
      <c r="E41" s="95">
        <v>15</v>
      </c>
      <c r="F41">
        <f t="shared" si="1"/>
        <v>1</v>
      </c>
      <c r="G41">
        <f t="shared" si="3"/>
        <v>15</v>
      </c>
      <c r="K41" s="94" t="s">
        <v>745</v>
      </c>
      <c r="L41" s="94" t="s">
        <v>740</v>
      </c>
    </row>
    <row r="42" spans="1:14" x14ac:dyDescent="0.25">
      <c r="A42" s="92" t="s">
        <v>657</v>
      </c>
      <c r="B42" s="89" t="str">
        <f t="shared" si="0"/>
        <v>For-29. Usa la tecnología con fines educativos.</v>
      </c>
      <c r="C42" s="34" t="s">
        <v>670</v>
      </c>
      <c r="D42" s="33" t="s">
        <v>733</v>
      </c>
      <c r="E42" s="95">
        <v>3</v>
      </c>
      <c r="F42">
        <f t="shared" si="1"/>
        <v>1</v>
      </c>
      <c r="G42">
        <f t="shared" si="3"/>
        <v>3</v>
      </c>
      <c r="K42" s="94" t="s">
        <v>737</v>
      </c>
      <c r="L42" t="s">
        <v>734</v>
      </c>
      <c r="M42" t="s">
        <v>733</v>
      </c>
      <c r="N42" t="s">
        <v>739</v>
      </c>
    </row>
    <row r="43" spans="1:14" x14ac:dyDescent="0.25">
      <c r="A43" s="92" t="s">
        <v>657</v>
      </c>
      <c r="B43" s="89" t="str">
        <f t="shared" si="0"/>
        <v>For-31. Mantiene el orden en espacios comunes.</v>
      </c>
      <c r="C43" s="34" t="s">
        <v>672</v>
      </c>
      <c r="D43" s="33" t="s">
        <v>733</v>
      </c>
      <c r="E43" s="95">
        <v>11</v>
      </c>
      <c r="F43">
        <f t="shared" si="1"/>
        <v>1</v>
      </c>
      <c r="G43">
        <f t="shared" si="3"/>
        <v>11</v>
      </c>
      <c r="K43" s="55" t="s">
        <v>649</v>
      </c>
      <c r="L43">
        <v>28</v>
      </c>
      <c r="M43">
        <v>90</v>
      </c>
      <c r="N43">
        <v>118</v>
      </c>
    </row>
    <row r="44" spans="1:14" x14ac:dyDescent="0.25">
      <c r="A44" s="92" t="s">
        <v>674</v>
      </c>
      <c r="B44" s="89" t="str">
        <f t="shared" si="0"/>
        <v>For-33. Muestra resiliencia ante el fracaso.</v>
      </c>
      <c r="C44" s="34" t="s">
        <v>675</v>
      </c>
      <c r="D44" s="33" t="s">
        <v>733</v>
      </c>
      <c r="E44" s="95">
        <v>18</v>
      </c>
      <c r="F44">
        <f t="shared" si="1"/>
        <v>1</v>
      </c>
      <c r="G44">
        <f t="shared" si="3"/>
        <v>18</v>
      </c>
      <c r="K44" s="55" t="s">
        <v>687</v>
      </c>
      <c r="L44">
        <v>8</v>
      </c>
      <c r="M44">
        <v>97</v>
      </c>
      <c r="N44">
        <v>105</v>
      </c>
    </row>
    <row r="45" spans="1:14" x14ac:dyDescent="0.25">
      <c r="A45" s="92" t="s">
        <v>674</v>
      </c>
      <c r="B45" s="89" t="str">
        <f t="shared" si="0"/>
        <v>For-35. Trabaja de forma colaborativa y equitativa.</v>
      </c>
      <c r="C45" s="34" t="s">
        <v>677</v>
      </c>
      <c r="D45" s="33" t="s">
        <v>733</v>
      </c>
      <c r="E45" s="95">
        <v>16</v>
      </c>
      <c r="F45">
        <f t="shared" si="1"/>
        <v>1</v>
      </c>
      <c r="G45">
        <f t="shared" si="3"/>
        <v>16</v>
      </c>
      <c r="K45" s="55" t="s">
        <v>657</v>
      </c>
      <c r="L45">
        <v>33</v>
      </c>
      <c r="M45">
        <v>239</v>
      </c>
      <c r="N45">
        <v>272</v>
      </c>
    </row>
    <row r="46" spans="1:14" x14ac:dyDescent="0.25">
      <c r="A46" s="92" t="s">
        <v>674</v>
      </c>
      <c r="B46" s="89" t="str">
        <f t="shared" si="0"/>
        <v>For-37. Es empático con las necesidades ajenas.</v>
      </c>
      <c r="C46" s="34" t="s">
        <v>679</v>
      </c>
      <c r="D46" s="33" t="s">
        <v>733</v>
      </c>
      <c r="E46" s="95">
        <v>18</v>
      </c>
      <c r="F46">
        <f t="shared" si="1"/>
        <v>1</v>
      </c>
      <c r="G46">
        <f t="shared" si="3"/>
        <v>18</v>
      </c>
      <c r="K46" s="55" t="s">
        <v>674</v>
      </c>
      <c r="L46">
        <v>20</v>
      </c>
      <c r="M46">
        <v>162</v>
      </c>
      <c r="N46">
        <v>182</v>
      </c>
    </row>
    <row r="47" spans="1:14" x14ac:dyDescent="0.25">
      <c r="A47" s="92" t="s">
        <v>674</v>
      </c>
      <c r="B47" s="89" t="str">
        <f t="shared" si="0"/>
        <v>For-39. Posee un liderazgo positivo y ético.</v>
      </c>
      <c r="C47" s="34" t="s">
        <v>681</v>
      </c>
      <c r="D47" s="33" t="s">
        <v>733</v>
      </c>
      <c r="E47" s="95">
        <v>4</v>
      </c>
      <c r="F47">
        <f t="shared" si="1"/>
        <v>1</v>
      </c>
      <c r="G47">
        <f t="shared" si="3"/>
        <v>4</v>
      </c>
      <c r="K47" s="55" t="s">
        <v>739</v>
      </c>
      <c r="L47">
        <v>89</v>
      </c>
      <c r="M47">
        <v>588</v>
      </c>
      <c r="N47">
        <v>677</v>
      </c>
    </row>
    <row r="48" spans="1:14" x14ac:dyDescent="0.25">
      <c r="A48" s="92" t="s">
        <v>674</v>
      </c>
      <c r="B48" s="89" t="str">
        <f t="shared" si="0"/>
        <v>For-41. Se comunica de manera asertiva.</v>
      </c>
      <c r="C48" s="34" t="s">
        <v>683</v>
      </c>
      <c r="D48" s="33" t="s">
        <v>733</v>
      </c>
      <c r="E48" s="95">
        <v>6</v>
      </c>
      <c r="F48">
        <f t="shared" si="1"/>
        <v>1</v>
      </c>
      <c r="G48">
        <f t="shared" si="3"/>
        <v>6</v>
      </c>
    </row>
    <row r="49" spans="1:18" x14ac:dyDescent="0.25">
      <c r="A49" s="92" t="s">
        <v>674</v>
      </c>
      <c r="B49" s="89" t="str">
        <f t="shared" si="0"/>
        <v>For-43. Tiene una autoestima académica sólida.</v>
      </c>
      <c r="C49" s="34" t="s">
        <v>685</v>
      </c>
      <c r="D49" s="33" t="s">
        <v>733</v>
      </c>
      <c r="E49" s="95">
        <v>6</v>
      </c>
      <c r="F49">
        <f t="shared" si="1"/>
        <v>1</v>
      </c>
      <c r="G49">
        <f t="shared" si="3"/>
        <v>6</v>
      </c>
      <c r="L49" s="94" t="s">
        <v>740</v>
      </c>
    </row>
    <row r="50" spans="1:18" x14ac:dyDescent="0.25">
      <c r="A50" s="92" t="s">
        <v>687</v>
      </c>
      <c r="B50" s="89" t="str">
        <f t="shared" si="0"/>
        <v>For-45. Muestra curiosidad e iniciativa propia.</v>
      </c>
      <c r="C50" s="34" t="s">
        <v>688</v>
      </c>
      <c r="D50" s="33" t="s">
        <v>733</v>
      </c>
      <c r="E50" s="95">
        <v>16</v>
      </c>
      <c r="F50">
        <f t="shared" si="1"/>
        <v>1</v>
      </c>
      <c r="G50">
        <f t="shared" si="3"/>
        <v>16</v>
      </c>
      <c r="L50" t="s">
        <v>734</v>
      </c>
      <c r="M50" t="s">
        <v>733</v>
      </c>
      <c r="N50" t="s">
        <v>738</v>
      </c>
      <c r="O50" t="s">
        <v>739</v>
      </c>
    </row>
    <row r="51" spans="1:18" x14ac:dyDescent="0.25">
      <c r="A51" s="92" t="s">
        <v>687</v>
      </c>
      <c r="B51" s="89" t="str">
        <f t="shared" si="0"/>
        <v>For-47. Es persistente en tareas complejas.</v>
      </c>
      <c r="C51" s="34" t="s">
        <v>690</v>
      </c>
      <c r="D51" s="33" t="s">
        <v>733</v>
      </c>
      <c r="E51" s="95">
        <v>5</v>
      </c>
      <c r="F51">
        <f t="shared" si="1"/>
        <v>1</v>
      </c>
      <c r="G51">
        <f t="shared" si="3"/>
        <v>5</v>
      </c>
      <c r="K51" t="s">
        <v>745</v>
      </c>
      <c r="L51">
        <v>89</v>
      </c>
      <c r="M51">
        <v>588</v>
      </c>
      <c r="O51">
        <v>677</v>
      </c>
    </row>
    <row r="52" spans="1:18" x14ac:dyDescent="0.25">
      <c r="A52" s="92" t="s">
        <v>687</v>
      </c>
      <c r="B52" s="89" t="str">
        <f t="shared" si="0"/>
        <v>For-49. Acepta retroalimentación constructiva.</v>
      </c>
      <c r="C52" s="34" t="s">
        <v>692</v>
      </c>
      <c r="D52" s="33" t="s">
        <v>733</v>
      </c>
      <c r="E52" s="95">
        <v>12</v>
      </c>
      <c r="F52">
        <f t="shared" si="1"/>
        <v>1</v>
      </c>
      <c r="G52">
        <f t="shared" si="3"/>
        <v>12</v>
      </c>
    </row>
    <row r="55" spans="1:18" x14ac:dyDescent="0.25">
      <c r="K55" t="s">
        <v>919</v>
      </c>
      <c r="L55" t="s">
        <v>920</v>
      </c>
      <c r="N55" t="s">
        <v>921</v>
      </c>
    </row>
    <row r="56" spans="1:18" x14ac:dyDescent="0.25">
      <c r="K56">
        <v>1</v>
      </c>
      <c r="L56">
        <f>ROUND((COUNTIF($F$2:$F$52, K56) / 50) * 37, 0)</f>
        <v>25</v>
      </c>
      <c r="N56" s="110">
        <f>+L56/L$61</f>
        <v>0.67567567567567566</v>
      </c>
      <c r="P56" t="s">
        <v>922</v>
      </c>
      <c r="Q56">
        <f>+L60+L59</f>
        <v>5</v>
      </c>
      <c r="R56" s="110">
        <f>+Q56/L$61</f>
        <v>0.13513513513513514</v>
      </c>
    </row>
    <row r="57" spans="1:18" x14ac:dyDescent="0.25">
      <c r="K57">
        <v>2</v>
      </c>
      <c r="L57">
        <f t="shared" ref="L57:L60" si="4">ROUND((COUNTIF($F$2:$F$52, K57) / 50) * 37, 0)</f>
        <v>4</v>
      </c>
      <c r="N57" s="110">
        <f>+L57/L$61</f>
        <v>0.10810810810810811</v>
      </c>
      <c r="P57" t="s">
        <v>923</v>
      </c>
      <c r="Q57">
        <f>+L58</f>
        <v>3</v>
      </c>
      <c r="R57" s="110">
        <f t="shared" ref="R57:R58" si="5">+Q57/L$61</f>
        <v>8.1081081081081086E-2</v>
      </c>
    </row>
    <row r="58" spans="1:18" x14ac:dyDescent="0.25">
      <c r="K58">
        <v>3</v>
      </c>
      <c r="L58">
        <f t="shared" si="4"/>
        <v>3</v>
      </c>
      <c r="N58" s="110">
        <f>+L58/L$61</f>
        <v>8.1081081081081086E-2</v>
      </c>
      <c r="P58" t="s">
        <v>924</v>
      </c>
      <c r="Q58">
        <f>+L56+L57</f>
        <v>29</v>
      </c>
      <c r="R58" s="110">
        <f t="shared" si="5"/>
        <v>0.78378378378378377</v>
      </c>
    </row>
    <row r="59" spans="1:18" x14ac:dyDescent="0.25">
      <c r="K59">
        <v>4</v>
      </c>
      <c r="L59">
        <f t="shared" si="4"/>
        <v>3</v>
      </c>
      <c r="N59" s="110">
        <f>+L59/L$61</f>
        <v>8.1081081081081086E-2</v>
      </c>
    </row>
    <row r="60" spans="1:18" x14ac:dyDescent="0.25">
      <c r="K60">
        <v>5</v>
      </c>
      <c r="L60">
        <f t="shared" si="4"/>
        <v>2</v>
      </c>
      <c r="N60" s="110">
        <f>+L60/L$61</f>
        <v>5.4054054054054057E-2</v>
      </c>
    </row>
    <row r="61" spans="1:18" x14ac:dyDescent="0.25">
      <c r="L61">
        <f>SUM(L56:L60)</f>
        <v>37</v>
      </c>
    </row>
  </sheetData>
  <pageMargins left="0.7" right="0.7" top="0.75" bottom="0.75" header="0.3" footer="0.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6CF8-4D06-4ED8-A6B5-3E5F86E752CA}">
  <dimension ref="A1:Z1000"/>
  <sheetViews>
    <sheetView topLeftCell="A15" workbookViewId="0">
      <selection activeCell="G18" sqref="G18:G23"/>
    </sheetView>
  </sheetViews>
  <sheetFormatPr baseColWidth="10" defaultColWidth="9.140625" defaultRowHeight="15" x14ac:dyDescent="0.25"/>
  <cols>
    <col min="1" max="8" width="13.28515625" customWidth="1"/>
  </cols>
  <sheetData>
    <row r="1" spans="1:26" ht="15.75" thickBot="1" x14ac:dyDescent="0.3">
      <c r="A1" s="129" t="s">
        <v>22</v>
      </c>
      <c r="B1" s="130"/>
      <c r="C1" s="130"/>
      <c r="D1" s="130"/>
      <c r="E1" s="130"/>
      <c r="F1" s="130"/>
      <c r="G1" s="130"/>
      <c r="H1" s="13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thickBot="1" x14ac:dyDescent="0.3">
      <c r="A2" s="129" t="s">
        <v>23</v>
      </c>
      <c r="B2" s="130"/>
      <c r="C2" s="130"/>
      <c r="D2" s="130"/>
      <c r="E2" s="130"/>
      <c r="F2" s="130"/>
      <c r="G2" s="130"/>
      <c r="H2" s="131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thickBot="1" x14ac:dyDescent="0.3">
      <c r="A3" s="13"/>
      <c r="B3" s="13"/>
      <c r="C3" s="13"/>
      <c r="D3" s="13"/>
      <c r="E3" s="13"/>
      <c r="F3" s="13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thickBot="1" x14ac:dyDescent="0.3">
      <c r="A4" s="14" t="s">
        <v>24</v>
      </c>
      <c r="B4" s="15" t="s">
        <v>25</v>
      </c>
      <c r="C4" s="15" t="s">
        <v>26</v>
      </c>
      <c r="D4" s="15" t="s">
        <v>27</v>
      </c>
      <c r="E4" s="15" t="s">
        <v>28</v>
      </c>
      <c r="F4" s="15" t="s">
        <v>29</v>
      </c>
      <c r="G4" s="15" t="s">
        <v>30</v>
      </c>
      <c r="H4" s="15" t="s">
        <v>31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thickBot="1" x14ac:dyDescent="0.3">
      <c r="A5" s="16" t="s">
        <v>32</v>
      </c>
      <c r="B5" s="17" t="s">
        <v>32</v>
      </c>
      <c r="C5" s="17" t="s">
        <v>33</v>
      </c>
      <c r="D5" s="17" t="s">
        <v>33</v>
      </c>
      <c r="E5" s="17" t="s">
        <v>33</v>
      </c>
      <c r="F5" s="17" t="s">
        <v>34</v>
      </c>
      <c r="G5" s="17" t="s">
        <v>35</v>
      </c>
      <c r="H5" s="17" t="s">
        <v>36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thickBot="1" x14ac:dyDescent="0.3">
      <c r="A6" s="16" t="s">
        <v>37</v>
      </c>
      <c r="B6" s="17" t="s">
        <v>37</v>
      </c>
      <c r="C6" s="17" t="s">
        <v>38</v>
      </c>
      <c r="D6" s="17" t="s">
        <v>38</v>
      </c>
      <c r="E6" s="17" t="s">
        <v>38</v>
      </c>
      <c r="F6" s="17" t="s">
        <v>39</v>
      </c>
      <c r="G6" s="17" t="s">
        <v>40</v>
      </c>
      <c r="H6" s="17" t="s">
        <v>41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thickBot="1" x14ac:dyDescent="0.3">
      <c r="A7" s="16" t="s">
        <v>42</v>
      </c>
      <c r="B7" s="17" t="s">
        <v>42</v>
      </c>
      <c r="C7" s="17" t="s">
        <v>43</v>
      </c>
      <c r="D7" s="17" t="s">
        <v>43</v>
      </c>
      <c r="E7" s="17" t="s">
        <v>44</v>
      </c>
      <c r="F7" s="17" t="s">
        <v>45</v>
      </c>
      <c r="G7" s="17" t="s">
        <v>46</v>
      </c>
      <c r="H7" s="17" t="s">
        <v>47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thickBot="1" x14ac:dyDescent="0.3">
      <c r="A8" s="16" t="s">
        <v>48</v>
      </c>
      <c r="B8" s="17" t="s">
        <v>48</v>
      </c>
      <c r="C8" s="17" t="s">
        <v>49</v>
      </c>
      <c r="D8" s="17" t="s">
        <v>49</v>
      </c>
      <c r="E8" s="17" t="s">
        <v>50</v>
      </c>
      <c r="F8" s="17" t="s">
        <v>51</v>
      </c>
      <c r="G8" s="17" t="s">
        <v>52</v>
      </c>
      <c r="H8" s="17" t="s">
        <v>53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thickBot="1" x14ac:dyDescent="0.3">
      <c r="A9" s="16" t="s">
        <v>54</v>
      </c>
      <c r="B9" s="17" t="s">
        <v>55</v>
      </c>
      <c r="C9" s="17" t="s">
        <v>56</v>
      </c>
      <c r="D9" s="17" t="s">
        <v>57</v>
      </c>
      <c r="E9" s="17" t="s">
        <v>58</v>
      </c>
      <c r="F9" s="17" t="s">
        <v>59</v>
      </c>
      <c r="G9" s="17" t="s">
        <v>60</v>
      </c>
      <c r="H9" s="17" t="s">
        <v>61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thickBot="1" x14ac:dyDescent="0.3">
      <c r="A10" s="13"/>
      <c r="B10" s="13"/>
      <c r="C10" s="13"/>
      <c r="D10" s="13"/>
      <c r="E10" s="13"/>
      <c r="F10" s="13"/>
      <c r="G10" s="13"/>
      <c r="H10" s="1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thickBot="1" x14ac:dyDescent="0.3">
      <c r="A11" s="14" t="s">
        <v>62</v>
      </c>
      <c r="B11" s="15" t="s">
        <v>63</v>
      </c>
      <c r="C11" s="15" t="s">
        <v>64</v>
      </c>
      <c r="D11" s="15" t="s">
        <v>65</v>
      </c>
      <c r="E11" s="15" t="s">
        <v>66</v>
      </c>
      <c r="F11" s="15" t="s">
        <v>67</v>
      </c>
      <c r="G11" s="15" t="s">
        <v>68</v>
      </c>
      <c r="H11" s="15" t="s">
        <v>69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thickBot="1" x14ac:dyDescent="0.3">
      <c r="A12" s="16" t="s">
        <v>36</v>
      </c>
      <c r="B12" s="17" t="s">
        <v>36</v>
      </c>
      <c r="C12" s="17" t="s">
        <v>70</v>
      </c>
      <c r="D12" s="17" t="s">
        <v>71</v>
      </c>
      <c r="E12" s="17" t="s">
        <v>71</v>
      </c>
      <c r="F12" s="17" t="s">
        <v>72</v>
      </c>
      <c r="G12" s="17" t="s">
        <v>73</v>
      </c>
      <c r="H12" s="17" t="s">
        <v>73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thickBot="1" x14ac:dyDescent="0.3">
      <c r="A13" s="16" t="s">
        <v>41</v>
      </c>
      <c r="B13" s="17" t="s">
        <v>74</v>
      </c>
      <c r="C13" s="17" t="s">
        <v>75</v>
      </c>
      <c r="D13" s="17" t="s">
        <v>76</v>
      </c>
      <c r="E13" s="17" t="s">
        <v>76</v>
      </c>
      <c r="F13" s="17" t="s">
        <v>77</v>
      </c>
      <c r="G13" s="17" t="s">
        <v>78</v>
      </c>
      <c r="H13" s="17" t="s">
        <v>78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thickBot="1" x14ac:dyDescent="0.3">
      <c r="A14" s="16" t="s">
        <v>47</v>
      </c>
      <c r="B14" s="17" t="s">
        <v>79</v>
      </c>
      <c r="C14" s="17" t="s">
        <v>80</v>
      </c>
      <c r="D14" s="17" t="s">
        <v>81</v>
      </c>
      <c r="E14" s="17" t="s">
        <v>81</v>
      </c>
      <c r="F14" s="17" t="s">
        <v>82</v>
      </c>
      <c r="G14" s="17" t="s">
        <v>83</v>
      </c>
      <c r="H14" s="17" t="s">
        <v>84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thickBot="1" x14ac:dyDescent="0.3">
      <c r="A15" s="16" t="s">
        <v>85</v>
      </c>
      <c r="B15" s="17" t="s">
        <v>86</v>
      </c>
      <c r="C15" s="17" t="s">
        <v>87</v>
      </c>
      <c r="D15" s="17" t="s">
        <v>88</v>
      </c>
      <c r="E15" s="17" t="s">
        <v>88</v>
      </c>
      <c r="F15" s="17" t="s">
        <v>89</v>
      </c>
      <c r="G15" s="17" t="s">
        <v>90</v>
      </c>
      <c r="H15" s="17" t="s">
        <v>91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thickBot="1" x14ac:dyDescent="0.3">
      <c r="A16" s="16" t="s">
        <v>92</v>
      </c>
      <c r="B16" s="17" t="s">
        <v>93</v>
      </c>
      <c r="C16" s="17" t="s">
        <v>94</v>
      </c>
      <c r="D16" s="17" t="s">
        <v>95</v>
      </c>
      <c r="E16" s="17" t="s">
        <v>96</v>
      </c>
      <c r="F16" s="17" t="s">
        <v>97</v>
      </c>
      <c r="G16" s="17" t="s">
        <v>98</v>
      </c>
      <c r="H16" s="17" t="s">
        <v>99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thickBot="1" x14ac:dyDescent="0.3">
      <c r="A17" s="18"/>
      <c r="B17" s="13"/>
      <c r="C17" s="13"/>
      <c r="D17" s="13"/>
      <c r="E17" s="13"/>
      <c r="F17" s="13"/>
      <c r="G17" s="13"/>
      <c r="H17" s="1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thickBot="1" x14ac:dyDescent="0.3">
      <c r="A18" s="14" t="s">
        <v>100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5" t="s">
        <v>106</v>
      </c>
      <c r="H18" s="15" t="s">
        <v>107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thickBot="1" x14ac:dyDescent="0.3">
      <c r="A19" s="16" t="s">
        <v>108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7" t="s">
        <v>111</v>
      </c>
      <c r="G19" s="17" t="s">
        <v>111</v>
      </c>
      <c r="H19" s="17" t="s">
        <v>112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thickBot="1" x14ac:dyDescent="0.3">
      <c r="A20" s="16" t="s">
        <v>113</v>
      </c>
      <c r="B20" s="17" t="s">
        <v>113</v>
      </c>
      <c r="C20" s="17" t="s">
        <v>114</v>
      </c>
      <c r="D20" s="17" t="s">
        <v>115</v>
      </c>
      <c r="E20" s="17" t="s">
        <v>116</v>
      </c>
      <c r="F20" s="17" t="s">
        <v>117</v>
      </c>
      <c r="G20" s="17" t="s">
        <v>117</v>
      </c>
      <c r="H20" s="17" t="s">
        <v>118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thickBot="1" x14ac:dyDescent="0.3">
      <c r="A21" s="16" t="s">
        <v>119</v>
      </c>
      <c r="B21" s="17" t="s">
        <v>119</v>
      </c>
      <c r="C21" s="17" t="s">
        <v>120</v>
      </c>
      <c r="D21" s="17" t="s">
        <v>121</v>
      </c>
      <c r="E21" s="17" t="s">
        <v>122</v>
      </c>
      <c r="F21" s="17" t="s">
        <v>123</v>
      </c>
      <c r="G21" s="17" t="s">
        <v>123</v>
      </c>
      <c r="H21" s="17" t="s">
        <v>124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thickBot="1" x14ac:dyDescent="0.3">
      <c r="A22" s="16" t="s">
        <v>125</v>
      </c>
      <c r="B22" s="17" t="s">
        <v>126</v>
      </c>
      <c r="C22" s="17" t="s">
        <v>127</v>
      </c>
      <c r="D22" s="17" t="s">
        <v>128</v>
      </c>
      <c r="E22" s="17" t="s">
        <v>129</v>
      </c>
      <c r="F22" s="17" t="s">
        <v>130</v>
      </c>
      <c r="G22" s="17" t="s">
        <v>130</v>
      </c>
      <c r="H22" s="17" t="s">
        <v>131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thickBot="1" x14ac:dyDescent="0.3">
      <c r="A23" s="16" t="s">
        <v>132</v>
      </c>
      <c r="B23" s="17" t="s">
        <v>133</v>
      </c>
      <c r="C23" s="17" t="s">
        <v>134</v>
      </c>
      <c r="D23" s="17" t="s">
        <v>135</v>
      </c>
      <c r="E23" s="17" t="s">
        <v>136</v>
      </c>
      <c r="F23" s="17" t="s">
        <v>137</v>
      </c>
      <c r="G23" s="17" t="s">
        <v>138</v>
      </c>
      <c r="H23" s="17" t="s">
        <v>139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thickBot="1" x14ac:dyDescent="0.3">
      <c r="A24" s="13"/>
      <c r="B24" s="13"/>
      <c r="C24" s="13"/>
      <c r="D24" s="13"/>
      <c r="E24" s="13"/>
      <c r="F24" s="13"/>
      <c r="G24" s="13"/>
      <c r="H24" s="1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thickBot="1" x14ac:dyDescent="0.3">
      <c r="A25" s="14" t="s">
        <v>140</v>
      </c>
      <c r="B25" s="15" t="s">
        <v>141</v>
      </c>
      <c r="C25" s="15" t="s">
        <v>142</v>
      </c>
      <c r="D25" s="15" t="s">
        <v>143</v>
      </c>
      <c r="E25" s="15" t="s">
        <v>144</v>
      </c>
      <c r="F25" s="15" t="s">
        <v>145</v>
      </c>
      <c r="G25" s="15" t="s">
        <v>146</v>
      </c>
      <c r="H25" s="15" t="s">
        <v>147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thickBot="1" x14ac:dyDescent="0.3">
      <c r="A26" s="16" t="s">
        <v>112</v>
      </c>
      <c r="B26" s="17" t="s">
        <v>148</v>
      </c>
      <c r="C26" s="17" t="s">
        <v>149</v>
      </c>
      <c r="D26" s="17" t="s">
        <v>149</v>
      </c>
      <c r="E26" s="17" t="s">
        <v>150</v>
      </c>
      <c r="F26" s="17" t="s">
        <v>150</v>
      </c>
      <c r="G26" s="17" t="s">
        <v>151</v>
      </c>
      <c r="H26" s="17" t="s">
        <v>152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thickBot="1" x14ac:dyDescent="0.3">
      <c r="A27" s="16" t="s">
        <v>118</v>
      </c>
      <c r="B27" s="17" t="s">
        <v>153</v>
      </c>
      <c r="C27" s="17" t="s">
        <v>154</v>
      </c>
      <c r="D27" s="17" t="s">
        <v>154</v>
      </c>
      <c r="E27" s="17" t="s">
        <v>155</v>
      </c>
      <c r="F27" s="17" t="s">
        <v>156</v>
      </c>
      <c r="G27" s="17" t="s">
        <v>157</v>
      </c>
      <c r="H27" s="17" t="s">
        <v>158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thickBot="1" x14ac:dyDescent="0.3">
      <c r="A28" s="16" t="s">
        <v>159</v>
      </c>
      <c r="B28" s="17" t="s">
        <v>160</v>
      </c>
      <c r="C28" s="17" t="s">
        <v>161</v>
      </c>
      <c r="D28" s="17" t="s">
        <v>161</v>
      </c>
      <c r="E28" s="17" t="s">
        <v>162</v>
      </c>
      <c r="F28" s="17" t="s">
        <v>163</v>
      </c>
      <c r="G28" s="17" t="s">
        <v>164</v>
      </c>
      <c r="H28" s="17" t="s">
        <v>165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thickBot="1" x14ac:dyDescent="0.3">
      <c r="A29" s="16" t="s">
        <v>166</v>
      </c>
      <c r="B29" s="17" t="s">
        <v>167</v>
      </c>
      <c r="C29" s="17" t="s">
        <v>168</v>
      </c>
      <c r="D29" s="17" t="s">
        <v>169</v>
      </c>
      <c r="E29" s="17" t="s">
        <v>170</v>
      </c>
      <c r="F29" s="17" t="s">
        <v>171</v>
      </c>
      <c r="G29" s="17" t="s">
        <v>172</v>
      </c>
      <c r="H29" s="17" t="s">
        <v>173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thickBot="1" x14ac:dyDescent="0.3">
      <c r="A30" s="16" t="s">
        <v>174</v>
      </c>
      <c r="B30" s="17" t="s">
        <v>175</v>
      </c>
      <c r="C30" s="17" t="s">
        <v>176</v>
      </c>
      <c r="D30" s="17" t="s">
        <v>177</v>
      </c>
      <c r="E30" s="17" t="s">
        <v>178</v>
      </c>
      <c r="F30" s="17" t="s">
        <v>179</v>
      </c>
      <c r="G30" s="17" t="s">
        <v>180</v>
      </c>
      <c r="H30" s="17" t="s">
        <v>181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thickBot="1" x14ac:dyDescent="0.3">
      <c r="A31" s="13"/>
      <c r="B31" s="13"/>
      <c r="C31" s="13"/>
      <c r="D31" s="13"/>
      <c r="E31" s="13"/>
      <c r="F31" s="13"/>
      <c r="G31" s="13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thickBot="1" x14ac:dyDescent="0.3">
      <c r="A32" s="14" t="s">
        <v>182</v>
      </c>
      <c r="B32" s="15" t="s">
        <v>183</v>
      </c>
      <c r="C32" s="15" t="s">
        <v>184</v>
      </c>
      <c r="D32" s="15" t="s">
        <v>185</v>
      </c>
      <c r="E32" s="15" t="s">
        <v>186</v>
      </c>
      <c r="F32" s="15" t="s">
        <v>187</v>
      </c>
      <c r="G32" s="15" t="s">
        <v>188</v>
      </c>
      <c r="H32" s="15" t="s">
        <v>189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thickBot="1" x14ac:dyDescent="0.3">
      <c r="A33" s="16" t="s">
        <v>152</v>
      </c>
      <c r="B33" s="17" t="s">
        <v>190</v>
      </c>
      <c r="C33" s="17" t="s">
        <v>190</v>
      </c>
      <c r="D33" s="17" t="s">
        <v>191</v>
      </c>
      <c r="E33" s="17" t="s">
        <v>192</v>
      </c>
      <c r="F33" s="17" t="s">
        <v>192</v>
      </c>
      <c r="G33" s="17" t="s">
        <v>193</v>
      </c>
      <c r="H33" s="17" t="s">
        <v>193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thickBot="1" x14ac:dyDescent="0.3">
      <c r="A34" s="16" t="s">
        <v>158</v>
      </c>
      <c r="B34" s="17" t="s">
        <v>194</v>
      </c>
      <c r="C34" s="17" t="s">
        <v>194</v>
      </c>
      <c r="D34" s="17" t="s">
        <v>195</v>
      </c>
      <c r="E34" s="17" t="s">
        <v>196</v>
      </c>
      <c r="F34" s="17" t="s">
        <v>196</v>
      </c>
      <c r="G34" s="17" t="s">
        <v>197</v>
      </c>
      <c r="H34" s="17" t="s">
        <v>198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thickBot="1" x14ac:dyDescent="0.3">
      <c r="A35" s="16" t="s">
        <v>165</v>
      </c>
      <c r="B35" s="17" t="s">
        <v>199</v>
      </c>
      <c r="C35" s="17" t="s">
        <v>200</v>
      </c>
      <c r="D35" s="17" t="s">
        <v>201</v>
      </c>
      <c r="E35" s="17" t="s">
        <v>202</v>
      </c>
      <c r="F35" s="17" t="s">
        <v>202</v>
      </c>
      <c r="G35" s="17" t="s">
        <v>203</v>
      </c>
      <c r="H35" s="17" t="s">
        <v>204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thickBot="1" x14ac:dyDescent="0.3">
      <c r="A36" s="16" t="s">
        <v>173</v>
      </c>
      <c r="B36" s="17" t="s">
        <v>205</v>
      </c>
      <c r="C36" s="17" t="s">
        <v>206</v>
      </c>
      <c r="D36" s="17" t="s">
        <v>207</v>
      </c>
      <c r="E36" s="17" t="s">
        <v>208</v>
      </c>
      <c r="F36" s="17" t="s">
        <v>209</v>
      </c>
      <c r="G36" s="17" t="s">
        <v>210</v>
      </c>
      <c r="H36" s="17" t="s">
        <v>211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thickBot="1" x14ac:dyDescent="0.3">
      <c r="A37" s="16" t="s">
        <v>212</v>
      </c>
      <c r="B37" s="17" t="s">
        <v>213</v>
      </c>
      <c r="C37" s="17" t="s">
        <v>214</v>
      </c>
      <c r="D37" s="17" t="s">
        <v>215</v>
      </c>
      <c r="E37" s="17" t="s">
        <v>216</v>
      </c>
      <c r="F37" s="17" t="s">
        <v>217</v>
      </c>
      <c r="G37" s="17" t="s">
        <v>218</v>
      </c>
      <c r="H37" s="17" t="s">
        <v>219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thickBot="1" x14ac:dyDescent="0.3">
      <c r="A38" s="13"/>
      <c r="B38" s="13"/>
      <c r="C38" s="13"/>
      <c r="D38" s="13"/>
      <c r="E38" s="13"/>
      <c r="F38" s="13"/>
      <c r="G38" s="13"/>
      <c r="H38" s="13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thickBot="1" x14ac:dyDescent="0.3">
      <c r="A39" s="14" t="s">
        <v>220</v>
      </c>
      <c r="B39" s="15" t="s">
        <v>221</v>
      </c>
      <c r="C39" s="15" t="s">
        <v>222</v>
      </c>
      <c r="D39" s="15" t="s">
        <v>223</v>
      </c>
      <c r="E39" s="15" t="s">
        <v>224</v>
      </c>
      <c r="F39" s="15" t="s">
        <v>225</v>
      </c>
      <c r="G39" s="15" t="s">
        <v>226</v>
      </c>
      <c r="H39" s="15" t="s">
        <v>227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thickBot="1" x14ac:dyDescent="0.3">
      <c r="A40" s="16" t="s">
        <v>228</v>
      </c>
      <c r="B40" s="17" t="s">
        <v>229</v>
      </c>
      <c r="C40" s="17" t="s">
        <v>229</v>
      </c>
      <c r="D40" s="17" t="s">
        <v>230</v>
      </c>
      <c r="E40" s="17" t="s">
        <v>230</v>
      </c>
      <c r="F40" s="17" t="s">
        <v>231</v>
      </c>
      <c r="G40" s="17" t="s">
        <v>232</v>
      </c>
      <c r="H40" s="17" t="s">
        <v>232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thickBot="1" x14ac:dyDescent="0.3">
      <c r="A41" s="16" t="s">
        <v>233</v>
      </c>
      <c r="B41" s="17" t="s">
        <v>234</v>
      </c>
      <c r="C41" s="17" t="s">
        <v>234</v>
      </c>
      <c r="D41" s="17" t="s">
        <v>235</v>
      </c>
      <c r="E41" s="17" t="s">
        <v>235</v>
      </c>
      <c r="F41" s="17" t="s">
        <v>236</v>
      </c>
      <c r="G41" s="17" t="s">
        <v>237</v>
      </c>
      <c r="H41" s="17" t="s">
        <v>237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thickBot="1" x14ac:dyDescent="0.3">
      <c r="A42" s="16" t="s">
        <v>238</v>
      </c>
      <c r="B42" s="17" t="s">
        <v>239</v>
      </c>
      <c r="C42" s="17" t="s">
        <v>239</v>
      </c>
      <c r="D42" s="17" t="s">
        <v>240</v>
      </c>
      <c r="E42" s="17" t="s">
        <v>241</v>
      </c>
      <c r="F42" s="17" t="s">
        <v>242</v>
      </c>
      <c r="G42" s="17" t="s">
        <v>243</v>
      </c>
      <c r="H42" s="17" t="s">
        <v>243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thickBot="1" x14ac:dyDescent="0.3">
      <c r="A43" s="16" t="s">
        <v>244</v>
      </c>
      <c r="B43" s="17" t="s">
        <v>245</v>
      </c>
      <c r="C43" s="17" t="s">
        <v>245</v>
      </c>
      <c r="D43" s="17" t="s">
        <v>246</v>
      </c>
      <c r="E43" s="17" t="s">
        <v>247</v>
      </c>
      <c r="F43" s="17" t="s">
        <v>248</v>
      </c>
      <c r="G43" s="17" t="s">
        <v>249</v>
      </c>
      <c r="H43" s="17" t="s">
        <v>250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thickBot="1" x14ac:dyDescent="0.3">
      <c r="A44" s="16" t="s">
        <v>251</v>
      </c>
      <c r="B44" s="17" t="s">
        <v>252</v>
      </c>
      <c r="C44" s="17" t="s">
        <v>253</v>
      </c>
      <c r="D44" s="17" t="s">
        <v>254</v>
      </c>
      <c r="E44" s="17" t="s">
        <v>255</v>
      </c>
      <c r="F44" s="17" t="s">
        <v>256</v>
      </c>
      <c r="G44" s="17" t="s">
        <v>257</v>
      </c>
      <c r="H44" s="17" t="s">
        <v>258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thickBot="1" x14ac:dyDescent="0.3">
      <c r="A45" s="13"/>
      <c r="B45" s="13"/>
      <c r="C45" s="13"/>
      <c r="D45" s="13"/>
      <c r="E45" s="13"/>
      <c r="F45" s="13"/>
      <c r="G45" s="13"/>
      <c r="H45" s="13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thickBot="1" x14ac:dyDescent="0.3">
      <c r="A46" s="14" t="s">
        <v>259</v>
      </c>
      <c r="B46" s="15" t="s">
        <v>260</v>
      </c>
      <c r="C46" s="15" t="s">
        <v>261</v>
      </c>
      <c r="D46" s="15" t="s">
        <v>262</v>
      </c>
      <c r="E46" s="15" t="s">
        <v>263</v>
      </c>
      <c r="F46" s="15" t="s">
        <v>264</v>
      </c>
      <c r="G46" s="15" t="s">
        <v>265</v>
      </c>
      <c r="H46" s="15" t="s">
        <v>266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thickBot="1" x14ac:dyDescent="0.3">
      <c r="A47" s="16" t="s">
        <v>267</v>
      </c>
      <c r="B47" s="17" t="s">
        <v>267</v>
      </c>
      <c r="C47" s="17" t="s">
        <v>268</v>
      </c>
      <c r="D47" s="17" t="s">
        <v>269</v>
      </c>
      <c r="E47" s="17" t="s">
        <v>269</v>
      </c>
      <c r="F47" s="17" t="s">
        <v>270</v>
      </c>
      <c r="G47" s="17" t="s">
        <v>270</v>
      </c>
      <c r="H47" s="17" t="s">
        <v>271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thickBot="1" x14ac:dyDescent="0.3">
      <c r="A48" s="16" t="s">
        <v>272</v>
      </c>
      <c r="B48" s="17" t="s">
        <v>273</v>
      </c>
      <c r="C48" s="17" t="s">
        <v>274</v>
      </c>
      <c r="D48" s="17" t="s">
        <v>275</v>
      </c>
      <c r="E48" s="17" t="s">
        <v>275</v>
      </c>
      <c r="F48" s="17" t="s">
        <v>276</v>
      </c>
      <c r="G48" s="17" t="s">
        <v>276</v>
      </c>
      <c r="H48" s="17" t="s">
        <v>277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thickBot="1" x14ac:dyDescent="0.3">
      <c r="A49" s="16" t="s">
        <v>278</v>
      </c>
      <c r="B49" s="17" t="s">
        <v>279</v>
      </c>
      <c r="C49" s="17" t="s">
        <v>280</v>
      </c>
      <c r="D49" s="17" t="s">
        <v>281</v>
      </c>
      <c r="E49" s="17" t="s">
        <v>281</v>
      </c>
      <c r="F49" s="17" t="s">
        <v>282</v>
      </c>
      <c r="G49" s="17" t="s">
        <v>283</v>
      </c>
      <c r="H49" s="17" t="s">
        <v>284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thickBot="1" x14ac:dyDescent="0.3">
      <c r="A50" s="16" t="s">
        <v>285</v>
      </c>
      <c r="B50" s="17" t="s">
        <v>286</v>
      </c>
      <c r="C50" s="17" t="s">
        <v>287</v>
      </c>
      <c r="D50" s="17" t="s">
        <v>288</v>
      </c>
      <c r="E50" s="17" t="s">
        <v>288</v>
      </c>
      <c r="F50" s="17" t="s">
        <v>289</v>
      </c>
      <c r="G50" s="17" t="s">
        <v>290</v>
      </c>
      <c r="H50" s="17" t="s">
        <v>291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thickBot="1" x14ac:dyDescent="0.3">
      <c r="A51" s="16" t="s">
        <v>292</v>
      </c>
      <c r="B51" s="17" t="s">
        <v>293</v>
      </c>
      <c r="C51" s="17" t="s">
        <v>294</v>
      </c>
      <c r="D51" s="17" t="s">
        <v>295</v>
      </c>
      <c r="E51" s="17" t="s">
        <v>296</v>
      </c>
      <c r="F51" s="17" t="s">
        <v>297</v>
      </c>
      <c r="G51" s="17" t="s">
        <v>298</v>
      </c>
      <c r="H51" s="17" t="s">
        <v>299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thickBo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thickBo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thickBo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thickBo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thickBot="1" x14ac:dyDescent="0.3">
      <c r="A56" s="129" t="s">
        <v>22</v>
      </c>
      <c r="B56" s="130"/>
      <c r="C56" s="130"/>
      <c r="D56" s="130"/>
      <c r="E56" s="130"/>
      <c r="F56" s="130"/>
      <c r="G56" s="130"/>
      <c r="H56" s="131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thickBot="1" x14ac:dyDescent="0.3">
      <c r="A57" s="129" t="s">
        <v>23</v>
      </c>
      <c r="B57" s="130"/>
      <c r="C57" s="130"/>
      <c r="D57" s="130"/>
      <c r="E57" s="130"/>
      <c r="F57" s="130"/>
      <c r="G57" s="130"/>
      <c r="H57" s="131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thickBot="1" x14ac:dyDescent="0.3">
      <c r="A58" s="13"/>
      <c r="B58" s="13"/>
      <c r="C58" s="13"/>
      <c r="D58" s="13"/>
      <c r="E58" s="13"/>
      <c r="F58" s="13"/>
      <c r="G58" s="13"/>
      <c r="H58" s="13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thickBot="1" x14ac:dyDescent="0.3">
      <c r="A59" s="14" t="s">
        <v>300</v>
      </c>
      <c r="B59" s="15" t="s">
        <v>301</v>
      </c>
      <c r="C59" s="15" t="s">
        <v>302</v>
      </c>
      <c r="D59" s="15" t="s">
        <v>303</v>
      </c>
      <c r="E59" s="15" t="s">
        <v>304</v>
      </c>
      <c r="F59" s="15" t="s">
        <v>305</v>
      </c>
      <c r="G59" s="15" t="s">
        <v>306</v>
      </c>
      <c r="H59" s="15" t="s">
        <v>307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thickBot="1" x14ac:dyDescent="0.3">
      <c r="A60" s="16" t="s">
        <v>308</v>
      </c>
      <c r="B60" s="17" t="s">
        <v>308</v>
      </c>
      <c r="C60" s="17" t="s">
        <v>309</v>
      </c>
      <c r="D60" s="17" t="s">
        <v>309</v>
      </c>
      <c r="E60" s="17" t="s">
        <v>310</v>
      </c>
      <c r="F60" s="17" t="s">
        <v>311</v>
      </c>
      <c r="G60" s="17" t="s">
        <v>311</v>
      </c>
      <c r="H60" s="17" t="s">
        <v>312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thickBot="1" x14ac:dyDescent="0.3">
      <c r="A61" s="16" t="s">
        <v>313</v>
      </c>
      <c r="B61" s="17" t="s">
        <v>313</v>
      </c>
      <c r="C61" s="17" t="s">
        <v>314</v>
      </c>
      <c r="D61" s="17" t="s">
        <v>315</v>
      </c>
      <c r="E61" s="17" t="s">
        <v>316</v>
      </c>
      <c r="F61" s="17" t="s">
        <v>317</v>
      </c>
      <c r="G61" s="17" t="s">
        <v>317</v>
      </c>
      <c r="H61" s="17" t="s">
        <v>318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thickBot="1" x14ac:dyDescent="0.3">
      <c r="A62" s="16" t="s">
        <v>319</v>
      </c>
      <c r="B62" s="17" t="s">
        <v>319</v>
      </c>
      <c r="C62" s="17" t="s">
        <v>320</v>
      </c>
      <c r="D62" s="17" t="s">
        <v>321</v>
      </c>
      <c r="E62" s="17" t="s">
        <v>322</v>
      </c>
      <c r="F62" s="17" t="s">
        <v>323</v>
      </c>
      <c r="G62" s="17" t="s">
        <v>323</v>
      </c>
      <c r="H62" s="17" t="s">
        <v>324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thickBot="1" x14ac:dyDescent="0.3">
      <c r="A63" s="16" t="s">
        <v>325</v>
      </c>
      <c r="B63" s="17" t="s">
        <v>326</v>
      </c>
      <c r="C63" s="17" t="s">
        <v>327</v>
      </c>
      <c r="D63" s="17" t="s">
        <v>328</v>
      </c>
      <c r="E63" s="17" t="s">
        <v>329</v>
      </c>
      <c r="F63" s="17" t="s">
        <v>330</v>
      </c>
      <c r="G63" s="17" t="s">
        <v>330</v>
      </c>
      <c r="H63" s="17" t="s">
        <v>331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thickBot="1" x14ac:dyDescent="0.3">
      <c r="A64" s="16" t="s">
        <v>332</v>
      </c>
      <c r="B64" s="17" t="s">
        <v>333</v>
      </c>
      <c r="C64" s="17" t="s">
        <v>334</v>
      </c>
      <c r="D64" s="17" t="s">
        <v>335</v>
      </c>
      <c r="E64" s="17" t="s">
        <v>336</v>
      </c>
      <c r="F64" s="17" t="s">
        <v>337</v>
      </c>
      <c r="G64" s="17" t="s">
        <v>338</v>
      </c>
      <c r="H64" s="17" t="s">
        <v>339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thickBot="1" x14ac:dyDescent="0.3">
      <c r="A65" s="13"/>
      <c r="B65" s="13"/>
      <c r="C65" s="13"/>
      <c r="D65" s="13"/>
      <c r="E65" s="13"/>
      <c r="F65" s="13"/>
      <c r="G65" s="13"/>
      <c r="H65" s="13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thickBot="1" x14ac:dyDescent="0.3">
      <c r="A66" s="14" t="s">
        <v>340</v>
      </c>
      <c r="B66" s="15" t="s">
        <v>341</v>
      </c>
      <c r="C66" s="15" t="s">
        <v>342</v>
      </c>
      <c r="D66" s="15" t="s">
        <v>343</v>
      </c>
      <c r="E66" s="15" t="s">
        <v>344</v>
      </c>
      <c r="F66" s="15" t="s">
        <v>345</v>
      </c>
      <c r="G66" s="15" t="s">
        <v>346</v>
      </c>
      <c r="H66" s="15" t="s">
        <v>347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thickBot="1" x14ac:dyDescent="0.3">
      <c r="A67" s="16" t="s">
        <v>312</v>
      </c>
      <c r="B67" s="17" t="s">
        <v>348</v>
      </c>
      <c r="C67" s="17" t="s">
        <v>349</v>
      </c>
      <c r="D67" s="17" t="s">
        <v>349</v>
      </c>
      <c r="E67" s="17" t="s">
        <v>349</v>
      </c>
      <c r="F67" s="17" t="s">
        <v>350</v>
      </c>
      <c r="G67" s="17" t="s">
        <v>351</v>
      </c>
      <c r="H67" s="17" t="s">
        <v>352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thickBot="1" x14ac:dyDescent="0.3">
      <c r="A68" s="16" t="s">
        <v>318</v>
      </c>
      <c r="B68" s="17" t="s">
        <v>353</v>
      </c>
      <c r="C68" s="17" t="s">
        <v>354</v>
      </c>
      <c r="D68" s="17" t="s">
        <v>354</v>
      </c>
      <c r="E68" s="17" t="s">
        <v>355</v>
      </c>
      <c r="F68" s="17" t="s">
        <v>356</v>
      </c>
      <c r="G68" s="17" t="s">
        <v>357</v>
      </c>
      <c r="H68" s="17" t="s">
        <v>358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thickBot="1" x14ac:dyDescent="0.3">
      <c r="A69" s="16" t="s">
        <v>359</v>
      </c>
      <c r="B69" s="17" t="s">
        <v>360</v>
      </c>
      <c r="C69" s="17" t="s">
        <v>361</v>
      </c>
      <c r="D69" s="17" t="s">
        <v>361</v>
      </c>
      <c r="E69" s="17" t="s">
        <v>362</v>
      </c>
      <c r="F69" s="17" t="s">
        <v>363</v>
      </c>
      <c r="G69" s="17" t="s">
        <v>364</v>
      </c>
      <c r="H69" s="17" t="s">
        <v>365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thickBot="1" x14ac:dyDescent="0.3">
      <c r="A70" s="16" t="s">
        <v>366</v>
      </c>
      <c r="B70" s="17" t="s">
        <v>367</v>
      </c>
      <c r="C70" s="17" t="s">
        <v>368</v>
      </c>
      <c r="D70" s="17" t="s">
        <v>369</v>
      </c>
      <c r="E70" s="17" t="s">
        <v>370</v>
      </c>
      <c r="F70" s="17" t="s">
        <v>371</v>
      </c>
      <c r="G70" s="17" t="s">
        <v>372</v>
      </c>
      <c r="H70" s="17" t="s">
        <v>373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thickBot="1" x14ac:dyDescent="0.3">
      <c r="A71" s="16" t="s">
        <v>374</v>
      </c>
      <c r="B71" s="17" t="s">
        <v>375</v>
      </c>
      <c r="C71" s="17" t="s">
        <v>376</v>
      </c>
      <c r="D71" s="17" t="s">
        <v>377</v>
      </c>
      <c r="E71" s="17" t="s">
        <v>378</v>
      </c>
      <c r="F71" s="17" t="s">
        <v>379</v>
      </c>
      <c r="G71" s="17" t="s">
        <v>380</v>
      </c>
      <c r="H71" s="17" t="s">
        <v>381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thickBot="1" x14ac:dyDescent="0.3">
      <c r="A72" s="13"/>
      <c r="B72" s="13"/>
      <c r="C72" s="13"/>
      <c r="D72" s="13"/>
      <c r="E72" s="13"/>
      <c r="F72" s="13"/>
      <c r="G72" s="13"/>
      <c r="H72" s="13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thickBot="1" x14ac:dyDescent="0.3">
      <c r="A73" s="14" t="s">
        <v>382</v>
      </c>
      <c r="B73" s="15" t="s">
        <v>383</v>
      </c>
      <c r="C73" s="15" t="s">
        <v>384</v>
      </c>
      <c r="D73" s="15" t="s">
        <v>385</v>
      </c>
      <c r="E73" s="15" t="s">
        <v>386</v>
      </c>
      <c r="F73" s="15" t="s">
        <v>387</v>
      </c>
      <c r="G73" s="15" t="s">
        <v>388</v>
      </c>
      <c r="H73" s="15" t="s">
        <v>389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thickBot="1" x14ac:dyDescent="0.3">
      <c r="A74" s="16" t="s">
        <v>352</v>
      </c>
      <c r="B74" s="17" t="s">
        <v>390</v>
      </c>
      <c r="C74" s="17" t="s">
        <v>390</v>
      </c>
      <c r="D74" s="17" t="s">
        <v>391</v>
      </c>
      <c r="E74" s="17" t="s">
        <v>392</v>
      </c>
      <c r="F74" s="17" t="s">
        <v>392</v>
      </c>
      <c r="G74" s="17" t="s">
        <v>393</v>
      </c>
      <c r="H74" s="17" t="s">
        <v>393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thickBot="1" x14ac:dyDescent="0.3">
      <c r="A75" s="16" t="s">
        <v>358</v>
      </c>
      <c r="B75" s="17" t="s">
        <v>394</v>
      </c>
      <c r="C75" s="17" t="s">
        <v>394</v>
      </c>
      <c r="D75" s="17" t="s">
        <v>395</v>
      </c>
      <c r="E75" s="17" t="s">
        <v>396</v>
      </c>
      <c r="F75" s="17" t="s">
        <v>396</v>
      </c>
      <c r="G75" s="17" t="s">
        <v>397</v>
      </c>
      <c r="H75" s="17" t="s">
        <v>398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thickBot="1" x14ac:dyDescent="0.3">
      <c r="A76" s="16" t="s">
        <v>365</v>
      </c>
      <c r="B76" s="17" t="s">
        <v>399</v>
      </c>
      <c r="C76" s="17" t="s">
        <v>400</v>
      </c>
      <c r="D76" s="17" t="s">
        <v>401</v>
      </c>
      <c r="E76" s="17" t="s">
        <v>402</v>
      </c>
      <c r="F76" s="17" t="s">
        <v>402</v>
      </c>
      <c r="G76" s="17" t="s">
        <v>403</v>
      </c>
      <c r="H76" s="17" t="s">
        <v>404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thickBot="1" x14ac:dyDescent="0.3">
      <c r="A77" s="16" t="s">
        <v>373</v>
      </c>
      <c r="B77" s="17" t="s">
        <v>405</v>
      </c>
      <c r="C77" s="17" t="s">
        <v>406</v>
      </c>
      <c r="D77" s="17" t="s">
        <v>407</v>
      </c>
      <c r="E77" s="17" t="s">
        <v>408</v>
      </c>
      <c r="F77" s="17" t="s">
        <v>409</v>
      </c>
      <c r="G77" s="17" t="s">
        <v>410</v>
      </c>
      <c r="H77" s="17" t="s">
        <v>411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thickBot="1" x14ac:dyDescent="0.3">
      <c r="A78" s="16" t="s">
        <v>412</v>
      </c>
      <c r="B78" s="17" t="s">
        <v>413</v>
      </c>
      <c r="C78" s="17" t="s">
        <v>414</v>
      </c>
      <c r="D78" s="17" t="s">
        <v>415</v>
      </c>
      <c r="E78" s="17" t="s">
        <v>416</v>
      </c>
      <c r="F78" s="17" t="s">
        <v>417</v>
      </c>
      <c r="G78" s="17" t="s">
        <v>418</v>
      </c>
      <c r="H78" s="17" t="s">
        <v>419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thickBot="1" x14ac:dyDescent="0.3">
      <c r="A79" s="13"/>
      <c r="B79" s="13"/>
      <c r="C79" s="13"/>
      <c r="D79" s="13"/>
      <c r="E79" s="13"/>
      <c r="F79" s="13"/>
      <c r="G79" s="13"/>
      <c r="H79" s="13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thickBot="1" x14ac:dyDescent="0.3">
      <c r="A80" s="14" t="s">
        <v>420</v>
      </c>
      <c r="B80" s="15" t="s">
        <v>421</v>
      </c>
      <c r="C80" s="15" t="s">
        <v>422</v>
      </c>
      <c r="D80" s="15" t="s">
        <v>423</v>
      </c>
      <c r="E80" s="15" t="s">
        <v>424</v>
      </c>
      <c r="F80" s="15" t="s">
        <v>425</v>
      </c>
      <c r="G80" s="15" t="s">
        <v>426</v>
      </c>
      <c r="H80" s="15" t="s">
        <v>427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thickBot="1" x14ac:dyDescent="0.3">
      <c r="A81" s="16" t="s">
        <v>428</v>
      </c>
      <c r="B81" s="17" t="s">
        <v>429</v>
      </c>
      <c r="C81" s="17" t="s">
        <v>429</v>
      </c>
      <c r="D81" s="17" t="s">
        <v>430</v>
      </c>
      <c r="E81" s="17" t="s">
        <v>430</v>
      </c>
      <c r="F81" s="17" t="s">
        <v>431</v>
      </c>
      <c r="G81" s="17" t="s">
        <v>432</v>
      </c>
      <c r="H81" s="17" t="s">
        <v>432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thickBot="1" x14ac:dyDescent="0.3">
      <c r="A82" s="16" t="s">
        <v>433</v>
      </c>
      <c r="B82" s="17" t="s">
        <v>434</v>
      </c>
      <c r="C82" s="17" t="s">
        <v>434</v>
      </c>
      <c r="D82" s="17" t="s">
        <v>435</v>
      </c>
      <c r="E82" s="17" t="s">
        <v>436</v>
      </c>
      <c r="F82" s="17" t="s">
        <v>437</v>
      </c>
      <c r="G82" s="17" t="s">
        <v>438</v>
      </c>
      <c r="H82" s="17" t="s">
        <v>438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thickBot="1" x14ac:dyDescent="0.3">
      <c r="A83" s="16" t="s">
        <v>439</v>
      </c>
      <c r="B83" s="17" t="s">
        <v>440</v>
      </c>
      <c r="C83" s="17" t="s">
        <v>440</v>
      </c>
      <c r="D83" s="17" t="s">
        <v>441</v>
      </c>
      <c r="E83" s="17" t="s">
        <v>442</v>
      </c>
      <c r="F83" s="17" t="s">
        <v>443</v>
      </c>
      <c r="G83" s="17" t="s">
        <v>444</v>
      </c>
      <c r="H83" s="17" t="s">
        <v>444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thickBot="1" x14ac:dyDescent="0.3">
      <c r="A84" s="16" t="s">
        <v>445</v>
      </c>
      <c r="B84" s="17" t="s">
        <v>446</v>
      </c>
      <c r="C84" s="17" t="s">
        <v>446</v>
      </c>
      <c r="D84" s="17" t="s">
        <v>447</v>
      </c>
      <c r="E84" s="17" t="s">
        <v>448</v>
      </c>
      <c r="F84" s="17" t="s">
        <v>449</v>
      </c>
      <c r="G84" s="17" t="s">
        <v>450</v>
      </c>
      <c r="H84" s="17" t="s">
        <v>451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thickBot="1" x14ac:dyDescent="0.3">
      <c r="A85" s="16" t="s">
        <v>452</v>
      </c>
      <c r="B85" s="17" t="s">
        <v>453</v>
      </c>
      <c r="C85" s="17" t="s">
        <v>454</v>
      </c>
      <c r="D85" s="17" t="s">
        <v>455</v>
      </c>
      <c r="E85" s="17" t="s">
        <v>456</v>
      </c>
      <c r="F85" s="17" t="s">
        <v>457</v>
      </c>
      <c r="G85" s="17" t="s">
        <v>458</v>
      </c>
      <c r="H85" s="17" t="s">
        <v>459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thickBot="1" x14ac:dyDescent="0.3">
      <c r="A86" s="13"/>
      <c r="B86" s="13"/>
      <c r="C86" s="13"/>
      <c r="D86" s="13"/>
      <c r="E86" s="13"/>
      <c r="F86" s="13"/>
      <c r="G86" s="13"/>
      <c r="H86" s="13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thickBot="1" x14ac:dyDescent="0.3">
      <c r="A87" s="14" t="s">
        <v>460</v>
      </c>
      <c r="B87" s="15" t="s">
        <v>461</v>
      </c>
      <c r="C87" s="15" t="s">
        <v>462</v>
      </c>
      <c r="D87" s="15" t="s">
        <v>463</v>
      </c>
      <c r="E87" s="15" t="s">
        <v>464</v>
      </c>
      <c r="F87" s="15" t="s">
        <v>465</v>
      </c>
      <c r="G87" s="15" t="s">
        <v>466</v>
      </c>
      <c r="H87" s="15" t="s">
        <v>467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thickBot="1" x14ac:dyDescent="0.3">
      <c r="A88" s="16" t="s">
        <v>468</v>
      </c>
      <c r="B88" s="17" t="s">
        <v>468</v>
      </c>
      <c r="C88" s="17" t="s">
        <v>469</v>
      </c>
      <c r="D88" s="17" t="s">
        <v>470</v>
      </c>
      <c r="E88" s="17" t="s">
        <v>470</v>
      </c>
      <c r="F88" s="17" t="s">
        <v>471</v>
      </c>
      <c r="G88" s="17" t="s">
        <v>471</v>
      </c>
      <c r="H88" s="17" t="s">
        <v>472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thickBot="1" x14ac:dyDescent="0.3">
      <c r="A89" s="16" t="s">
        <v>473</v>
      </c>
      <c r="B89" s="17" t="s">
        <v>474</v>
      </c>
      <c r="C89" s="17" t="s">
        <v>475</v>
      </c>
      <c r="D89" s="17" t="s">
        <v>476</v>
      </c>
      <c r="E89" s="17" t="s">
        <v>476</v>
      </c>
      <c r="F89" s="17" t="s">
        <v>477</v>
      </c>
      <c r="G89" s="17" t="s">
        <v>477</v>
      </c>
      <c r="H89" s="17" t="s">
        <v>478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thickBot="1" x14ac:dyDescent="0.3">
      <c r="A90" s="16" t="s">
        <v>479</v>
      </c>
      <c r="B90" s="17" t="s">
        <v>480</v>
      </c>
      <c r="C90" s="17" t="s">
        <v>481</v>
      </c>
      <c r="D90" s="17" t="s">
        <v>482</v>
      </c>
      <c r="E90" s="17" t="s">
        <v>482</v>
      </c>
      <c r="F90" s="17" t="s">
        <v>483</v>
      </c>
      <c r="G90" s="17" t="s">
        <v>484</v>
      </c>
      <c r="H90" s="17" t="s">
        <v>485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thickBot="1" x14ac:dyDescent="0.3">
      <c r="A91" s="16" t="s">
        <v>486</v>
      </c>
      <c r="B91" s="17" t="s">
        <v>487</v>
      </c>
      <c r="C91" s="17" t="s">
        <v>488</v>
      </c>
      <c r="D91" s="17" t="s">
        <v>489</v>
      </c>
      <c r="E91" s="17" t="s">
        <v>489</v>
      </c>
      <c r="F91" s="17" t="s">
        <v>490</v>
      </c>
      <c r="G91" s="17" t="s">
        <v>491</v>
      </c>
      <c r="H91" s="17" t="s">
        <v>492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thickBot="1" x14ac:dyDescent="0.3">
      <c r="A92" s="16" t="s">
        <v>493</v>
      </c>
      <c r="B92" s="17" t="s">
        <v>494</v>
      </c>
      <c r="C92" s="17" t="s">
        <v>495</v>
      </c>
      <c r="D92" s="17" t="s">
        <v>496</v>
      </c>
      <c r="E92" s="17" t="s">
        <v>497</v>
      </c>
      <c r="F92" s="17" t="s">
        <v>498</v>
      </c>
      <c r="G92" s="17" t="s">
        <v>499</v>
      </c>
      <c r="H92" s="17" t="s">
        <v>500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thickBot="1" x14ac:dyDescent="0.3">
      <c r="A93" s="13"/>
      <c r="B93" s="13"/>
      <c r="C93" s="13"/>
      <c r="D93" s="13"/>
      <c r="E93" s="13"/>
      <c r="F93" s="13"/>
      <c r="G93" s="13"/>
      <c r="H93" s="13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thickBot="1" x14ac:dyDescent="0.3">
      <c r="A94" s="14" t="s">
        <v>501</v>
      </c>
      <c r="B94" s="15" t="s">
        <v>502</v>
      </c>
      <c r="C94" s="15" t="s">
        <v>503</v>
      </c>
      <c r="D94" s="15" t="s">
        <v>504</v>
      </c>
      <c r="E94" s="15" t="s">
        <v>505</v>
      </c>
      <c r="F94" s="15" t="s">
        <v>506</v>
      </c>
      <c r="G94" s="15" t="s">
        <v>507</v>
      </c>
      <c r="H94" s="15" t="s">
        <v>508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thickBot="1" x14ac:dyDescent="0.3">
      <c r="A95" s="16" t="s">
        <v>509</v>
      </c>
      <c r="B95" s="17" t="s">
        <v>509</v>
      </c>
      <c r="C95" s="17" t="s">
        <v>510</v>
      </c>
      <c r="D95" s="17" t="s">
        <v>510</v>
      </c>
      <c r="E95" s="17" t="s">
        <v>511</v>
      </c>
      <c r="F95" s="17" t="s">
        <v>512</v>
      </c>
      <c r="G95" s="17" t="s">
        <v>512</v>
      </c>
      <c r="H95" s="17" t="s">
        <v>513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thickBot="1" x14ac:dyDescent="0.3">
      <c r="A96" s="16" t="s">
        <v>514</v>
      </c>
      <c r="B96" s="17" t="s">
        <v>514</v>
      </c>
      <c r="C96" s="17" t="s">
        <v>515</v>
      </c>
      <c r="D96" s="17" t="s">
        <v>516</v>
      </c>
      <c r="E96" s="17" t="s">
        <v>517</v>
      </c>
      <c r="F96" s="17" t="s">
        <v>518</v>
      </c>
      <c r="G96" s="17" t="s">
        <v>518</v>
      </c>
      <c r="H96" s="17" t="s">
        <v>519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thickBot="1" x14ac:dyDescent="0.3">
      <c r="A97" s="16" t="s">
        <v>520</v>
      </c>
      <c r="B97" s="17" t="s">
        <v>520</v>
      </c>
      <c r="C97" s="17" t="s">
        <v>521</v>
      </c>
      <c r="D97" s="17" t="s">
        <v>522</v>
      </c>
      <c r="E97" s="17" t="s">
        <v>523</v>
      </c>
      <c r="F97" s="17" t="s">
        <v>524</v>
      </c>
      <c r="G97" s="17" t="s">
        <v>524</v>
      </c>
      <c r="H97" s="17" t="s">
        <v>525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thickBot="1" x14ac:dyDescent="0.3">
      <c r="A98" s="16" t="s">
        <v>526</v>
      </c>
      <c r="B98" s="17" t="s">
        <v>527</v>
      </c>
      <c r="C98" s="17" t="s">
        <v>528</v>
      </c>
      <c r="D98" s="17" t="s">
        <v>529</v>
      </c>
      <c r="E98" s="17" t="s">
        <v>530</v>
      </c>
      <c r="F98" s="17" t="s">
        <v>531</v>
      </c>
      <c r="G98" s="17" t="s">
        <v>531</v>
      </c>
      <c r="H98" s="17" t="s">
        <v>532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thickBot="1" x14ac:dyDescent="0.3">
      <c r="A99" s="16" t="s">
        <v>533</v>
      </c>
      <c r="B99" s="17" t="s">
        <v>534</v>
      </c>
      <c r="C99" s="17" t="s">
        <v>535</v>
      </c>
      <c r="D99" s="17" t="s">
        <v>536</v>
      </c>
      <c r="E99" s="17" t="s">
        <v>537</v>
      </c>
      <c r="F99" s="17" t="s">
        <v>538</v>
      </c>
      <c r="G99" s="17" t="s">
        <v>539</v>
      </c>
      <c r="H99" s="17" t="s">
        <v>540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thickBot="1" x14ac:dyDescent="0.3">
      <c r="A100" s="13"/>
      <c r="B100" s="13"/>
      <c r="C100" s="13"/>
      <c r="D100" s="13"/>
      <c r="E100" s="13"/>
      <c r="F100" s="13"/>
      <c r="G100" s="13"/>
      <c r="H100" s="13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thickBot="1" x14ac:dyDescent="0.3">
      <c r="A101" s="14" t="s">
        <v>541</v>
      </c>
      <c r="B101" s="15" t="s">
        <v>542</v>
      </c>
      <c r="C101" s="15" t="s">
        <v>543</v>
      </c>
      <c r="D101" s="15" t="s">
        <v>544</v>
      </c>
      <c r="E101" s="15" t="s">
        <v>545</v>
      </c>
      <c r="F101" s="15" t="s">
        <v>546</v>
      </c>
      <c r="G101" s="15" t="s">
        <v>547</v>
      </c>
      <c r="H101" s="15" t="s">
        <v>548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thickBot="1" x14ac:dyDescent="0.3">
      <c r="A102" s="16" t="s">
        <v>513</v>
      </c>
      <c r="B102" s="17" t="s">
        <v>549</v>
      </c>
      <c r="C102" s="17" t="s">
        <v>550</v>
      </c>
      <c r="D102" s="17" t="s">
        <v>550</v>
      </c>
      <c r="E102" s="17" t="s">
        <v>551</v>
      </c>
      <c r="F102" s="17" t="s">
        <v>551</v>
      </c>
      <c r="G102" s="17" t="s">
        <v>552</v>
      </c>
      <c r="H102" s="17" t="s">
        <v>553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thickBot="1" x14ac:dyDescent="0.3">
      <c r="A103" s="16" t="s">
        <v>519</v>
      </c>
      <c r="B103" s="17" t="s">
        <v>554</v>
      </c>
      <c r="C103" s="17" t="s">
        <v>555</v>
      </c>
      <c r="D103" s="17" t="s">
        <v>555</v>
      </c>
      <c r="E103" s="17" t="s">
        <v>556</v>
      </c>
      <c r="F103" s="17" t="s">
        <v>557</v>
      </c>
      <c r="G103" s="17" t="s">
        <v>558</v>
      </c>
      <c r="H103" s="17" t="s">
        <v>559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thickBot="1" x14ac:dyDescent="0.3">
      <c r="A104" s="16" t="s">
        <v>560</v>
      </c>
      <c r="B104" s="17" t="s">
        <v>561</v>
      </c>
      <c r="C104" s="17" t="s">
        <v>562</v>
      </c>
      <c r="D104" s="17" t="s">
        <v>562</v>
      </c>
      <c r="E104" s="17" t="s">
        <v>563</v>
      </c>
      <c r="F104" s="17" t="s">
        <v>564</v>
      </c>
      <c r="G104" s="17" t="s">
        <v>565</v>
      </c>
      <c r="H104" s="17" t="s">
        <v>566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thickBot="1" x14ac:dyDescent="0.3">
      <c r="A105" s="16" t="s">
        <v>567</v>
      </c>
      <c r="B105" s="17" t="s">
        <v>568</v>
      </c>
      <c r="C105" s="17" t="s">
        <v>569</v>
      </c>
      <c r="D105" s="17" t="s">
        <v>570</v>
      </c>
      <c r="E105" s="17" t="s">
        <v>571</v>
      </c>
      <c r="F105" s="17" t="s">
        <v>572</v>
      </c>
      <c r="G105" s="17" t="s">
        <v>573</v>
      </c>
      <c r="H105" s="17" t="s">
        <v>574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thickBot="1" x14ac:dyDescent="0.3">
      <c r="A106" s="16" t="s">
        <v>575</v>
      </c>
      <c r="B106" s="17" t="s">
        <v>576</v>
      </c>
      <c r="C106" s="17" t="s">
        <v>577</v>
      </c>
      <c r="D106" s="17" t="s">
        <v>578</v>
      </c>
      <c r="E106" s="17" t="s">
        <v>579</v>
      </c>
      <c r="F106" s="17" t="s">
        <v>580</v>
      </c>
      <c r="G106" s="17" t="s">
        <v>581</v>
      </c>
      <c r="H106" s="17" t="s">
        <v>582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thickBo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thickBo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thickBo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thickBo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thickBo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thickBo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thickBo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thickBo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thickBo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thickBo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thickBo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thickBo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thickBo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thickBo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thickBo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thickBo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thickBo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thickBo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thickBo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thickBo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thickBo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thickBo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thickBo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thickBo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thickBo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thickBo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thickBo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thickBo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thickBo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thickBo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thickBo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thickBo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thickBo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thickBo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thickBo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thickBo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thickBo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thickBo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thickBo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thickBo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thickBo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thickBo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thickBo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thickBo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thickBo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thickBo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thickBo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thickBo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thickBo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thickBo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thickBo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thickBo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thickBo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thickBo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thickBo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thickBo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thickBo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thickBo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thickBo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thickBo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thickBo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thickBo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thickBo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thickBo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thickBo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thickBo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thickBo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thickBo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thickBo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thickBo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thickBo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thickBo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thickBo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thickBo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thickBo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thickBo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thickBo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thickBo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thickBo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thickBo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thickBo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thickBo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thickBo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thickBo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thickBo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thickBo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thickBo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thickBo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thickBo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thickBo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thickBo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thickBo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thickBo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thickBo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thickBo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thickBo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thickBo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thickBo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thickBo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thickBo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thickBo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thickBo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thickBo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thickBo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thickBo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thickBo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thickBo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thickBo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thickBo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thickBo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thickBo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thickBo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thickBo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thickBo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thickBo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thickBo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thickBo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thickBo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thickBo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thickBo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thickBo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thickBo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thickBo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thickBo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thickBo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thickBo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thickBo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thickBo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thickBo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thickBo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thickBo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thickBo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thickBo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thickBo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thickBo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thickBo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thickBo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thickBo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thickBo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thickBo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thickBo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thickBo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thickBo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thickBo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thickBo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thickBo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thickBo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thickBo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thickBo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thickBo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thickBo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thickBo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thickBo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thickBo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thickBo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thickBo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thickBo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thickBo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thickBo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thickBo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thickBo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thickBo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thickBo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thickBo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thickBo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thickBo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thickBo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thickBo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thickBo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thickBo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thickBo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thickBo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thickBo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thickBo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thickBo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thickBo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thickBo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thickBo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thickBo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thickBo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thickBo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thickBo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thickBo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thickBo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thickBo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thickBo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thickBo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thickBo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thickBo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thickBo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thickBo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thickBo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thickBo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thickBo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thickBo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thickBo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thickBo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thickBo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thickBo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thickBo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thickBo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thickBo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thickBo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thickBo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thickBo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thickBo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thickBo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thickBo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thickBo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thickBo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thickBo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thickBo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thickBo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thickBo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thickBo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thickBo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thickBo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thickBo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thickBo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thickBo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thickBo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thickBo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thickBo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thickBo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thickBo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thickBo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thickBo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thickBo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thickBo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thickBo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thickBo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thickBo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thickBo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thickBo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thickBo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thickBo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thickBo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thickBo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thickBo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thickBo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thickBo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thickBo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thickBo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thickBo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thickBo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thickBo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thickBo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thickBo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thickBo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thickBo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thickBo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thickBo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thickBo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thickBo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thickBo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thickBo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thickBo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thickBo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thickBo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thickBo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thickBo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thickBo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thickBo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thickBo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thickBo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thickBo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thickBo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thickBo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thickBo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thickBo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thickBo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thickBo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thickBo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thickBo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thickBo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thickBo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thickBo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thickBo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thickBo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thickBo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thickBo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thickBo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thickBo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thickBo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thickBo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thickBo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thickBo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thickBo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thickBo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thickBo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thickBo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thickBo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thickBo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thickBo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thickBo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thickBo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thickBo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thickBo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thickBo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thickBo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thickBo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thickBo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thickBo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thickBo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thickBo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thickBo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thickBo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thickBo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thickBo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thickBo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thickBo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thickBo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thickBo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thickBo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thickBo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thickBo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thickBo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thickBo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thickBo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thickBo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thickBo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thickBo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thickBo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thickBo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thickBo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thickBo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thickBo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thickBo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thickBo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thickBo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thickBo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thickBo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thickBo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thickBo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thickBo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thickBo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thickBo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thickBo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thickBo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thickBo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thickBo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thickBo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thickBo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thickBo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thickBo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thickBo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thickBo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thickBo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thickBo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thickBo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thickBo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thickBo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thickBo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thickBo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thickBo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thickBo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thickBo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thickBo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thickBo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thickBo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thickBo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thickBo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thickBo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thickBo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thickBo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thickBo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thickBo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thickBo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thickBo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thickBo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thickBo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thickBo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thickBo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thickBo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thickBo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thickBo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thickBo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thickBo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thickBo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thickBo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thickBo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thickBo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thickBo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thickBo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thickBo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thickBo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thickBo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thickBo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thickBo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thickBo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thickBo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thickBo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thickBo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thickBo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thickBo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thickBo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thickBo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thickBo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thickBo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thickBo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thickBo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thickBo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thickBo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thickBo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thickBo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thickBo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thickBo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thickBo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thickBo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thickBo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thickBo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thickBo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thickBo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thickBo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thickBo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thickBo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thickBo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thickBo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thickBo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thickBo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thickBo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thickBo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thickBo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thickBo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thickBo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thickBo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thickBo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thickBo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thickBo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thickBo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thickBo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thickBo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thickBo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thickBo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thickBo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thickBo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thickBo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thickBo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thickBo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thickBo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thickBo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thickBo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thickBo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thickBo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thickBo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thickBo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thickBo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thickBo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thickBo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thickBo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thickBo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thickBo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thickBo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thickBo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thickBo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thickBo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thickBo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thickBo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thickBo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thickBo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thickBo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thickBo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thickBo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thickBo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thickBo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thickBo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thickBo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thickBo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thickBo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thickBo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thickBo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thickBo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thickBo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thickBo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thickBo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thickBo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thickBo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thickBo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thickBo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thickBo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thickBo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thickBo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thickBo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thickBo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thickBo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thickBo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thickBo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thickBo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thickBo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thickBo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thickBo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thickBo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thickBo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thickBo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thickBo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thickBo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thickBo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thickBo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thickBo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thickBo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thickBo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thickBo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thickBo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thickBo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thickBo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thickBo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thickBo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thickBo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thickBo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thickBo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thickBo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thickBo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thickBo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thickBo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thickBo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thickBo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thickBo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thickBo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thickBo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thickBo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thickBo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thickBo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thickBo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thickBo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thickBo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thickBo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thickBo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thickBo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thickBo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thickBo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thickBo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thickBo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thickBo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thickBo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thickBo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thickBo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thickBo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thickBo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thickBo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thickBo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thickBo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thickBo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thickBo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thickBo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thickBo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thickBo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thickBo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thickBo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thickBo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thickBo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thickBo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thickBo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thickBo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thickBo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thickBo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thickBo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thickBo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thickBo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thickBo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thickBo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thickBo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thickBo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thickBo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thickBo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thickBo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thickBo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thickBo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thickBo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thickBo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thickBo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thickBo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thickBo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thickBo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thickBo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thickBo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thickBo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thickBo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thickBo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thickBo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thickBo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thickBo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thickBo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thickBo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thickBo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thickBo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thickBo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thickBo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thickBo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thickBo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thickBo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thickBo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thickBo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thickBo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thickBo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thickBo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thickBo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thickBo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thickBo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thickBo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thickBo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thickBo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thickBo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thickBo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thickBo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thickBo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thickBo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thickBo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thickBo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thickBo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thickBo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thickBo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thickBo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thickBo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thickBo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thickBo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thickBo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thickBo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thickBo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thickBo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thickBo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thickBo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thickBo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thickBo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thickBo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thickBo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thickBo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thickBo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thickBo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thickBo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thickBo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thickBo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thickBo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thickBo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thickBo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thickBo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thickBo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thickBo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thickBo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thickBo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thickBo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thickBo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thickBo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thickBo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thickBo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thickBo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thickBo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thickBo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thickBo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thickBo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thickBo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thickBo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thickBo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thickBo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thickBo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thickBo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thickBo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thickBo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thickBo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thickBo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thickBo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thickBo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thickBo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thickBo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thickBo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thickBo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thickBo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thickBo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thickBo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thickBo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thickBo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thickBo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thickBo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thickBo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thickBo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thickBo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thickBo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thickBo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thickBo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thickBo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thickBo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thickBo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thickBo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thickBo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thickBo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thickBo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thickBo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thickBo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thickBo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thickBo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thickBo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thickBo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thickBo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thickBo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thickBo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thickBo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thickBo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thickBo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thickBo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thickBo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thickBo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thickBo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thickBo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thickBo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thickBo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thickBo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thickBo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thickBo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thickBo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thickBo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thickBo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thickBo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thickBo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thickBo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thickBo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thickBo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thickBo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thickBo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thickBo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thickBo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thickBo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thickBo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thickBo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thickBo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thickBo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thickBo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thickBo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thickBo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thickBo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thickBo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thickBo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thickBo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thickBo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thickBo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thickBo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thickBo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thickBo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thickBo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thickBo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thickBo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thickBo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thickBo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thickBo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thickBo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thickBo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thickBo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thickBo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thickBo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thickBo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thickBo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thickBo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thickBo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thickBo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thickBo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thickBo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thickBo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thickBo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thickBo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thickBo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thickBo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thickBo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thickBo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thickBo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thickBo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thickBo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thickBo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thickBo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thickBo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thickBo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thickBo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thickBo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thickBo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thickBo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thickBo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thickBo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thickBo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thickBo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thickBo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thickBo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thickBo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thickBo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thickBo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thickBo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thickBo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thickBo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thickBo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thickBo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thickBo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thickBo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thickBo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thickBo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thickBo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thickBo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thickBo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thickBo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thickBo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thickBo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thickBo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thickBo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thickBo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thickBo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thickBo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thickBo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thickBo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thickBo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thickBo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thickBo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thickBo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thickBo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thickBo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thickBo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thickBo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thickBo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thickBo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thickBo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thickBo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thickBo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thickBo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thickBo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thickBo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thickBo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thickBo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thickBo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thickBo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thickBo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thickBo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thickBo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thickBo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thickBo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thickBo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thickBo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thickBo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thickBo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thickBo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thickBo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thickBo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thickBo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thickBo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thickBo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thickBo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thickBo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thickBo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thickBo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thickBo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thickBo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thickBo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thickBo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thickBo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thickBo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thickBo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thickBo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thickBo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thickBo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thickBo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thickBo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thickBo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thickBo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thickBo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thickBo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thickBo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thickBo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thickBo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thickBo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thickBo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thickBo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thickBo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thickBo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thickBo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thickBo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thickBo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thickBo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thickBo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thickBo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thickBo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thickBo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thickBo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thickBo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thickBo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thickBo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thickBo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thickBo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thickBo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thickBo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thickBo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thickBo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thickBo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thickBo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thickBo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thickBo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thickBo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thickBo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thickBo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thickBo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thickBo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thickBo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4">
    <mergeCell ref="A1:H1"/>
    <mergeCell ref="A2:H2"/>
    <mergeCell ref="A56:H56"/>
    <mergeCell ref="A57:H5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CF3D-7BE7-4889-A835-990E7DAFF641}">
  <dimension ref="A1:H44"/>
  <sheetViews>
    <sheetView topLeftCell="A34" workbookViewId="0">
      <selection activeCell="A45" sqref="A45"/>
    </sheetView>
  </sheetViews>
  <sheetFormatPr baseColWidth="10" defaultColWidth="9.140625" defaultRowHeight="15" x14ac:dyDescent="0.25"/>
  <cols>
    <col min="1" max="1" width="46.85546875" bestFit="1" customWidth="1"/>
    <col min="2" max="2" width="20.85546875" bestFit="1" customWidth="1"/>
  </cols>
  <sheetData>
    <row r="1" spans="1:8" x14ac:dyDescent="0.25">
      <c r="A1" s="26" t="s">
        <v>718</v>
      </c>
      <c r="B1" s="26" t="s">
        <v>735</v>
      </c>
      <c r="G1">
        <v>1</v>
      </c>
      <c r="H1" t="s">
        <v>881</v>
      </c>
    </row>
    <row r="2" spans="1:8" x14ac:dyDescent="0.25">
      <c r="A2" t="s">
        <v>936</v>
      </c>
      <c r="B2" t="str">
        <f>IFERROR(TRIM(LEFT(MID(A2, FIND(",", A2) + 1, LEN(A2)), FIND(" ", TRIM(MID(A2, FIND(",", A2) + 1, LEN(A2)))))) &amp; " " &amp; LEFT(A2, FIND(" ", A2) - 1), TRIM(MID(A2, FIND(",", A2) + 1, LEN(A2))) &amp; " " &amp; LEFT(A2, FIND(" ", A2) - 1))</f>
        <v>NAHIARA ARCE</v>
      </c>
      <c r="G2">
        <v>2</v>
      </c>
      <c r="H2" t="s">
        <v>882</v>
      </c>
    </row>
    <row r="3" spans="1:8" x14ac:dyDescent="0.25">
      <c r="A3" t="s">
        <v>935</v>
      </c>
      <c r="B3" t="str">
        <f t="shared" ref="B3:B44" si="0">IFERROR(TRIM(LEFT(MID(A3, FIND(",", A3) + 1, LEN(A3)), FIND(" ", TRIM(MID(A3, FIND(",", A3) + 1, LEN(A3)))))) &amp; " " &amp; LEFT(A3, FIND(" ", A3) - 1), TRIM(MID(A3, FIND(",", A3) + 1, LEN(A3))) &amp; " " &amp; LEFT(A3, FIND(" ", A3) - 1))</f>
        <v>GUADALUPE ARCE</v>
      </c>
      <c r="G3">
        <v>3</v>
      </c>
      <c r="H3" t="s">
        <v>883</v>
      </c>
    </row>
    <row r="4" spans="1:8" x14ac:dyDescent="0.25">
      <c r="A4" t="s">
        <v>937</v>
      </c>
      <c r="B4" t="str">
        <f t="shared" si="0"/>
        <v>ALMA AYALA</v>
      </c>
      <c r="G4">
        <v>4</v>
      </c>
      <c r="H4" t="s">
        <v>884</v>
      </c>
    </row>
    <row r="5" spans="1:8" x14ac:dyDescent="0.25">
      <c r="A5" t="s">
        <v>938</v>
      </c>
      <c r="B5" t="str">
        <f t="shared" si="0"/>
        <v>GUADALUPE BARRETO</v>
      </c>
      <c r="G5">
        <v>5</v>
      </c>
      <c r="H5" t="s">
        <v>885</v>
      </c>
    </row>
    <row r="6" spans="1:8" x14ac:dyDescent="0.25">
      <c r="A6" t="s">
        <v>939</v>
      </c>
      <c r="B6" t="str">
        <f t="shared" si="0"/>
        <v>LUIS BARRIOS</v>
      </c>
      <c r="G6">
        <v>6</v>
      </c>
      <c r="H6" t="s">
        <v>886</v>
      </c>
    </row>
    <row r="7" spans="1:8" x14ac:dyDescent="0.25">
      <c r="A7" t="s">
        <v>940</v>
      </c>
      <c r="B7" t="str">
        <f t="shared" si="0"/>
        <v>LUANA BENITEZ</v>
      </c>
      <c r="G7">
        <v>7</v>
      </c>
      <c r="H7" t="s">
        <v>887</v>
      </c>
    </row>
    <row r="8" spans="1:8" x14ac:dyDescent="0.25">
      <c r="A8" t="s">
        <v>941</v>
      </c>
      <c r="B8" t="str">
        <f t="shared" si="0"/>
        <v>CARLOS CABALLERO</v>
      </c>
      <c r="G8">
        <v>8</v>
      </c>
      <c r="H8" t="s">
        <v>888</v>
      </c>
    </row>
    <row r="9" spans="1:8" x14ac:dyDescent="0.25">
      <c r="A9" t="s">
        <v>942</v>
      </c>
      <c r="B9" t="str">
        <f t="shared" si="0"/>
        <v>THAIS CACERES</v>
      </c>
      <c r="G9">
        <v>9</v>
      </c>
      <c r="H9" t="s">
        <v>889</v>
      </c>
    </row>
    <row r="10" spans="1:8" x14ac:dyDescent="0.25">
      <c r="A10" t="s">
        <v>943</v>
      </c>
      <c r="B10" t="str">
        <f t="shared" si="0"/>
        <v>MAXIMO DIAZ</v>
      </c>
      <c r="G10">
        <v>10</v>
      </c>
      <c r="H10" t="s">
        <v>890</v>
      </c>
    </row>
    <row r="11" spans="1:8" x14ac:dyDescent="0.25">
      <c r="A11" t="s">
        <v>944</v>
      </c>
      <c r="B11" t="str">
        <f t="shared" si="0"/>
        <v>BASTTIAN ESTIGARRIBIA</v>
      </c>
      <c r="G11">
        <v>11</v>
      </c>
      <c r="H11" t="s">
        <v>891</v>
      </c>
    </row>
    <row r="12" spans="1:8" x14ac:dyDescent="0.25">
      <c r="A12" t="s">
        <v>945</v>
      </c>
      <c r="B12" t="str">
        <f t="shared" si="0"/>
        <v>IVONNE FERNANDEZ</v>
      </c>
      <c r="G12">
        <v>12</v>
      </c>
      <c r="H12" t="s">
        <v>892</v>
      </c>
    </row>
    <row r="13" spans="1:8" x14ac:dyDescent="0.25">
      <c r="A13" t="s">
        <v>946</v>
      </c>
      <c r="B13" t="str">
        <f t="shared" si="0"/>
        <v>EMILIA FERNANDEZ</v>
      </c>
      <c r="G13">
        <v>13</v>
      </c>
      <c r="H13" t="s">
        <v>893</v>
      </c>
    </row>
    <row r="14" spans="1:8" x14ac:dyDescent="0.25">
      <c r="A14" t="s">
        <v>947</v>
      </c>
      <c r="B14" t="str">
        <f t="shared" si="0"/>
        <v>TAMARA FLORENTIN</v>
      </c>
      <c r="G14">
        <v>14</v>
      </c>
      <c r="H14" t="s">
        <v>894</v>
      </c>
    </row>
    <row r="15" spans="1:8" x14ac:dyDescent="0.25">
      <c r="A15" t="s">
        <v>948</v>
      </c>
      <c r="B15" t="str">
        <f t="shared" si="0"/>
        <v>AYLEN FLORENTIN</v>
      </c>
      <c r="G15">
        <v>15</v>
      </c>
      <c r="H15" t="s">
        <v>895</v>
      </c>
    </row>
    <row r="16" spans="1:8" x14ac:dyDescent="0.25">
      <c r="A16" t="s">
        <v>949</v>
      </c>
      <c r="B16" t="str">
        <f t="shared" si="0"/>
        <v>PAULA FRANCO</v>
      </c>
      <c r="G16">
        <v>16</v>
      </c>
      <c r="H16" t="s">
        <v>896</v>
      </c>
    </row>
    <row r="17" spans="1:8" x14ac:dyDescent="0.25">
      <c r="A17" t="s">
        <v>950</v>
      </c>
      <c r="B17" t="str">
        <f t="shared" si="0"/>
        <v>JEANELLY GAONA</v>
      </c>
      <c r="G17">
        <v>17</v>
      </c>
      <c r="H17" t="s">
        <v>897</v>
      </c>
    </row>
    <row r="18" spans="1:8" x14ac:dyDescent="0.25">
      <c r="A18" t="s">
        <v>929</v>
      </c>
      <c r="B18" t="str">
        <f t="shared" si="0"/>
        <v>LUANA GAONA</v>
      </c>
      <c r="G18">
        <v>18</v>
      </c>
      <c r="H18" t="s">
        <v>898</v>
      </c>
    </row>
    <row r="19" spans="1:8" x14ac:dyDescent="0.25">
      <c r="A19" t="s">
        <v>930</v>
      </c>
      <c r="B19" t="str">
        <f t="shared" si="0"/>
        <v>ABIGAIL GARCIA</v>
      </c>
      <c r="G19">
        <v>19</v>
      </c>
      <c r="H19" t="s">
        <v>899</v>
      </c>
    </row>
    <row r="20" spans="1:8" x14ac:dyDescent="0.25">
      <c r="A20" t="s">
        <v>951</v>
      </c>
      <c r="B20" t="str">
        <f t="shared" si="0"/>
        <v>LAUTARO GARCIA</v>
      </c>
      <c r="G20">
        <v>20</v>
      </c>
      <c r="H20" t="s">
        <v>900</v>
      </c>
    </row>
    <row r="21" spans="1:8" x14ac:dyDescent="0.25">
      <c r="A21" t="s">
        <v>952</v>
      </c>
      <c r="B21" t="str">
        <f t="shared" si="0"/>
        <v>SANTIAGO GIMENEZ</v>
      </c>
      <c r="G21">
        <v>21</v>
      </c>
      <c r="H21" t="s">
        <v>901</v>
      </c>
    </row>
    <row r="22" spans="1:8" x14ac:dyDescent="0.25">
      <c r="A22" t="s">
        <v>953</v>
      </c>
      <c r="B22" t="str">
        <f t="shared" si="0"/>
        <v>SANTIAGO GIRETT</v>
      </c>
      <c r="G22">
        <v>22</v>
      </c>
      <c r="H22" t="s">
        <v>902</v>
      </c>
    </row>
    <row r="23" spans="1:8" x14ac:dyDescent="0.25">
      <c r="A23" t="s">
        <v>957</v>
      </c>
      <c r="B23" t="str">
        <f t="shared" si="0"/>
        <v>FREDY GOMEZ</v>
      </c>
      <c r="G23">
        <v>23</v>
      </c>
      <c r="H23" t="s">
        <v>903</v>
      </c>
    </row>
    <row r="24" spans="1:8" x14ac:dyDescent="0.25">
      <c r="A24" t="s">
        <v>958</v>
      </c>
      <c r="B24" t="str">
        <f t="shared" si="0"/>
        <v>BETHANIA GONZALEZ</v>
      </c>
      <c r="G24">
        <v>24</v>
      </c>
      <c r="H24" t="s">
        <v>904</v>
      </c>
    </row>
    <row r="25" spans="1:8" x14ac:dyDescent="0.25">
      <c r="A25" t="s">
        <v>959</v>
      </c>
      <c r="B25" t="str">
        <f t="shared" si="0"/>
        <v>SHEYLA IRALA</v>
      </c>
      <c r="G25">
        <v>25</v>
      </c>
      <c r="H25" t="s">
        <v>905</v>
      </c>
    </row>
    <row r="26" spans="1:8" x14ac:dyDescent="0.25">
      <c r="A26" t="s">
        <v>960</v>
      </c>
      <c r="B26" t="str">
        <f t="shared" si="0"/>
        <v>BRAHIAN JARA</v>
      </c>
      <c r="G26">
        <v>26</v>
      </c>
      <c r="H26" t="s">
        <v>906</v>
      </c>
    </row>
    <row r="27" spans="1:8" x14ac:dyDescent="0.25">
      <c r="A27" t="s">
        <v>961</v>
      </c>
      <c r="B27" t="str">
        <f t="shared" si="0"/>
        <v>JOSIAS MARTINEZ</v>
      </c>
      <c r="G27">
        <v>27</v>
      </c>
      <c r="H27" t="s">
        <v>907</v>
      </c>
    </row>
    <row r="28" spans="1:8" x14ac:dyDescent="0.25">
      <c r="A28" t="s">
        <v>962</v>
      </c>
      <c r="B28" t="str">
        <f t="shared" si="0"/>
        <v>KARINA NOTARIO</v>
      </c>
      <c r="G28">
        <v>28</v>
      </c>
      <c r="H28" t="s">
        <v>908</v>
      </c>
    </row>
    <row r="29" spans="1:8" x14ac:dyDescent="0.25">
      <c r="A29" t="s">
        <v>963</v>
      </c>
      <c r="B29" t="str">
        <f t="shared" si="0"/>
        <v>SAMIRA PARDO</v>
      </c>
      <c r="G29">
        <v>29</v>
      </c>
      <c r="H29" t="s">
        <v>909</v>
      </c>
    </row>
    <row r="30" spans="1:8" x14ac:dyDescent="0.25">
      <c r="A30" t="s">
        <v>967</v>
      </c>
      <c r="B30" t="str">
        <f t="shared" si="0"/>
        <v>JONATHAN PINHO</v>
      </c>
      <c r="G30">
        <v>30</v>
      </c>
      <c r="H30" t="s">
        <v>910</v>
      </c>
    </row>
    <row r="31" spans="1:8" x14ac:dyDescent="0.25">
      <c r="A31" t="s">
        <v>964</v>
      </c>
      <c r="B31" t="str">
        <f t="shared" si="0"/>
        <v>LUCERO QUIÑONEZ</v>
      </c>
      <c r="G31">
        <v>31</v>
      </c>
      <c r="H31" t="s">
        <v>911</v>
      </c>
    </row>
    <row r="32" spans="1:8" x14ac:dyDescent="0.25">
      <c r="A32" t="s">
        <v>965</v>
      </c>
      <c r="B32" t="str">
        <f t="shared" si="0"/>
        <v>ALEXIS RECALDE</v>
      </c>
      <c r="G32">
        <v>32</v>
      </c>
      <c r="H32" t="s">
        <v>912</v>
      </c>
    </row>
    <row r="33" spans="1:8" x14ac:dyDescent="0.25">
      <c r="A33" t="s">
        <v>966</v>
      </c>
      <c r="B33" t="str">
        <f t="shared" si="0"/>
        <v>VANIA ROA</v>
      </c>
      <c r="G33">
        <v>33</v>
      </c>
      <c r="H33" t="s">
        <v>913</v>
      </c>
    </row>
    <row r="34" spans="1:8" x14ac:dyDescent="0.25">
      <c r="A34" t="s">
        <v>968</v>
      </c>
      <c r="B34" t="str">
        <f t="shared" si="0"/>
        <v>JOSIAS ROLON</v>
      </c>
      <c r="G34">
        <v>34</v>
      </c>
      <c r="H34" t="s">
        <v>914</v>
      </c>
    </row>
    <row r="35" spans="1:8" x14ac:dyDescent="0.25">
      <c r="A35" t="s">
        <v>969</v>
      </c>
      <c r="B35" t="str">
        <f t="shared" si="0"/>
        <v>HEIDY ROMERO</v>
      </c>
      <c r="G35">
        <v>35</v>
      </c>
      <c r="H35" t="s">
        <v>915</v>
      </c>
    </row>
    <row r="36" spans="1:8" x14ac:dyDescent="0.25">
      <c r="A36" t="s">
        <v>933</v>
      </c>
      <c r="B36" t="str">
        <f t="shared" si="0"/>
        <v>LAURA ROUSSILLON</v>
      </c>
      <c r="G36">
        <v>36</v>
      </c>
      <c r="H36" t="s">
        <v>916</v>
      </c>
    </row>
    <row r="37" spans="1:8" x14ac:dyDescent="0.25">
      <c r="A37" t="s">
        <v>970</v>
      </c>
      <c r="B37" t="str">
        <f t="shared" si="0"/>
        <v>CHRISTOPHER SALCEDO</v>
      </c>
      <c r="G37">
        <v>37</v>
      </c>
      <c r="H37" t="s">
        <v>917</v>
      </c>
    </row>
    <row r="38" spans="1:8" x14ac:dyDescent="0.25">
      <c r="A38" t="s">
        <v>971</v>
      </c>
      <c r="B38" t="str">
        <f t="shared" si="0"/>
        <v>ALEX SAMANIEGO</v>
      </c>
    </row>
    <row r="39" spans="1:8" x14ac:dyDescent="0.25">
      <c r="A39" t="s">
        <v>972</v>
      </c>
      <c r="B39" t="str">
        <f t="shared" si="0"/>
        <v>ROBERT SANCHEZ</v>
      </c>
    </row>
    <row r="40" spans="1:8" x14ac:dyDescent="0.25">
      <c r="A40" t="s">
        <v>956</v>
      </c>
      <c r="B40" t="str">
        <f t="shared" si="0"/>
        <v>MARIA SANTA</v>
      </c>
    </row>
    <row r="41" spans="1:8" x14ac:dyDescent="0.25">
      <c r="A41" t="s">
        <v>955</v>
      </c>
      <c r="B41" t="str">
        <f t="shared" si="0"/>
        <v>FREDY SILVA</v>
      </c>
    </row>
    <row r="42" spans="1:8" x14ac:dyDescent="0.25">
      <c r="A42" t="s">
        <v>954</v>
      </c>
      <c r="B42" t="str">
        <f t="shared" si="0"/>
        <v>LIZZIE VERA</v>
      </c>
    </row>
    <row r="43" spans="1:8" x14ac:dyDescent="0.25">
      <c r="A43" t="s">
        <v>934</v>
      </c>
      <c r="B43" t="str">
        <f t="shared" si="0"/>
        <v>JONATHAN VILLASANTI</v>
      </c>
    </row>
    <row r="44" spans="1:8" x14ac:dyDescent="0.25">
      <c r="A44" t="s">
        <v>988</v>
      </c>
      <c r="B44" t="str">
        <f t="shared" si="0"/>
        <v>THIAGO DUARTE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Prinicipal</vt:lpstr>
      <vt:lpstr>01-PLAN ANUAL </vt:lpstr>
      <vt:lpstr>02-REGISTRO DE TEMAS</vt:lpstr>
      <vt:lpstr>03-ASISTENCIA</vt:lpstr>
      <vt:lpstr>04-RSA</vt:lpstr>
      <vt:lpstr>05-BD- CUADRO ANECDOTICO</vt:lpstr>
      <vt:lpstr>05-RESUMEN -CUADRO ANECDOTICO</vt:lpstr>
      <vt:lpstr>06-PROCESO</vt:lpstr>
      <vt:lpstr>07-CALENDARIO MEC</vt:lpstr>
      <vt:lpstr>08- INDICADORES AC</vt:lpstr>
      <vt:lpstr>09.Diagnostico</vt:lpstr>
      <vt:lpstr>Escala </vt:lpstr>
      <vt:lpstr>Datos </vt:lpstr>
      <vt:lpstr>alumnos</vt:lpstr>
      <vt:lpstr>diagnostico</vt:lpstr>
      <vt:lpstr>fechaMEC</vt:lpstr>
      <vt:lpstr>indicadores</vt:lpstr>
      <vt:lpstr>tabla_registro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250 G10</dc:creator>
  <cp:lastModifiedBy>CHRISTHIAN JOSE RAUL KEIM JARA</cp:lastModifiedBy>
  <dcterms:created xsi:type="dcterms:W3CDTF">2015-06-05T18:17:20Z</dcterms:created>
  <dcterms:modified xsi:type="dcterms:W3CDTF">2026-05-04T16:16:15Z</dcterms:modified>
</cp:coreProperties>
</file>